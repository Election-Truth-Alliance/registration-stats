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Alex Mosca\monthly voter registration reports\2018\"/>
    </mc:Choice>
  </mc:AlternateContent>
  <bookViews>
    <workbookView xWindow="0" yWindow="0" windowWidth="28800" windowHeight="12990" firstSheet="11" activeTab="12"/>
  </bookViews>
  <sheets>
    <sheet name="PriorDecember" sheetId="35" r:id="rId1"/>
    <sheet name="January" sheetId="1" r:id="rId2"/>
    <sheet name="February" sheetId="2" r:id="rId3"/>
    <sheet name="March" sheetId="3" r:id="rId4"/>
    <sheet name="April" sheetId="14" r:id="rId5"/>
    <sheet name="May" sheetId="15" r:id="rId6"/>
    <sheet name="June" sheetId="16" r:id="rId7"/>
    <sheet name="July" sheetId="17" r:id="rId8"/>
    <sheet name="August" sheetId="18" r:id="rId9"/>
    <sheet name="September" sheetId="19" r:id="rId10"/>
    <sheet name="October" sheetId="20" r:id="rId11"/>
    <sheet name="November" sheetId="21" r:id="rId12"/>
    <sheet name="December" sheetId="22" r:id="rId13"/>
    <sheet name="NetPriorDecToJan" sheetId="36" r:id="rId14"/>
    <sheet name="NetJanToFeb" sheetId="23" r:id="rId15"/>
    <sheet name="NetFebToMar" sheetId="24" r:id="rId16"/>
    <sheet name="NetMarToApr" sheetId="25" r:id="rId17"/>
    <sheet name="NetAprToMay" sheetId="26" r:id="rId18"/>
    <sheet name="NetMayToJun" sheetId="27" r:id="rId19"/>
    <sheet name="NetJunToJul" sheetId="28" r:id="rId20"/>
    <sheet name="NetJulToAug" sheetId="29" r:id="rId21"/>
    <sheet name="NetAugToSep" sheetId="30" r:id="rId22"/>
    <sheet name="NetSepToOct" sheetId="31" r:id="rId23"/>
    <sheet name="NetOctToNov" sheetId="32" r:id="rId24"/>
    <sheet name="NetNovToDec" sheetId="33" r:id="rId25"/>
    <sheet name="Net-Year-to-Date Total" sheetId="34" r:id="rId26"/>
  </sheets>
  <calcPr calcId="162913"/>
</workbook>
</file>

<file path=xl/calcChain.xml><?xml version="1.0" encoding="utf-8"?>
<calcChain xmlns="http://schemas.openxmlformats.org/spreadsheetml/2006/main">
  <c r="F72" i="22" l="1"/>
  <c r="E72" i="22"/>
  <c r="D72" i="22"/>
  <c r="C72" i="22"/>
  <c r="B72" i="22"/>
  <c r="E6" i="33" l="1"/>
  <c r="E7" i="33"/>
  <c r="E8" i="33"/>
  <c r="E9" i="33"/>
  <c r="E10" i="33"/>
  <c r="E11" i="33"/>
  <c r="F11" i="33" s="1"/>
  <c r="E12" i="33"/>
  <c r="F12" i="33" s="1"/>
  <c r="E13" i="33"/>
  <c r="E14" i="33"/>
  <c r="E15" i="33"/>
  <c r="E16" i="33"/>
  <c r="E17" i="33"/>
  <c r="E18" i="33"/>
  <c r="E19" i="33"/>
  <c r="F19" i="33" s="1"/>
  <c r="E20" i="33"/>
  <c r="E21" i="33"/>
  <c r="E22" i="33"/>
  <c r="E23" i="33"/>
  <c r="E24" i="33"/>
  <c r="E25" i="33"/>
  <c r="E26" i="33"/>
  <c r="E27" i="33"/>
  <c r="E28" i="33"/>
  <c r="F28" i="33" s="1"/>
  <c r="E29" i="33"/>
  <c r="E30" i="33"/>
  <c r="E31" i="33"/>
  <c r="E32" i="33"/>
  <c r="E33" i="33"/>
  <c r="E34" i="33"/>
  <c r="F34" i="33" s="1"/>
  <c r="E35" i="33"/>
  <c r="E36" i="33"/>
  <c r="E37" i="33"/>
  <c r="E38" i="33"/>
  <c r="E39" i="33"/>
  <c r="E40" i="33"/>
  <c r="E41" i="33"/>
  <c r="E42" i="33"/>
  <c r="F42" i="33" s="1"/>
  <c r="E43" i="33"/>
  <c r="E44" i="33"/>
  <c r="E45" i="33"/>
  <c r="E46" i="33"/>
  <c r="E47" i="33"/>
  <c r="E48" i="33"/>
  <c r="E49" i="33"/>
  <c r="E50" i="33"/>
  <c r="F50" i="33" s="1"/>
  <c r="E51" i="33"/>
  <c r="F51" i="33" s="1"/>
  <c r="E52" i="33"/>
  <c r="E53" i="33"/>
  <c r="E54" i="33"/>
  <c r="E55" i="33"/>
  <c r="E56" i="33"/>
  <c r="E57" i="33"/>
  <c r="E58" i="33"/>
  <c r="E59" i="33"/>
  <c r="F59" i="33" s="1"/>
  <c r="E60" i="33"/>
  <c r="E61" i="33"/>
  <c r="E62" i="33"/>
  <c r="E63" i="33"/>
  <c r="E64" i="33"/>
  <c r="E65" i="33"/>
  <c r="E66" i="33"/>
  <c r="E67" i="33"/>
  <c r="F67" i="33" s="1"/>
  <c r="E68" i="33"/>
  <c r="E69" i="33"/>
  <c r="E70" i="33"/>
  <c r="E71" i="33"/>
  <c r="D6" i="33"/>
  <c r="D7" i="33"/>
  <c r="D8" i="33"/>
  <c r="D9" i="33"/>
  <c r="D10" i="33"/>
  <c r="D11" i="33"/>
  <c r="D12" i="33"/>
  <c r="D13" i="33"/>
  <c r="D14" i="33"/>
  <c r="D15" i="33"/>
  <c r="D16" i="33"/>
  <c r="D17" i="33"/>
  <c r="D18" i="33"/>
  <c r="D19" i="33"/>
  <c r="D20" i="33"/>
  <c r="D21" i="33"/>
  <c r="D22" i="33"/>
  <c r="D23" i="33"/>
  <c r="F23" i="33" s="1"/>
  <c r="D24" i="33"/>
  <c r="D25" i="33"/>
  <c r="D26" i="33"/>
  <c r="D27" i="33"/>
  <c r="D28" i="33"/>
  <c r="D29" i="33"/>
  <c r="D30" i="33"/>
  <c r="D31" i="33"/>
  <c r="D32" i="33"/>
  <c r="D33" i="33"/>
  <c r="D34" i="33"/>
  <c r="D35" i="33"/>
  <c r="D36" i="33"/>
  <c r="D37" i="33"/>
  <c r="D38" i="33"/>
  <c r="D39" i="33"/>
  <c r="D40" i="33"/>
  <c r="F40" i="33" s="1"/>
  <c r="D41" i="33"/>
  <c r="D42" i="33"/>
  <c r="D43" i="33"/>
  <c r="F43" i="33" s="1"/>
  <c r="D44" i="33"/>
  <c r="D45" i="33"/>
  <c r="D46" i="33"/>
  <c r="D47" i="33"/>
  <c r="D48" i="33"/>
  <c r="F48" i="33" s="1"/>
  <c r="D49" i="33"/>
  <c r="D50" i="33"/>
  <c r="D51" i="33"/>
  <c r="D52" i="33"/>
  <c r="D53" i="33"/>
  <c r="D54" i="33"/>
  <c r="D55" i="33"/>
  <c r="D56" i="33"/>
  <c r="F56" i="33" s="1"/>
  <c r="D57" i="33"/>
  <c r="D58" i="33"/>
  <c r="D59" i="33"/>
  <c r="D60" i="33"/>
  <c r="D61" i="33"/>
  <c r="D62" i="33"/>
  <c r="D63" i="33"/>
  <c r="D64" i="33"/>
  <c r="D65" i="33"/>
  <c r="D66" i="33"/>
  <c r="D67" i="33"/>
  <c r="D68" i="33"/>
  <c r="D69" i="33"/>
  <c r="D70" i="33"/>
  <c r="D71" i="33"/>
  <c r="C6" i="33"/>
  <c r="F6" i="33" s="1"/>
  <c r="C7" i="33"/>
  <c r="C8" i="33"/>
  <c r="C9" i="33"/>
  <c r="F9" i="33" s="1"/>
  <c r="C10" i="33"/>
  <c r="C11" i="33"/>
  <c r="C12" i="33"/>
  <c r="C13" i="33"/>
  <c r="C14" i="33"/>
  <c r="F14" i="33" s="1"/>
  <c r="C15" i="33"/>
  <c r="C16" i="33"/>
  <c r="C17" i="33"/>
  <c r="F17" i="33" s="1"/>
  <c r="C18" i="33"/>
  <c r="C19" i="33"/>
  <c r="C20" i="33"/>
  <c r="C21" i="33"/>
  <c r="C22" i="33"/>
  <c r="F22" i="33" s="1"/>
  <c r="C23" i="33"/>
  <c r="C24" i="33"/>
  <c r="C25" i="33"/>
  <c r="F25" i="33" s="1"/>
  <c r="C26" i="33"/>
  <c r="C27" i="33"/>
  <c r="C28" i="33"/>
  <c r="C29" i="33"/>
  <c r="C30" i="33"/>
  <c r="F30" i="33" s="1"/>
  <c r="C31" i="33"/>
  <c r="C32" i="33"/>
  <c r="C33" i="33"/>
  <c r="F33" i="33" s="1"/>
  <c r="C34" i="33"/>
  <c r="C35" i="33"/>
  <c r="C36" i="33"/>
  <c r="C37" i="33"/>
  <c r="C38" i="33"/>
  <c r="F38" i="33" s="1"/>
  <c r="C39" i="33"/>
  <c r="C40" i="33"/>
  <c r="C41" i="33"/>
  <c r="F41" i="33" s="1"/>
  <c r="C42" i="33"/>
  <c r="C43" i="33"/>
  <c r="C44" i="33"/>
  <c r="C45" i="33"/>
  <c r="C46" i="33"/>
  <c r="F46" i="33" s="1"/>
  <c r="C47" i="33"/>
  <c r="C48" i="33"/>
  <c r="C49" i="33"/>
  <c r="F49" i="33" s="1"/>
  <c r="C50" i="33"/>
  <c r="C51" i="33"/>
  <c r="C52" i="33"/>
  <c r="C53" i="33"/>
  <c r="C54" i="33"/>
  <c r="F54" i="33" s="1"/>
  <c r="C55" i="33"/>
  <c r="C56" i="33"/>
  <c r="C57" i="33"/>
  <c r="F57" i="33" s="1"/>
  <c r="C58" i="33"/>
  <c r="C59" i="33"/>
  <c r="C60" i="33"/>
  <c r="C61" i="33"/>
  <c r="C62" i="33"/>
  <c r="F62" i="33" s="1"/>
  <c r="C63" i="33"/>
  <c r="C64" i="33"/>
  <c r="C65" i="33"/>
  <c r="F65" i="33" s="1"/>
  <c r="C66" i="33"/>
  <c r="C67" i="33"/>
  <c r="C68" i="33"/>
  <c r="C69" i="33"/>
  <c r="C70" i="33"/>
  <c r="F70" i="33" s="1"/>
  <c r="C71" i="33"/>
  <c r="F7" i="33"/>
  <c r="F8" i="33"/>
  <c r="F15" i="33"/>
  <c r="F16" i="33"/>
  <c r="F20" i="33"/>
  <c r="F24" i="33"/>
  <c r="F26" i="33"/>
  <c r="F31" i="33"/>
  <c r="F32" i="33"/>
  <c r="F36" i="33"/>
  <c r="F39" i="33"/>
  <c r="F44" i="33"/>
  <c r="F47" i="33"/>
  <c r="F52" i="33"/>
  <c r="F55" i="33"/>
  <c r="F58" i="33"/>
  <c r="F60" i="33"/>
  <c r="F63" i="33"/>
  <c r="F64" i="33"/>
  <c r="F68" i="33"/>
  <c r="F71" i="33"/>
  <c r="F5" i="33"/>
  <c r="E5" i="33"/>
  <c r="D5" i="33"/>
  <c r="C5" i="33"/>
  <c r="B6" i="33"/>
  <c r="B7" i="33"/>
  <c r="B8" i="33"/>
  <c r="B9" i="33"/>
  <c r="B10" i="33"/>
  <c r="B11" i="33"/>
  <c r="B12" i="33"/>
  <c r="B13" i="33"/>
  <c r="B14" i="33"/>
  <c r="B15" i="33"/>
  <c r="B16" i="33"/>
  <c r="B17" i="33"/>
  <c r="B18" i="33"/>
  <c r="B19" i="33"/>
  <c r="B20" i="33"/>
  <c r="B21" i="33"/>
  <c r="B22" i="33"/>
  <c r="B23" i="33"/>
  <c r="B24" i="33"/>
  <c r="B25" i="33"/>
  <c r="B26" i="33"/>
  <c r="B27" i="33"/>
  <c r="B28" i="33"/>
  <c r="B29" i="33"/>
  <c r="B30" i="33"/>
  <c r="B31" i="33"/>
  <c r="B32" i="33"/>
  <c r="B33" i="33"/>
  <c r="B34" i="33"/>
  <c r="B35" i="33"/>
  <c r="B36" i="33"/>
  <c r="B37" i="33"/>
  <c r="B38" i="33"/>
  <c r="B39" i="33"/>
  <c r="B40" i="33"/>
  <c r="B41" i="33"/>
  <c r="B42" i="33"/>
  <c r="B43" i="33"/>
  <c r="B44" i="33"/>
  <c r="B45" i="33"/>
  <c r="B46" i="33"/>
  <c r="B47" i="33"/>
  <c r="B48" i="33"/>
  <c r="B49" i="33"/>
  <c r="B50" i="33"/>
  <c r="B51" i="33"/>
  <c r="B52" i="33"/>
  <c r="B53" i="33"/>
  <c r="B54" i="33"/>
  <c r="B55" i="33"/>
  <c r="B56" i="33"/>
  <c r="B57" i="33"/>
  <c r="B58" i="33"/>
  <c r="B59" i="33"/>
  <c r="B60" i="33"/>
  <c r="B61" i="33"/>
  <c r="B62" i="33"/>
  <c r="B63" i="33"/>
  <c r="B64" i="33"/>
  <c r="B65" i="33"/>
  <c r="B66" i="33"/>
  <c r="B67" i="33"/>
  <c r="B68" i="33"/>
  <c r="B69" i="33"/>
  <c r="B70" i="33"/>
  <c r="B71" i="33"/>
  <c r="B5" i="33"/>
  <c r="F35" i="33" l="1"/>
  <c r="F27" i="33"/>
  <c r="F66" i="33"/>
  <c r="F18" i="33"/>
  <c r="F10" i="33"/>
  <c r="F53" i="33"/>
  <c r="F45" i="33"/>
  <c r="F21" i="33"/>
  <c r="F29" i="33"/>
  <c r="F37" i="33"/>
  <c r="F13" i="33"/>
  <c r="F69" i="33"/>
  <c r="F61" i="33"/>
  <c r="E71" i="32"/>
  <c r="E70" i="32"/>
  <c r="E69" i="32"/>
  <c r="E68" i="32"/>
  <c r="E67" i="32"/>
  <c r="E66" i="32"/>
  <c r="E65" i="32"/>
  <c r="E64" i="32"/>
  <c r="E63" i="32"/>
  <c r="E62" i="32"/>
  <c r="E61" i="32"/>
  <c r="E60" i="32"/>
  <c r="E59" i="32"/>
  <c r="E58" i="32"/>
  <c r="E57" i="32"/>
  <c r="E56" i="32"/>
  <c r="E55" i="32"/>
  <c r="E54" i="32"/>
  <c r="E53" i="32"/>
  <c r="E52" i="32"/>
  <c r="E51" i="32"/>
  <c r="E50" i="32"/>
  <c r="E49" i="32"/>
  <c r="E48" i="32"/>
  <c r="E47" i="32"/>
  <c r="E46" i="32"/>
  <c r="E45" i="32"/>
  <c r="E44" i="32"/>
  <c r="E43" i="32"/>
  <c r="E42" i="32"/>
  <c r="E41" i="32"/>
  <c r="E40" i="32"/>
  <c r="E39" i="32"/>
  <c r="E38" i="32"/>
  <c r="E37" i="32"/>
  <c r="E36" i="32"/>
  <c r="E35" i="32"/>
  <c r="E34" i="32"/>
  <c r="E33" i="32"/>
  <c r="E32" i="32"/>
  <c r="E31" i="32"/>
  <c r="E30" i="32"/>
  <c r="E29" i="32"/>
  <c r="E28" i="32"/>
  <c r="E27" i="32"/>
  <c r="E26" i="32"/>
  <c r="E25" i="32"/>
  <c r="E24" i="32"/>
  <c r="E23" i="32"/>
  <c r="E22" i="32"/>
  <c r="E21" i="32"/>
  <c r="E20" i="32"/>
  <c r="E19" i="32"/>
  <c r="E18" i="32"/>
  <c r="E17" i="32"/>
  <c r="E16" i="32"/>
  <c r="E15" i="32"/>
  <c r="E14" i="32"/>
  <c r="E13" i="32"/>
  <c r="E12" i="32"/>
  <c r="E11" i="32"/>
  <c r="E10" i="32"/>
  <c r="E9" i="32"/>
  <c r="E8" i="32"/>
  <c r="E7" i="32"/>
  <c r="E6" i="32"/>
  <c r="D71" i="32"/>
  <c r="D70" i="32"/>
  <c r="D69" i="32"/>
  <c r="D68" i="32"/>
  <c r="D67" i="32"/>
  <c r="D66" i="32"/>
  <c r="D65" i="32"/>
  <c r="D64" i="32"/>
  <c r="D63" i="32"/>
  <c r="D62" i="32"/>
  <c r="D61" i="32"/>
  <c r="D60" i="32"/>
  <c r="D59" i="32"/>
  <c r="D58" i="32"/>
  <c r="D57" i="32"/>
  <c r="D56" i="32"/>
  <c r="D55" i="32"/>
  <c r="D54" i="32"/>
  <c r="D53" i="32"/>
  <c r="D52" i="32"/>
  <c r="D51" i="32"/>
  <c r="D50" i="32"/>
  <c r="D49" i="32"/>
  <c r="D48" i="32"/>
  <c r="D47" i="32"/>
  <c r="D46" i="32"/>
  <c r="D45" i="32"/>
  <c r="D44" i="32"/>
  <c r="D43" i="32"/>
  <c r="D42" i="32"/>
  <c r="D41" i="32"/>
  <c r="D40" i="32"/>
  <c r="D39" i="32"/>
  <c r="D38" i="32"/>
  <c r="D37" i="32"/>
  <c r="D36" i="32"/>
  <c r="D35" i="32"/>
  <c r="D34" i="32"/>
  <c r="D33" i="32"/>
  <c r="D32" i="32"/>
  <c r="D31" i="32"/>
  <c r="D30" i="32"/>
  <c r="D29" i="32"/>
  <c r="D28" i="32"/>
  <c r="D27" i="32"/>
  <c r="D26" i="32"/>
  <c r="D25" i="32"/>
  <c r="D24" i="32"/>
  <c r="D23" i="32"/>
  <c r="D22" i="32"/>
  <c r="D21" i="32"/>
  <c r="D20" i="32"/>
  <c r="D19" i="32"/>
  <c r="D18" i="32"/>
  <c r="D17" i="32"/>
  <c r="D16" i="32"/>
  <c r="D15" i="32"/>
  <c r="D14" i="32"/>
  <c r="D13" i="32"/>
  <c r="D12" i="32"/>
  <c r="D11" i="32"/>
  <c r="D10" i="32"/>
  <c r="D9" i="32"/>
  <c r="D8" i="32"/>
  <c r="D7" i="32"/>
  <c r="D6" i="32"/>
  <c r="C71" i="32"/>
  <c r="C70" i="32"/>
  <c r="C69" i="32"/>
  <c r="C68" i="32"/>
  <c r="C67" i="32"/>
  <c r="C66" i="32"/>
  <c r="C65" i="32"/>
  <c r="C64" i="32"/>
  <c r="C63" i="32"/>
  <c r="C62" i="32"/>
  <c r="C61" i="32"/>
  <c r="C60" i="32"/>
  <c r="C59" i="32"/>
  <c r="C58" i="32"/>
  <c r="C57" i="32"/>
  <c r="C56" i="32"/>
  <c r="C55" i="32"/>
  <c r="C54" i="32"/>
  <c r="C53" i="32"/>
  <c r="C52" i="32"/>
  <c r="C51" i="32"/>
  <c r="C50" i="32"/>
  <c r="C49" i="32"/>
  <c r="C48" i="32"/>
  <c r="C47" i="32"/>
  <c r="C46" i="32"/>
  <c r="C45" i="32"/>
  <c r="C44" i="32"/>
  <c r="C43" i="32"/>
  <c r="C42" i="32"/>
  <c r="C41" i="32"/>
  <c r="C40" i="32"/>
  <c r="C39" i="32"/>
  <c r="C38" i="32"/>
  <c r="C37" i="32"/>
  <c r="C36" i="32"/>
  <c r="C35" i="32"/>
  <c r="C34" i="32"/>
  <c r="C33" i="32"/>
  <c r="C32" i="32"/>
  <c r="C31" i="32"/>
  <c r="C30" i="32"/>
  <c r="C29" i="32"/>
  <c r="C28" i="32"/>
  <c r="C27" i="32"/>
  <c r="C26" i="32"/>
  <c r="C25" i="32"/>
  <c r="C24" i="32"/>
  <c r="C23" i="32"/>
  <c r="C22" i="32"/>
  <c r="C21" i="32"/>
  <c r="C20" i="32"/>
  <c r="C19" i="32"/>
  <c r="C18" i="32"/>
  <c r="C17" i="32"/>
  <c r="C16" i="32"/>
  <c r="C15" i="32"/>
  <c r="C14" i="32"/>
  <c r="C13" i="32"/>
  <c r="C12" i="32"/>
  <c r="C11" i="32"/>
  <c r="C10" i="32"/>
  <c r="C9" i="32"/>
  <c r="C8" i="32"/>
  <c r="C7" i="32"/>
  <c r="C6" i="32"/>
  <c r="E5" i="32"/>
  <c r="D5" i="32"/>
  <c r="C5" i="32"/>
  <c r="B71" i="32"/>
  <c r="B70" i="32"/>
  <c r="B69" i="32"/>
  <c r="B68" i="32"/>
  <c r="B67" i="32"/>
  <c r="B66" i="32"/>
  <c r="B65" i="32"/>
  <c r="B64" i="32"/>
  <c r="B63" i="32"/>
  <c r="B62" i="32"/>
  <c r="B61" i="32"/>
  <c r="B60" i="32"/>
  <c r="B59" i="32"/>
  <c r="B58" i="32"/>
  <c r="B57" i="32"/>
  <c r="B56" i="32"/>
  <c r="B55" i="32"/>
  <c r="B54" i="32"/>
  <c r="B53" i="32"/>
  <c r="B52" i="32"/>
  <c r="B51" i="32"/>
  <c r="B50" i="32"/>
  <c r="B49" i="32"/>
  <c r="B48" i="32"/>
  <c r="B47" i="32"/>
  <c r="B46" i="32"/>
  <c r="B45" i="32"/>
  <c r="B44" i="32"/>
  <c r="B43" i="32"/>
  <c r="B42" i="32"/>
  <c r="B41" i="32"/>
  <c r="B40" i="32"/>
  <c r="B39" i="32"/>
  <c r="B38" i="32"/>
  <c r="B37" i="32"/>
  <c r="B36" i="32"/>
  <c r="B35" i="32"/>
  <c r="B34" i="32"/>
  <c r="B33" i="32"/>
  <c r="B32" i="32"/>
  <c r="B31" i="32"/>
  <c r="B30" i="32"/>
  <c r="B29" i="32"/>
  <c r="B28" i="32"/>
  <c r="B27" i="32"/>
  <c r="B26" i="32"/>
  <c r="B25" i="32"/>
  <c r="B24" i="32"/>
  <c r="B23" i="32"/>
  <c r="B22" i="32"/>
  <c r="B21" i="32"/>
  <c r="B20" i="32"/>
  <c r="B19" i="32"/>
  <c r="B18" i="32"/>
  <c r="B17" i="32"/>
  <c r="B16" i="32"/>
  <c r="B15" i="32"/>
  <c r="B14" i="32"/>
  <c r="B13" i="32"/>
  <c r="B12" i="32"/>
  <c r="B11" i="32"/>
  <c r="B10" i="32"/>
  <c r="B9" i="32"/>
  <c r="B8" i="32"/>
  <c r="B7" i="32"/>
  <c r="B6" i="32"/>
  <c r="B5" i="32"/>
  <c r="E71" i="31" l="1"/>
  <c r="E70" i="31"/>
  <c r="E69" i="31"/>
  <c r="E68" i="31"/>
  <c r="E67" i="31"/>
  <c r="E66" i="31"/>
  <c r="E65" i="31"/>
  <c r="E64" i="31"/>
  <c r="E63" i="31"/>
  <c r="E62" i="31"/>
  <c r="E61" i="31"/>
  <c r="E60" i="31"/>
  <c r="E59" i="31"/>
  <c r="E58" i="31"/>
  <c r="E57" i="31"/>
  <c r="E56" i="31"/>
  <c r="E55" i="31"/>
  <c r="E54" i="31"/>
  <c r="E53" i="31"/>
  <c r="E52" i="31"/>
  <c r="E51" i="31"/>
  <c r="E50" i="31"/>
  <c r="E49" i="31"/>
  <c r="E48" i="31"/>
  <c r="E47" i="31"/>
  <c r="E46" i="31"/>
  <c r="E45" i="31"/>
  <c r="E44" i="31"/>
  <c r="E43" i="31"/>
  <c r="E42" i="31"/>
  <c r="E41" i="31"/>
  <c r="E40" i="31"/>
  <c r="E39" i="31"/>
  <c r="E38" i="31"/>
  <c r="E37" i="31"/>
  <c r="E36" i="31"/>
  <c r="E35" i="31"/>
  <c r="E34" i="31"/>
  <c r="E33" i="31"/>
  <c r="E32" i="31"/>
  <c r="E31" i="31"/>
  <c r="E30" i="31"/>
  <c r="E29" i="31"/>
  <c r="E28" i="31"/>
  <c r="E27" i="31"/>
  <c r="E26" i="31"/>
  <c r="E25" i="31"/>
  <c r="E24" i="31"/>
  <c r="E23" i="31"/>
  <c r="E22" i="31"/>
  <c r="E21" i="31"/>
  <c r="E20" i="31"/>
  <c r="E19" i="31"/>
  <c r="E18" i="31"/>
  <c r="E17" i="31"/>
  <c r="E16" i="31"/>
  <c r="E15" i="31"/>
  <c r="E14" i="31"/>
  <c r="E13" i="31"/>
  <c r="E12" i="31"/>
  <c r="E11" i="31"/>
  <c r="E10" i="31"/>
  <c r="E9" i="31"/>
  <c r="E8" i="31"/>
  <c r="E7" i="31"/>
  <c r="E6" i="31"/>
  <c r="E5" i="31"/>
  <c r="D71" i="31"/>
  <c r="D70" i="31"/>
  <c r="D69" i="31"/>
  <c r="D68" i="31"/>
  <c r="D67" i="31"/>
  <c r="D66" i="31"/>
  <c r="D65" i="31"/>
  <c r="D64" i="31"/>
  <c r="D63" i="31"/>
  <c r="D62" i="31"/>
  <c r="D61" i="31"/>
  <c r="D60" i="31"/>
  <c r="D59" i="31"/>
  <c r="D58" i="31"/>
  <c r="D57" i="31"/>
  <c r="D56" i="31"/>
  <c r="D55" i="31"/>
  <c r="D54" i="31"/>
  <c r="D53" i="31"/>
  <c r="D52" i="31"/>
  <c r="D51" i="31"/>
  <c r="D50" i="31"/>
  <c r="D49" i="31"/>
  <c r="D48" i="31"/>
  <c r="D47" i="31"/>
  <c r="D46" i="31"/>
  <c r="D45" i="31"/>
  <c r="D44" i="31"/>
  <c r="D43" i="31"/>
  <c r="D42" i="31"/>
  <c r="D41" i="31"/>
  <c r="D40" i="31"/>
  <c r="D39" i="31"/>
  <c r="D38" i="31"/>
  <c r="D37" i="31"/>
  <c r="D36" i="31"/>
  <c r="D35" i="31"/>
  <c r="D34" i="31"/>
  <c r="D33" i="31"/>
  <c r="D32" i="31"/>
  <c r="D31" i="31"/>
  <c r="D30" i="31"/>
  <c r="D29" i="31"/>
  <c r="D28" i="31"/>
  <c r="D27" i="31"/>
  <c r="D26" i="31"/>
  <c r="D25" i="31"/>
  <c r="D24" i="31"/>
  <c r="D23" i="31"/>
  <c r="D22" i="31"/>
  <c r="D21" i="31"/>
  <c r="D20" i="31"/>
  <c r="D19" i="31"/>
  <c r="D18" i="31"/>
  <c r="D17" i="31"/>
  <c r="D16" i="31"/>
  <c r="D15" i="31"/>
  <c r="D14" i="31"/>
  <c r="D13" i="31"/>
  <c r="D12" i="31"/>
  <c r="D11" i="31"/>
  <c r="D10" i="31"/>
  <c r="D9" i="31"/>
  <c r="D8" i="31"/>
  <c r="D7" i="31"/>
  <c r="D6" i="31"/>
  <c r="D5" i="31"/>
  <c r="C71" i="31"/>
  <c r="C70" i="31"/>
  <c r="C69" i="31"/>
  <c r="C68" i="31"/>
  <c r="C67" i="31"/>
  <c r="C66" i="31"/>
  <c r="C65" i="31"/>
  <c r="C64" i="31"/>
  <c r="C63" i="31"/>
  <c r="C62" i="31"/>
  <c r="C61" i="31"/>
  <c r="C60" i="31"/>
  <c r="C59" i="31"/>
  <c r="C58" i="31"/>
  <c r="C57" i="31"/>
  <c r="C56" i="31"/>
  <c r="C55" i="31"/>
  <c r="C54" i="31"/>
  <c r="C53" i="31"/>
  <c r="C52" i="31"/>
  <c r="C51" i="31"/>
  <c r="C50" i="31"/>
  <c r="C49" i="31"/>
  <c r="C48" i="31"/>
  <c r="C47" i="31"/>
  <c r="C46" i="31"/>
  <c r="C45" i="31"/>
  <c r="C44" i="31"/>
  <c r="C43" i="31"/>
  <c r="C42" i="31"/>
  <c r="C41" i="31"/>
  <c r="C40" i="31"/>
  <c r="C39" i="31"/>
  <c r="C38" i="31"/>
  <c r="C37" i="31"/>
  <c r="C36" i="31"/>
  <c r="C35" i="31"/>
  <c r="C34" i="31"/>
  <c r="C33" i="31"/>
  <c r="C32" i="31"/>
  <c r="C31" i="31"/>
  <c r="C30" i="31"/>
  <c r="C29" i="31"/>
  <c r="C28" i="31"/>
  <c r="C27" i="31"/>
  <c r="C26" i="31"/>
  <c r="C25" i="31"/>
  <c r="C24" i="31"/>
  <c r="C23" i="31"/>
  <c r="C22" i="31"/>
  <c r="C21" i="31"/>
  <c r="C20" i="31"/>
  <c r="C19" i="31"/>
  <c r="C18" i="31"/>
  <c r="C17" i="31"/>
  <c r="C16" i="31"/>
  <c r="C15" i="31"/>
  <c r="C14" i="31"/>
  <c r="C13" i="31"/>
  <c r="C12" i="31"/>
  <c r="C11" i="31"/>
  <c r="C10" i="31"/>
  <c r="C9" i="31"/>
  <c r="C8" i="31"/>
  <c r="C7" i="31"/>
  <c r="C6" i="31"/>
  <c r="C5" i="31"/>
  <c r="B71" i="31"/>
  <c r="B70" i="31"/>
  <c r="B69" i="31"/>
  <c r="B68" i="31"/>
  <c r="B67" i="31"/>
  <c r="B66" i="31"/>
  <c r="B65" i="31"/>
  <c r="B64" i="31"/>
  <c r="B63" i="31"/>
  <c r="B62" i="31"/>
  <c r="B61" i="31"/>
  <c r="B60" i="31"/>
  <c r="B59" i="31"/>
  <c r="B58" i="31"/>
  <c r="B57" i="31"/>
  <c r="B56" i="31"/>
  <c r="B55" i="31"/>
  <c r="B54" i="31"/>
  <c r="B53" i="31"/>
  <c r="B52" i="31"/>
  <c r="B51" i="31"/>
  <c r="B50" i="31"/>
  <c r="B49" i="31"/>
  <c r="B48" i="31"/>
  <c r="B47" i="31"/>
  <c r="B46" i="31"/>
  <c r="B45" i="31"/>
  <c r="B44" i="31"/>
  <c r="B43" i="31"/>
  <c r="B42" i="31"/>
  <c r="B41" i="31"/>
  <c r="B40" i="31"/>
  <c r="B39" i="31"/>
  <c r="B38" i="31"/>
  <c r="B37" i="31"/>
  <c r="B36" i="31"/>
  <c r="B35" i="31"/>
  <c r="B34" i="31"/>
  <c r="B33" i="31"/>
  <c r="B32" i="31"/>
  <c r="B31" i="31"/>
  <c r="B30" i="31"/>
  <c r="B29" i="31"/>
  <c r="B28" i="31"/>
  <c r="B27" i="31"/>
  <c r="B26" i="31"/>
  <c r="B25" i="31"/>
  <c r="B24" i="31"/>
  <c r="B23" i="31"/>
  <c r="B22" i="31"/>
  <c r="B21" i="31"/>
  <c r="B20" i="31"/>
  <c r="B19" i="31"/>
  <c r="B18" i="31"/>
  <c r="B17" i="31"/>
  <c r="B16" i="31"/>
  <c r="B15" i="31"/>
  <c r="B14" i="31"/>
  <c r="B13" i="31"/>
  <c r="B12" i="31"/>
  <c r="B11" i="31"/>
  <c r="B10" i="31"/>
  <c r="B9" i="31"/>
  <c r="B8" i="31"/>
  <c r="B7" i="31"/>
  <c r="B6" i="31"/>
  <c r="B5" i="31"/>
  <c r="B5" i="30"/>
  <c r="E71" i="30" l="1"/>
  <c r="E70" i="30"/>
  <c r="E69" i="30"/>
  <c r="E68" i="30"/>
  <c r="E67" i="30"/>
  <c r="E66" i="30"/>
  <c r="E65" i="30"/>
  <c r="E64" i="30"/>
  <c r="E63" i="30"/>
  <c r="E62" i="30"/>
  <c r="E61" i="30"/>
  <c r="E60" i="30"/>
  <c r="E59" i="30"/>
  <c r="E58" i="30"/>
  <c r="E57" i="30"/>
  <c r="E56" i="30"/>
  <c r="E55" i="30"/>
  <c r="E54" i="30"/>
  <c r="E53" i="30"/>
  <c r="E52" i="30"/>
  <c r="E51" i="30"/>
  <c r="E50" i="30"/>
  <c r="E49" i="30"/>
  <c r="E48" i="30"/>
  <c r="E47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34" i="30"/>
  <c r="E33" i="30"/>
  <c r="E32" i="30"/>
  <c r="E31" i="30"/>
  <c r="E30" i="30"/>
  <c r="E29" i="30"/>
  <c r="E28" i="30"/>
  <c r="E27" i="30"/>
  <c r="E26" i="30"/>
  <c r="E25" i="30"/>
  <c r="E24" i="30"/>
  <c r="E23" i="30"/>
  <c r="E22" i="30"/>
  <c r="E21" i="30"/>
  <c r="E20" i="30"/>
  <c r="E19" i="30"/>
  <c r="E18" i="30"/>
  <c r="E17" i="30"/>
  <c r="E16" i="30"/>
  <c r="E15" i="30"/>
  <c r="E14" i="30"/>
  <c r="E13" i="30"/>
  <c r="E12" i="30"/>
  <c r="E11" i="30"/>
  <c r="E10" i="30"/>
  <c r="E9" i="30"/>
  <c r="E8" i="30"/>
  <c r="E7" i="30"/>
  <c r="E6" i="30"/>
  <c r="D71" i="30"/>
  <c r="D70" i="30"/>
  <c r="D69" i="30"/>
  <c r="D68" i="30"/>
  <c r="D67" i="30"/>
  <c r="D66" i="30"/>
  <c r="D65" i="30"/>
  <c r="D64" i="30"/>
  <c r="D63" i="30"/>
  <c r="D62" i="30"/>
  <c r="D61" i="30"/>
  <c r="D60" i="30"/>
  <c r="D59" i="30"/>
  <c r="D58" i="30"/>
  <c r="D57" i="30"/>
  <c r="D56" i="30"/>
  <c r="D55" i="30"/>
  <c r="D54" i="30"/>
  <c r="D53" i="30"/>
  <c r="D52" i="30"/>
  <c r="D51" i="30"/>
  <c r="D50" i="30"/>
  <c r="D49" i="30"/>
  <c r="D48" i="30"/>
  <c r="D47" i="30"/>
  <c r="D46" i="30"/>
  <c r="D45" i="30"/>
  <c r="D44" i="30"/>
  <c r="D43" i="30"/>
  <c r="D42" i="30"/>
  <c r="D41" i="30"/>
  <c r="D40" i="30"/>
  <c r="D39" i="30"/>
  <c r="D38" i="30"/>
  <c r="D37" i="30"/>
  <c r="D36" i="30"/>
  <c r="D35" i="30"/>
  <c r="D34" i="30"/>
  <c r="D33" i="30"/>
  <c r="D32" i="30"/>
  <c r="D31" i="30"/>
  <c r="D30" i="30"/>
  <c r="D29" i="30"/>
  <c r="D28" i="30"/>
  <c r="D27" i="30"/>
  <c r="D26" i="30"/>
  <c r="D25" i="30"/>
  <c r="D24" i="30"/>
  <c r="D23" i="30"/>
  <c r="D22" i="30"/>
  <c r="D21" i="30"/>
  <c r="D20" i="30"/>
  <c r="D19" i="30"/>
  <c r="D18" i="30"/>
  <c r="D17" i="30"/>
  <c r="D16" i="30"/>
  <c r="D15" i="30"/>
  <c r="D14" i="30"/>
  <c r="D13" i="30"/>
  <c r="D12" i="30"/>
  <c r="D11" i="30"/>
  <c r="D10" i="30"/>
  <c r="D9" i="30"/>
  <c r="D8" i="30"/>
  <c r="D7" i="30"/>
  <c r="D6" i="30"/>
  <c r="C71" i="30"/>
  <c r="C70" i="30"/>
  <c r="C69" i="30"/>
  <c r="C68" i="30"/>
  <c r="C67" i="30"/>
  <c r="C66" i="30"/>
  <c r="C65" i="30"/>
  <c r="C64" i="30"/>
  <c r="C63" i="30"/>
  <c r="C62" i="30"/>
  <c r="C61" i="30"/>
  <c r="C60" i="30"/>
  <c r="C59" i="30"/>
  <c r="C58" i="30"/>
  <c r="C57" i="30"/>
  <c r="C56" i="30"/>
  <c r="C55" i="30"/>
  <c r="C54" i="30"/>
  <c r="C53" i="30"/>
  <c r="C52" i="30"/>
  <c r="C51" i="30"/>
  <c r="C50" i="30"/>
  <c r="C49" i="30"/>
  <c r="C48" i="30"/>
  <c r="C47" i="30"/>
  <c r="C46" i="30"/>
  <c r="C45" i="30"/>
  <c r="C44" i="30"/>
  <c r="C43" i="30"/>
  <c r="C42" i="30"/>
  <c r="C41" i="30"/>
  <c r="C40" i="30"/>
  <c r="C39" i="30"/>
  <c r="C38" i="30"/>
  <c r="C37" i="30"/>
  <c r="C36" i="30"/>
  <c r="C35" i="30"/>
  <c r="C34" i="30"/>
  <c r="C33" i="30"/>
  <c r="C32" i="30"/>
  <c r="C31" i="30"/>
  <c r="C30" i="30"/>
  <c r="C29" i="30"/>
  <c r="C28" i="30"/>
  <c r="C27" i="30"/>
  <c r="C26" i="30"/>
  <c r="C25" i="30"/>
  <c r="C24" i="30"/>
  <c r="C23" i="30"/>
  <c r="C22" i="30"/>
  <c r="C21" i="30"/>
  <c r="C20" i="30"/>
  <c r="C19" i="30"/>
  <c r="C18" i="30"/>
  <c r="C17" i="30"/>
  <c r="C16" i="30"/>
  <c r="C15" i="30"/>
  <c r="C14" i="30"/>
  <c r="C13" i="30"/>
  <c r="C12" i="30"/>
  <c r="C11" i="30"/>
  <c r="C10" i="30"/>
  <c r="C9" i="30"/>
  <c r="C8" i="30"/>
  <c r="C7" i="30"/>
  <c r="C6" i="30"/>
  <c r="B71" i="30"/>
  <c r="B70" i="30"/>
  <c r="B69" i="30"/>
  <c r="B68" i="30"/>
  <c r="B67" i="30"/>
  <c r="B66" i="30"/>
  <c r="B65" i="30"/>
  <c r="B64" i="30"/>
  <c r="B63" i="30"/>
  <c r="B62" i="30"/>
  <c r="B61" i="30"/>
  <c r="B60" i="30"/>
  <c r="B59" i="30"/>
  <c r="B58" i="30"/>
  <c r="B57" i="30"/>
  <c r="B56" i="30"/>
  <c r="B55" i="30"/>
  <c r="B54" i="30"/>
  <c r="B53" i="30"/>
  <c r="B52" i="30"/>
  <c r="B51" i="30"/>
  <c r="B50" i="30"/>
  <c r="B49" i="30"/>
  <c r="B48" i="30"/>
  <c r="B47" i="30"/>
  <c r="B46" i="30"/>
  <c r="B45" i="30"/>
  <c r="B44" i="30"/>
  <c r="B43" i="30"/>
  <c r="B42" i="30"/>
  <c r="B41" i="30"/>
  <c r="B40" i="30"/>
  <c r="B39" i="30"/>
  <c r="B38" i="30"/>
  <c r="B37" i="30"/>
  <c r="B36" i="30"/>
  <c r="B35" i="30"/>
  <c r="B34" i="30"/>
  <c r="B33" i="30"/>
  <c r="B32" i="30"/>
  <c r="B31" i="30"/>
  <c r="B30" i="30"/>
  <c r="B29" i="30"/>
  <c r="B28" i="30"/>
  <c r="B27" i="30"/>
  <c r="B26" i="30"/>
  <c r="B25" i="30"/>
  <c r="B24" i="30"/>
  <c r="B23" i="30"/>
  <c r="B22" i="30"/>
  <c r="B21" i="30"/>
  <c r="B20" i="30"/>
  <c r="B19" i="30"/>
  <c r="B18" i="30"/>
  <c r="B17" i="30"/>
  <c r="B16" i="30"/>
  <c r="B15" i="30"/>
  <c r="B14" i="30"/>
  <c r="B13" i="30"/>
  <c r="B12" i="30"/>
  <c r="B11" i="30"/>
  <c r="B10" i="30"/>
  <c r="B9" i="30"/>
  <c r="B8" i="30"/>
  <c r="B7" i="30"/>
  <c r="B6" i="30"/>
  <c r="E5" i="30"/>
  <c r="D5" i="30"/>
  <c r="C5" i="30"/>
  <c r="E71" i="29" l="1"/>
  <c r="E70" i="29"/>
  <c r="E69" i="29"/>
  <c r="E68" i="29"/>
  <c r="E67" i="29"/>
  <c r="E66" i="29"/>
  <c r="E65" i="29"/>
  <c r="E64" i="29"/>
  <c r="E63" i="29"/>
  <c r="E62" i="29"/>
  <c r="E61" i="29"/>
  <c r="E60" i="29"/>
  <c r="E59" i="29"/>
  <c r="E58" i="29"/>
  <c r="E57" i="29"/>
  <c r="E56" i="29"/>
  <c r="E55" i="29"/>
  <c r="E54" i="29"/>
  <c r="E53" i="29"/>
  <c r="E52" i="29"/>
  <c r="E51" i="29"/>
  <c r="E50" i="29"/>
  <c r="E49" i="29"/>
  <c r="E48" i="29"/>
  <c r="E47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34" i="29"/>
  <c r="E33" i="29"/>
  <c r="E32" i="29"/>
  <c r="E31" i="29"/>
  <c r="E30" i="29"/>
  <c r="E29" i="29"/>
  <c r="E28" i="29"/>
  <c r="E27" i="29"/>
  <c r="E26" i="29"/>
  <c r="E25" i="29"/>
  <c r="E24" i="29"/>
  <c r="E23" i="29"/>
  <c r="E22" i="29"/>
  <c r="E21" i="29"/>
  <c r="E20" i="29"/>
  <c r="E19" i="29"/>
  <c r="E18" i="29"/>
  <c r="E17" i="29"/>
  <c r="E16" i="29"/>
  <c r="E15" i="29"/>
  <c r="E14" i="29"/>
  <c r="E13" i="29"/>
  <c r="E12" i="29"/>
  <c r="E11" i="29"/>
  <c r="E10" i="29"/>
  <c r="E9" i="29"/>
  <c r="E8" i="29"/>
  <c r="E7" i="29"/>
  <c r="E6" i="29"/>
  <c r="D71" i="29"/>
  <c r="D70" i="29"/>
  <c r="D69" i="29"/>
  <c r="D68" i="29"/>
  <c r="D67" i="29"/>
  <c r="D66" i="29"/>
  <c r="D65" i="29"/>
  <c r="D64" i="29"/>
  <c r="D63" i="29"/>
  <c r="D62" i="29"/>
  <c r="D61" i="29"/>
  <c r="D60" i="29"/>
  <c r="D59" i="29"/>
  <c r="D58" i="29"/>
  <c r="D57" i="29"/>
  <c r="D56" i="29"/>
  <c r="D55" i="29"/>
  <c r="D54" i="29"/>
  <c r="D53" i="29"/>
  <c r="D52" i="29"/>
  <c r="D51" i="29"/>
  <c r="D50" i="29"/>
  <c r="D49" i="29"/>
  <c r="D48" i="29"/>
  <c r="D47" i="29"/>
  <c r="D46" i="29"/>
  <c r="D45" i="29"/>
  <c r="D44" i="29"/>
  <c r="D43" i="29"/>
  <c r="D42" i="29"/>
  <c r="D41" i="29"/>
  <c r="D40" i="29"/>
  <c r="D39" i="29"/>
  <c r="D38" i="29"/>
  <c r="D37" i="29"/>
  <c r="D36" i="29"/>
  <c r="D35" i="29"/>
  <c r="D34" i="29"/>
  <c r="D33" i="29"/>
  <c r="D32" i="29"/>
  <c r="D31" i="29"/>
  <c r="D30" i="29"/>
  <c r="D29" i="29"/>
  <c r="D28" i="29"/>
  <c r="D27" i="29"/>
  <c r="D26" i="29"/>
  <c r="D25" i="29"/>
  <c r="D24" i="29"/>
  <c r="D23" i="29"/>
  <c r="D22" i="29"/>
  <c r="D21" i="29"/>
  <c r="D20" i="29"/>
  <c r="D19" i="29"/>
  <c r="D18" i="29"/>
  <c r="D17" i="29"/>
  <c r="D16" i="29"/>
  <c r="D15" i="29"/>
  <c r="D14" i="29"/>
  <c r="D13" i="29"/>
  <c r="D12" i="29"/>
  <c r="D11" i="29"/>
  <c r="D10" i="29"/>
  <c r="D9" i="29"/>
  <c r="D8" i="29"/>
  <c r="D7" i="29"/>
  <c r="D6" i="29"/>
  <c r="C71" i="29"/>
  <c r="C70" i="29"/>
  <c r="C69" i="29"/>
  <c r="C68" i="29"/>
  <c r="C67" i="29"/>
  <c r="C66" i="29"/>
  <c r="C65" i="29"/>
  <c r="C64" i="29"/>
  <c r="C63" i="29"/>
  <c r="C62" i="29"/>
  <c r="C61" i="29"/>
  <c r="C60" i="29"/>
  <c r="C59" i="29"/>
  <c r="C58" i="29"/>
  <c r="C57" i="29"/>
  <c r="C56" i="29"/>
  <c r="C55" i="29"/>
  <c r="C54" i="29"/>
  <c r="C53" i="29"/>
  <c r="C52" i="29"/>
  <c r="C51" i="29"/>
  <c r="C50" i="29"/>
  <c r="C49" i="29"/>
  <c r="C48" i="29"/>
  <c r="C47" i="29"/>
  <c r="C46" i="29"/>
  <c r="C45" i="29"/>
  <c r="C44" i="29"/>
  <c r="C43" i="29"/>
  <c r="C42" i="29"/>
  <c r="C41" i="29"/>
  <c r="C40" i="29"/>
  <c r="C39" i="29"/>
  <c r="C38" i="29"/>
  <c r="C37" i="29"/>
  <c r="C36" i="29"/>
  <c r="C35" i="29"/>
  <c r="C34" i="29"/>
  <c r="C33" i="29"/>
  <c r="C32" i="29"/>
  <c r="C31" i="29"/>
  <c r="C30" i="29"/>
  <c r="C29" i="29"/>
  <c r="C28" i="29"/>
  <c r="C27" i="29"/>
  <c r="C26" i="29"/>
  <c r="C25" i="29"/>
  <c r="C24" i="29"/>
  <c r="C23" i="29"/>
  <c r="C22" i="29"/>
  <c r="C21" i="29"/>
  <c r="C20" i="29"/>
  <c r="C19" i="29"/>
  <c r="C18" i="29"/>
  <c r="C17" i="29"/>
  <c r="C16" i="29"/>
  <c r="C15" i="29"/>
  <c r="C14" i="29"/>
  <c r="C13" i="29"/>
  <c r="C12" i="29"/>
  <c r="C11" i="29"/>
  <c r="C10" i="29"/>
  <c r="C9" i="29"/>
  <c r="C8" i="29"/>
  <c r="C7" i="29"/>
  <c r="C6" i="29"/>
  <c r="B71" i="29"/>
  <c r="B70" i="29"/>
  <c r="B69" i="29"/>
  <c r="B68" i="29"/>
  <c r="B67" i="29"/>
  <c r="B66" i="29"/>
  <c r="B65" i="29"/>
  <c r="B64" i="29"/>
  <c r="B63" i="29"/>
  <c r="B62" i="29"/>
  <c r="B61" i="29"/>
  <c r="B60" i="29"/>
  <c r="B59" i="29"/>
  <c r="B58" i="29"/>
  <c r="B57" i="29"/>
  <c r="B56" i="29"/>
  <c r="B55" i="29"/>
  <c r="B54" i="29"/>
  <c r="B53" i="29"/>
  <c r="B52" i="29"/>
  <c r="B51" i="29"/>
  <c r="B50" i="29"/>
  <c r="B49" i="29"/>
  <c r="B48" i="29"/>
  <c r="B47" i="29"/>
  <c r="B46" i="29"/>
  <c r="B45" i="29"/>
  <c r="B44" i="29"/>
  <c r="B43" i="29"/>
  <c r="B42" i="29"/>
  <c r="B41" i="29"/>
  <c r="B40" i="29"/>
  <c r="B39" i="29"/>
  <c r="B38" i="29"/>
  <c r="B37" i="29"/>
  <c r="B36" i="29"/>
  <c r="B35" i="29"/>
  <c r="B34" i="29"/>
  <c r="B33" i="29"/>
  <c r="B32" i="29"/>
  <c r="B31" i="29"/>
  <c r="B30" i="29"/>
  <c r="B29" i="29"/>
  <c r="B28" i="29"/>
  <c r="B27" i="29"/>
  <c r="B26" i="29"/>
  <c r="B25" i="29"/>
  <c r="B24" i="29"/>
  <c r="B23" i="29"/>
  <c r="B22" i="29"/>
  <c r="B21" i="29"/>
  <c r="B20" i="29"/>
  <c r="B19" i="29"/>
  <c r="B18" i="29"/>
  <c r="B17" i="29"/>
  <c r="B16" i="29"/>
  <c r="B15" i="29"/>
  <c r="B14" i="29"/>
  <c r="B13" i="29"/>
  <c r="B12" i="29"/>
  <c r="B11" i="29"/>
  <c r="B10" i="29"/>
  <c r="B9" i="29"/>
  <c r="B8" i="29"/>
  <c r="B7" i="29"/>
  <c r="B6" i="29"/>
  <c r="E5" i="29"/>
  <c r="D5" i="29"/>
  <c r="C5" i="29"/>
  <c r="B5" i="29"/>
  <c r="B5" i="28"/>
  <c r="E71" i="28" l="1"/>
  <c r="E70" i="28"/>
  <c r="E69" i="28"/>
  <c r="E68" i="28"/>
  <c r="E67" i="28"/>
  <c r="E66" i="28"/>
  <c r="E65" i="28"/>
  <c r="E64" i="28"/>
  <c r="E63" i="28"/>
  <c r="E62" i="28"/>
  <c r="E61" i="28"/>
  <c r="E60" i="28"/>
  <c r="E59" i="28"/>
  <c r="E58" i="28"/>
  <c r="E57" i="28"/>
  <c r="E56" i="28"/>
  <c r="E55" i="28"/>
  <c r="E54" i="28"/>
  <c r="E53" i="28"/>
  <c r="E52" i="28"/>
  <c r="E51" i="28"/>
  <c r="E50" i="28"/>
  <c r="E49" i="28"/>
  <c r="E48" i="28"/>
  <c r="E47" i="28"/>
  <c r="E46" i="28"/>
  <c r="E45" i="28"/>
  <c r="E44" i="28"/>
  <c r="E43" i="28"/>
  <c r="E42" i="28"/>
  <c r="E41" i="28"/>
  <c r="E40" i="28"/>
  <c r="E39" i="28"/>
  <c r="E38" i="28"/>
  <c r="E37" i="28"/>
  <c r="E36" i="28"/>
  <c r="E35" i="28"/>
  <c r="E34" i="28"/>
  <c r="E33" i="28"/>
  <c r="E32" i="28"/>
  <c r="E31" i="28"/>
  <c r="E30" i="28"/>
  <c r="E29" i="28"/>
  <c r="E28" i="28"/>
  <c r="E27" i="28"/>
  <c r="E26" i="28"/>
  <c r="E25" i="28"/>
  <c r="E24" i="28"/>
  <c r="E23" i="28"/>
  <c r="E22" i="28"/>
  <c r="E21" i="28"/>
  <c r="E20" i="28"/>
  <c r="E19" i="28"/>
  <c r="E18" i="28"/>
  <c r="E17" i="28"/>
  <c r="E16" i="28"/>
  <c r="E15" i="28"/>
  <c r="E14" i="28"/>
  <c r="E13" i="28"/>
  <c r="E12" i="28"/>
  <c r="E11" i="28"/>
  <c r="E10" i="28"/>
  <c r="E9" i="28"/>
  <c r="E8" i="28"/>
  <c r="E7" i="28"/>
  <c r="E6" i="28"/>
  <c r="E5" i="28"/>
  <c r="D71" i="28"/>
  <c r="D70" i="28"/>
  <c r="D69" i="28"/>
  <c r="D68" i="28"/>
  <c r="D67" i="28"/>
  <c r="D66" i="28"/>
  <c r="D65" i="28"/>
  <c r="D64" i="28"/>
  <c r="D63" i="28"/>
  <c r="D62" i="28"/>
  <c r="D61" i="28"/>
  <c r="D60" i="28"/>
  <c r="D59" i="28"/>
  <c r="D58" i="28"/>
  <c r="D57" i="28"/>
  <c r="D56" i="28"/>
  <c r="D55" i="28"/>
  <c r="D54" i="28"/>
  <c r="D53" i="28"/>
  <c r="D52" i="28"/>
  <c r="D51" i="28"/>
  <c r="D50" i="28"/>
  <c r="D49" i="28"/>
  <c r="D48" i="28"/>
  <c r="D47" i="28"/>
  <c r="D46" i="28"/>
  <c r="D45" i="28"/>
  <c r="D44" i="28"/>
  <c r="D43" i="28"/>
  <c r="D42" i="28"/>
  <c r="D41" i="28"/>
  <c r="D40" i="28"/>
  <c r="D39" i="28"/>
  <c r="D38" i="28"/>
  <c r="D37" i="28"/>
  <c r="D36" i="28"/>
  <c r="D35" i="28"/>
  <c r="D34" i="28"/>
  <c r="D33" i="28"/>
  <c r="D32" i="28"/>
  <c r="D31" i="28"/>
  <c r="D30" i="28"/>
  <c r="D29" i="28"/>
  <c r="D28" i="28"/>
  <c r="D27" i="28"/>
  <c r="D26" i="28"/>
  <c r="D25" i="28"/>
  <c r="D24" i="28"/>
  <c r="D23" i="28"/>
  <c r="D22" i="28"/>
  <c r="D21" i="28"/>
  <c r="D20" i="28"/>
  <c r="D19" i="28"/>
  <c r="D18" i="28"/>
  <c r="D17" i="28"/>
  <c r="D16" i="28"/>
  <c r="D15" i="28"/>
  <c r="D14" i="28"/>
  <c r="D13" i="28"/>
  <c r="D12" i="28"/>
  <c r="D11" i="28"/>
  <c r="D10" i="28"/>
  <c r="D9" i="28"/>
  <c r="D8" i="28"/>
  <c r="D7" i="28"/>
  <c r="D6" i="28"/>
  <c r="D5" i="28"/>
  <c r="C71" i="28"/>
  <c r="C70" i="28"/>
  <c r="C69" i="28"/>
  <c r="C68" i="28"/>
  <c r="C67" i="28"/>
  <c r="C66" i="28"/>
  <c r="C65" i="28"/>
  <c r="C64" i="28"/>
  <c r="C63" i="28"/>
  <c r="C62" i="28"/>
  <c r="C61" i="28"/>
  <c r="C60" i="28"/>
  <c r="C59" i="28"/>
  <c r="C58" i="28"/>
  <c r="C57" i="28"/>
  <c r="C56" i="28"/>
  <c r="C55" i="28"/>
  <c r="C54" i="28"/>
  <c r="C53" i="28"/>
  <c r="C52" i="28"/>
  <c r="C51" i="28"/>
  <c r="C50" i="28"/>
  <c r="C49" i="28"/>
  <c r="C48" i="28"/>
  <c r="C47" i="28"/>
  <c r="C46" i="28"/>
  <c r="C45" i="28"/>
  <c r="C44" i="28"/>
  <c r="C43" i="28"/>
  <c r="C42" i="28"/>
  <c r="C41" i="28"/>
  <c r="C40" i="28"/>
  <c r="C39" i="28"/>
  <c r="C38" i="28"/>
  <c r="C37" i="28"/>
  <c r="C36" i="28"/>
  <c r="C35" i="28"/>
  <c r="C34" i="28"/>
  <c r="C33" i="28"/>
  <c r="C32" i="28"/>
  <c r="C31" i="28"/>
  <c r="C30" i="28"/>
  <c r="C29" i="28"/>
  <c r="C28" i="28"/>
  <c r="C27" i="28"/>
  <c r="C26" i="28"/>
  <c r="C25" i="28"/>
  <c r="C24" i="28"/>
  <c r="C23" i="28"/>
  <c r="C22" i="28"/>
  <c r="C21" i="28"/>
  <c r="C20" i="28"/>
  <c r="C19" i="28"/>
  <c r="C18" i="28"/>
  <c r="C17" i="28"/>
  <c r="C16" i="28"/>
  <c r="C15" i="28"/>
  <c r="C14" i="28"/>
  <c r="C13" i="28"/>
  <c r="C12" i="28"/>
  <c r="C11" i="28"/>
  <c r="C10" i="28"/>
  <c r="C9" i="28"/>
  <c r="C8" i="28"/>
  <c r="C7" i="28"/>
  <c r="C6" i="28"/>
  <c r="C5" i="28"/>
  <c r="B71" i="28"/>
  <c r="B70" i="28"/>
  <c r="B69" i="28"/>
  <c r="B68" i="28"/>
  <c r="B67" i="28"/>
  <c r="B66" i="28"/>
  <c r="B65" i="28"/>
  <c r="B64" i="28"/>
  <c r="B63" i="28"/>
  <c r="B62" i="28"/>
  <c r="B61" i="28"/>
  <c r="B60" i="28"/>
  <c r="B59" i="28"/>
  <c r="B58" i="28"/>
  <c r="B57" i="28"/>
  <c r="B56" i="28"/>
  <c r="B55" i="28"/>
  <c r="B54" i="28"/>
  <c r="B53" i="28"/>
  <c r="B52" i="28"/>
  <c r="B51" i="28"/>
  <c r="B50" i="28"/>
  <c r="B49" i="28"/>
  <c r="B48" i="28"/>
  <c r="B47" i="28"/>
  <c r="B46" i="28"/>
  <c r="B45" i="28"/>
  <c r="B44" i="28"/>
  <c r="B43" i="28"/>
  <c r="B42" i="28"/>
  <c r="B41" i="28"/>
  <c r="B40" i="28"/>
  <c r="B39" i="28"/>
  <c r="B38" i="28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E71" i="27" l="1"/>
  <c r="E70" i="27"/>
  <c r="E69" i="27"/>
  <c r="E68" i="27"/>
  <c r="E67" i="27"/>
  <c r="E66" i="27"/>
  <c r="E65" i="27"/>
  <c r="E64" i="27"/>
  <c r="E63" i="27"/>
  <c r="E62" i="27"/>
  <c r="E61" i="27"/>
  <c r="E60" i="27"/>
  <c r="E59" i="27"/>
  <c r="E58" i="27"/>
  <c r="E57" i="27"/>
  <c r="E56" i="27"/>
  <c r="E55" i="27"/>
  <c r="E54" i="27"/>
  <c r="E53" i="27"/>
  <c r="E52" i="27"/>
  <c r="E51" i="27"/>
  <c r="E50" i="27"/>
  <c r="E49" i="27"/>
  <c r="E48" i="27"/>
  <c r="E47" i="27"/>
  <c r="E46" i="27"/>
  <c r="E45" i="27"/>
  <c r="E44" i="27"/>
  <c r="E43" i="27"/>
  <c r="E42" i="27"/>
  <c r="E41" i="27"/>
  <c r="E40" i="27"/>
  <c r="E39" i="27"/>
  <c r="E38" i="27"/>
  <c r="E37" i="27"/>
  <c r="E36" i="27"/>
  <c r="E35" i="27"/>
  <c r="E34" i="27"/>
  <c r="E33" i="27"/>
  <c r="E32" i="27"/>
  <c r="E31" i="27"/>
  <c r="E30" i="27"/>
  <c r="E29" i="27"/>
  <c r="E28" i="27"/>
  <c r="E27" i="27"/>
  <c r="E26" i="27"/>
  <c r="E25" i="27"/>
  <c r="E24" i="27"/>
  <c r="E23" i="27"/>
  <c r="E22" i="27"/>
  <c r="E21" i="27"/>
  <c r="E20" i="27"/>
  <c r="E19" i="27"/>
  <c r="E18" i="27"/>
  <c r="E17" i="27"/>
  <c r="E16" i="27"/>
  <c r="E15" i="27"/>
  <c r="E14" i="27"/>
  <c r="E13" i="27"/>
  <c r="E12" i="27"/>
  <c r="E11" i="27"/>
  <c r="E10" i="27"/>
  <c r="E9" i="27"/>
  <c r="E8" i="27"/>
  <c r="E7" i="27"/>
  <c r="E6" i="27"/>
  <c r="D71" i="27"/>
  <c r="D70" i="27"/>
  <c r="D69" i="27"/>
  <c r="D68" i="27"/>
  <c r="D67" i="27"/>
  <c r="D66" i="27"/>
  <c r="D65" i="27"/>
  <c r="D64" i="27"/>
  <c r="D63" i="27"/>
  <c r="D62" i="27"/>
  <c r="D61" i="27"/>
  <c r="D60" i="27"/>
  <c r="D59" i="27"/>
  <c r="D58" i="27"/>
  <c r="D57" i="27"/>
  <c r="D56" i="27"/>
  <c r="D55" i="27"/>
  <c r="D54" i="27"/>
  <c r="D53" i="27"/>
  <c r="D52" i="27"/>
  <c r="D51" i="27"/>
  <c r="D50" i="27"/>
  <c r="D49" i="27"/>
  <c r="D48" i="27"/>
  <c r="D47" i="27"/>
  <c r="D46" i="27"/>
  <c r="D45" i="27"/>
  <c r="D44" i="27"/>
  <c r="D43" i="27"/>
  <c r="D42" i="27"/>
  <c r="D41" i="27"/>
  <c r="D40" i="27"/>
  <c r="D39" i="27"/>
  <c r="D38" i="27"/>
  <c r="D37" i="27"/>
  <c r="D36" i="27"/>
  <c r="D35" i="27"/>
  <c r="D34" i="27"/>
  <c r="D33" i="27"/>
  <c r="D32" i="27"/>
  <c r="D31" i="27"/>
  <c r="D30" i="27"/>
  <c r="D29" i="27"/>
  <c r="D28" i="27"/>
  <c r="D27" i="27"/>
  <c r="D26" i="27"/>
  <c r="D25" i="27"/>
  <c r="D24" i="27"/>
  <c r="D23" i="27"/>
  <c r="D22" i="27"/>
  <c r="D21" i="27"/>
  <c r="D20" i="27"/>
  <c r="D19" i="27"/>
  <c r="D18" i="27"/>
  <c r="D17" i="27"/>
  <c r="D16" i="27"/>
  <c r="D15" i="27"/>
  <c r="D14" i="27"/>
  <c r="D13" i="27"/>
  <c r="D12" i="27"/>
  <c r="D11" i="27"/>
  <c r="D10" i="27"/>
  <c r="D9" i="27"/>
  <c r="D8" i="27"/>
  <c r="D7" i="27"/>
  <c r="D6" i="27"/>
  <c r="C71" i="27"/>
  <c r="C70" i="27"/>
  <c r="C69" i="27"/>
  <c r="C68" i="27"/>
  <c r="C67" i="27"/>
  <c r="C66" i="27"/>
  <c r="C65" i="27"/>
  <c r="C64" i="27"/>
  <c r="C63" i="27"/>
  <c r="C62" i="27"/>
  <c r="C61" i="27"/>
  <c r="C60" i="27"/>
  <c r="C59" i="27"/>
  <c r="C58" i="27"/>
  <c r="C57" i="27"/>
  <c r="C56" i="27"/>
  <c r="C55" i="27"/>
  <c r="C54" i="27"/>
  <c r="C53" i="27"/>
  <c r="C52" i="27"/>
  <c r="C51" i="27"/>
  <c r="C50" i="27"/>
  <c r="C49" i="27"/>
  <c r="C48" i="27"/>
  <c r="C47" i="27"/>
  <c r="C46" i="27"/>
  <c r="C45" i="27"/>
  <c r="C44" i="27"/>
  <c r="C43" i="27"/>
  <c r="C42" i="27"/>
  <c r="C41" i="27"/>
  <c r="C40" i="27"/>
  <c r="C39" i="27"/>
  <c r="C38" i="27"/>
  <c r="C37" i="27"/>
  <c r="C36" i="27"/>
  <c r="C35" i="27"/>
  <c r="C34" i="27"/>
  <c r="C33" i="27"/>
  <c r="C32" i="27"/>
  <c r="C31" i="27"/>
  <c r="C30" i="27"/>
  <c r="C29" i="27"/>
  <c r="C28" i="27"/>
  <c r="C27" i="27"/>
  <c r="C26" i="27"/>
  <c r="C25" i="27"/>
  <c r="C24" i="27"/>
  <c r="C23" i="27"/>
  <c r="C22" i="27"/>
  <c r="C21" i="27"/>
  <c r="C20" i="27"/>
  <c r="C19" i="27"/>
  <c r="C18" i="27"/>
  <c r="C17" i="27"/>
  <c r="C16" i="27"/>
  <c r="C15" i="27"/>
  <c r="C14" i="27"/>
  <c r="C13" i="27"/>
  <c r="C12" i="27"/>
  <c r="C11" i="27"/>
  <c r="C10" i="27"/>
  <c r="C9" i="27"/>
  <c r="C8" i="27"/>
  <c r="C7" i="27"/>
  <c r="C6" i="27"/>
  <c r="B71" i="27"/>
  <c r="B70" i="27"/>
  <c r="B69" i="27"/>
  <c r="B68" i="27"/>
  <c r="B67" i="27"/>
  <c r="B66" i="27"/>
  <c r="B65" i="27"/>
  <c r="B64" i="27"/>
  <c r="B63" i="27"/>
  <c r="B62" i="27"/>
  <c r="B61" i="27"/>
  <c r="B60" i="27"/>
  <c r="B59" i="27"/>
  <c r="B58" i="27"/>
  <c r="B57" i="27"/>
  <c r="B56" i="27"/>
  <c r="B55" i="27"/>
  <c r="B54" i="27"/>
  <c r="B53" i="27"/>
  <c r="B52" i="27"/>
  <c r="B51" i="27"/>
  <c r="B50" i="27"/>
  <c r="B49" i="27"/>
  <c r="B48" i="27"/>
  <c r="B47" i="27"/>
  <c r="B46" i="27"/>
  <c r="B45" i="27"/>
  <c r="B44" i="27"/>
  <c r="B43" i="27"/>
  <c r="B42" i="27"/>
  <c r="B41" i="27"/>
  <c r="B40" i="27"/>
  <c r="B39" i="27"/>
  <c r="B38" i="27"/>
  <c r="B37" i="27"/>
  <c r="B36" i="27"/>
  <c r="B35" i="27"/>
  <c r="B34" i="27"/>
  <c r="B33" i="27"/>
  <c r="B32" i="27"/>
  <c r="B31" i="27"/>
  <c r="B30" i="27"/>
  <c r="B29" i="27"/>
  <c r="B28" i="27"/>
  <c r="B27" i="27"/>
  <c r="B26" i="27"/>
  <c r="B25" i="27"/>
  <c r="B24" i="27"/>
  <c r="B23" i="27"/>
  <c r="B22" i="27"/>
  <c r="B21" i="27"/>
  <c r="B20" i="27"/>
  <c r="B19" i="27"/>
  <c r="B18" i="27"/>
  <c r="B17" i="27"/>
  <c r="B16" i="27"/>
  <c r="B15" i="27"/>
  <c r="B14" i="27"/>
  <c r="B13" i="27"/>
  <c r="B12" i="27"/>
  <c r="B11" i="27"/>
  <c r="B10" i="27"/>
  <c r="B9" i="27"/>
  <c r="B8" i="27"/>
  <c r="B7" i="27"/>
  <c r="B6" i="27"/>
  <c r="E5" i="27"/>
  <c r="D5" i="27"/>
  <c r="C5" i="27"/>
  <c r="B5" i="27"/>
  <c r="B5" i="26"/>
  <c r="E71" i="26" l="1"/>
  <c r="E70" i="26"/>
  <c r="E69" i="26"/>
  <c r="E68" i="26"/>
  <c r="E67" i="26"/>
  <c r="E66" i="26"/>
  <c r="E65" i="26"/>
  <c r="E64" i="26"/>
  <c r="E63" i="26"/>
  <c r="E62" i="26"/>
  <c r="E61" i="26"/>
  <c r="E60" i="26"/>
  <c r="E59" i="26"/>
  <c r="E58" i="26"/>
  <c r="E57" i="26"/>
  <c r="E56" i="26"/>
  <c r="E55" i="26"/>
  <c r="E54" i="26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40" i="26"/>
  <c r="E39" i="26"/>
  <c r="E38" i="26"/>
  <c r="E37" i="26"/>
  <c r="E36" i="26"/>
  <c r="E35" i="26"/>
  <c r="E34" i="26"/>
  <c r="E33" i="26"/>
  <c r="E32" i="26"/>
  <c r="E31" i="26"/>
  <c r="E30" i="26"/>
  <c r="E29" i="26"/>
  <c r="E28" i="26"/>
  <c r="E27" i="26"/>
  <c r="E26" i="26"/>
  <c r="E25" i="26"/>
  <c r="E24" i="26"/>
  <c r="E23" i="26"/>
  <c r="E22" i="26"/>
  <c r="E21" i="26"/>
  <c r="E20" i="26"/>
  <c r="E19" i="26"/>
  <c r="E18" i="26"/>
  <c r="E17" i="26"/>
  <c r="E16" i="26"/>
  <c r="E15" i="26"/>
  <c r="E14" i="26"/>
  <c r="E13" i="26"/>
  <c r="E12" i="26"/>
  <c r="E11" i="26"/>
  <c r="E10" i="26"/>
  <c r="E9" i="26"/>
  <c r="E8" i="26"/>
  <c r="E7" i="26"/>
  <c r="E6" i="26"/>
  <c r="E5" i="26"/>
  <c r="D71" i="26"/>
  <c r="D70" i="26"/>
  <c r="D69" i="26"/>
  <c r="D68" i="26"/>
  <c r="D67" i="26"/>
  <c r="D66" i="26"/>
  <c r="D65" i="26"/>
  <c r="D64" i="26"/>
  <c r="D63" i="26"/>
  <c r="D62" i="26"/>
  <c r="D61" i="26"/>
  <c r="D60" i="26"/>
  <c r="D59" i="26"/>
  <c r="D58" i="26"/>
  <c r="D57" i="26"/>
  <c r="D56" i="26"/>
  <c r="D55" i="26"/>
  <c r="D54" i="26"/>
  <c r="D53" i="26"/>
  <c r="D52" i="26"/>
  <c r="D51" i="26"/>
  <c r="D50" i="26"/>
  <c r="D49" i="26"/>
  <c r="D48" i="26"/>
  <c r="D47" i="26"/>
  <c r="D46" i="26"/>
  <c r="D45" i="26"/>
  <c r="D44" i="26"/>
  <c r="D43" i="26"/>
  <c r="D42" i="26"/>
  <c r="D41" i="26"/>
  <c r="D40" i="26"/>
  <c r="D39" i="26"/>
  <c r="D38" i="26"/>
  <c r="D37" i="26"/>
  <c r="D36" i="26"/>
  <c r="D35" i="26"/>
  <c r="D34" i="26"/>
  <c r="D33" i="26"/>
  <c r="D32" i="26"/>
  <c r="D31" i="26"/>
  <c r="D30" i="26"/>
  <c r="D29" i="26"/>
  <c r="D28" i="26"/>
  <c r="D27" i="26"/>
  <c r="D26" i="26"/>
  <c r="D25" i="26"/>
  <c r="D24" i="26"/>
  <c r="D23" i="26"/>
  <c r="D22" i="26"/>
  <c r="D21" i="26"/>
  <c r="D20" i="26"/>
  <c r="D19" i="26"/>
  <c r="D18" i="26"/>
  <c r="D17" i="26"/>
  <c r="D16" i="26"/>
  <c r="D15" i="26"/>
  <c r="D14" i="26"/>
  <c r="D13" i="26"/>
  <c r="D12" i="26"/>
  <c r="D11" i="26"/>
  <c r="D10" i="26"/>
  <c r="D9" i="26"/>
  <c r="D8" i="26"/>
  <c r="D7" i="26"/>
  <c r="D6" i="26"/>
  <c r="D5" i="26"/>
  <c r="C71" i="26"/>
  <c r="C70" i="26"/>
  <c r="C69" i="26"/>
  <c r="C68" i="26"/>
  <c r="C67" i="26"/>
  <c r="C66" i="26"/>
  <c r="C65" i="26"/>
  <c r="C64" i="26"/>
  <c r="C63" i="26"/>
  <c r="C62" i="26"/>
  <c r="C61" i="26"/>
  <c r="C60" i="26"/>
  <c r="C59" i="26"/>
  <c r="C58" i="26"/>
  <c r="C57" i="26"/>
  <c r="C56" i="26"/>
  <c r="C55" i="26"/>
  <c r="C54" i="26"/>
  <c r="C53" i="26"/>
  <c r="C52" i="26"/>
  <c r="C51" i="26"/>
  <c r="C50" i="26"/>
  <c r="C49" i="26"/>
  <c r="C48" i="26"/>
  <c r="C47" i="26"/>
  <c r="C46" i="26"/>
  <c r="C45" i="26"/>
  <c r="C44" i="26"/>
  <c r="C43" i="26"/>
  <c r="C42" i="26"/>
  <c r="C41" i="26"/>
  <c r="C40" i="26"/>
  <c r="C39" i="26"/>
  <c r="C38" i="26"/>
  <c r="C37" i="26"/>
  <c r="C36" i="26"/>
  <c r="C35" i="26"/>
  <c r="C34" i="26"/>
  <c r="C33" i="26"/>
  <c r="C32" i="26"/>
  <c r="C31" i="26"/>
  <c r="C30" i="26"/>
  <c r="C29" i="26"/>
  <c r="C28" i="26"/>
  <c r="C27" i="26"/>
  <c r="C26" i="26"/>
  <c r="C25" i="26"/>
  <c r="C24" i="26"/>
  <c r="C23" i="26"/>
  <c r="C22" i="26"/>
  <c r="C21" i="26"/>
  <c r="C20" i="26"/>
  <c r="C19" i="26"/>
  <c r="C18" i="26"/>
  <c r="C17" i="26"/>
  <c r="C16" i="26"/>
  <c r="C15" i="26"/>
  <c r="C14" i="26"/>
  <c r="C13" i="26"/>
  <c r="C12" i="26"/>
  <c r="C11" i="26"/>
  <c r="C10" i="26"/>
  <c r="C9" i="26"/>
  <c r="C8" i="26"/>
  <c r="C7" i="26"/>
  <c r="C6" i="26"/>
  <c r="C5" i="26"/>
  <c r="B71" i="26"/>
  <c r="B70" i="26"/>
  <c r="B69" i="26"/>
  <c r="B68" i="26"/>
  <c r="B67" i="26"/>
  <c r="B66" i="26"/>
  <c r="B65" i="26"/>
  <c r="B64" i="26"/>
  <c r="B63" i="26"/>
  <c r="B62" i="26"/>
  <c r="B61" i="26"/>
  <c r="B60" i="26"/>
  <c r="B59" i="26"/>
  <c r="B58" i="26"/>
  <c r="B57" i="26"/>
  <c r="B56" i="26"/>
  <c r="B55" i="26"/>
  <c r="B54" i="26"/>
  <c r="B53" i="26"/>
  <c r="B52" i="26"/>
  <c r="B51" i="26"/>
  <c r="B50" i="26"/>
  <c r="B49" i="26"/>
  <c r="B48" i="26"/>
  <c r="B47" i="26"/>
  <c r="B46" i="26"/>
  <c r="B45" i="26"/>
  <c r="B44" i="26"/>
  <c r="B43" i="26"/>
  <c r="B42" i="26"/>
  <c r="B41" i="26"/>
  <c r="B40" i="26"/>
  <c r="B39" i="26"/>
  <c r="B38" i="26"/>
  <c r="B37" i="26"/>
  <c r="B36" i="26"/>
  <c r="B35" i="26"/>
  <c r="B34" i="26"/>
  <c r="B33" i="26"/>
  <c r="B32" i="26"/>
  <c r="B31" i="26"/>
  <c r="B30" i="26"/>
  <c r="B29" i="26"/>
  <c r="B28" i="26"/>
  <c r="B27" i="26"/>
  <c r="B26" i="26"/>
  <c r="B25" i="26"/>
  <c r="B24" i="26"/>
  <c r="B23" i="26"/>
  <c r="B22" i="26"/>
  <c r="B21" i="26"/>
  <c r="B20" i="26"/>
  <c r="B19" i="26"/>
  <c r="B18" i="26"/>
  <c r="B17" i="26"/>
  <c r="B16" i="26"/>
  <c r="B15" i="26"/>
  <c r="B14" i="26"/>
  <c r="B13" i="26"/>
  <c r="B12" i="26"/>
  <c r="B11" i="26"/>
  <c r="B10" i="26"/>
  <c r="B9" i="26"/>
  <c r="B8" i="26"/>
  <c r="B7" i="26"/>
  <c r="B6" i="26"/>
  <c r="E71" i="24" l="1"/>
  <c r="E70" i="24"/>
  <c r="E69" i="24"/>
  <c r="E68" i="24"/>
  <c r="E67" i="24"/>
  <c r="E66" i="24"/>
  <c r="E65" i="24"/>
  <c r="E64" i="24"/>
  <c r="E63" i="24"/>
  <c r="E62" i="24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40" i="24"/>
  <c r="E39" i="24"/>
  <c r="E38" i="24"/>
  <c r="E37" i="24"/>
  <c r="E36" i="24"/>
  <c r="E35" i="24"/>
  <c r="E34" i="24"/>
  <c r="E33" i="24"/>
  <c r="E32" i="24"/>
  <c r="E31" i="24"/>
  <c r="E30" i="24"/>
  <c r="E29" i="24"/>
  <c r="E28" i="24"/>
  <c r="E27" i="24"/>
  <c r="E26" i="24"/>
  <c r="E25" i="24"/>
  <c r="E24" i="24"/>
  <c r="E23" i="24"/>
  <c r="E22" i="24"/>
  <c r="E21" i="24"/>
  <c r="E20" i="24"/>
  <c r="E19" i="24"/>
  <c r="E18" i="24"/>
  <c r="E17" i="24"/>
  <c r="E16" i="24"/>
  <c r="E15" i="24"/>
  <c r="E14" i="24"/>
  <c r="E13" i="24"/>
  <c r="E12" i="24"/>
  <c r="E11" i="24"/>
  <c r="E10" i="24"/>
  <c r="E9" i="24"/>
  <c r="E8" i="24"/>
  <c r="E7" i="24"/>
  <c r="E6" i="24"/>
  <c r="D71" i="24"/>
  <c r="D70" i="24"/>
  <c r="D69" i="24"/>
  <c r="D68" i="24"/>
  <c r="D67" i="24"/>
  <c r="D66" i="24"/>
  <c r="D65" i="24"/>
  <c r="D64" i="24"/>
  <c r="D63" i="24"/>
  <c r="D62" i="24"/>
  <c r="D61" i="24"/>
  <c r="D60" i="24"/>
  <c r="D59" i="24"/>
  <c r="D58" i="24"/>
  <c r="D57" i="24"/>
  <c r="D56" i="24"/>
  <c r="D55" i="24"/>
  <c r="D54" i="24"/>
  <c r="D53" i="24"/>
  <c r="D52" i="24"/>
  <c r="D51" i="24"/>
  <c r="D50" i="24"/>
  <c r="D49" i="24"/>
  <c r="D48" i="24"/>
  <c r="D47" i="24"/>
  <c r="D46" i="24"/>
  <c r="D45" i="24"/>
  <c r="D44" i="24"/>
  <c r="D43" i="24"/>
  <c r="D42" i="24"/>
  <c r="D41" i="24"/>
  <c r="D40" i="24"/>
  <c r="D39" i="24"/>
  <c r="D38" i="24"/>
  <c r="D37" i="24"/>
  <c r="D36" i="24"/>
  <c r="D35" i="24"/>
  <c r="D34" i="24"/>
  <c r="D33" i="24"/>
  <c r="D32" i="24"/>
  <c r="D31" i="24"/>
  <c r="D30" i="24"/>
  <c r="D29" i="24"/>
  <c r="D28" i="24"/>
  <c r="D27" i="24"/>
  <c r="D26" i="24"/>
  <c r="D25" i="24"/>
  <c r="D24" i="24"/>
  <c r="D23" i="24"/>
  <c r="D22" i="24"/>
  <c r="D21" i="24"/>
  <c r="D20" i="24"/>
  <c r="D19" i="24"/>
  <c r="D18" i="24"/>
  <c r="D17" i="24"/>
  <c r="D16" i="24"/>
  <c r="D15" i="24"/>
  <c r="D14" i="24"/>
  <c r="D13" i="24"/>
  <c r="D12" i="24"/>
  <c r="D11" i="24"/>
  <c r="D10" i="24"/>
  <c r="D9" i="24"/>
  <c r="D8" i="24"/>
  <c r="D7" i="24"/>
  <c r="D6" i="24"/>
  <c r="C71" i="24"/>
  <c r="C70" i="24"/>
  <c r="C69" i="24"/>
  <c r="C68" i="24"/>
  <c r="C67" i="24"/>
  <c r="C66" i="24"/>
  <c r="C65" i="24"/>
  <c r="C64" i="24"/>
  <c r="C63" i="24"/>
  <c r="C62" i="24"/>
  <c r="C61" i="24"/>
  <c r="C60" i="24"/>
  <c r="C59" i="24"/>
  <c r="C58" i="24"/>
  <c r="C57" i="24"/>
  <c r="C56" i="24"/>
  <c r="C55" i="24"/>
  <c r="C54" i="24"/>
  <c r="C53" i="24"/>
  <c r="C52" i="24"/>
  <c r="C51" i="24"/>
  <c r="C50" i="24"/>
  <c r="C49" i="24"/>
  <c r="C48" i="24"/>
  <c r="C47" i="24"/>
  <c r="C46" i="24"/>
  <c r="C45" i="24"/>
  <c r="C44" i="24"/>
  <c r="C43" i="24"/>
  <c r="C42" i="24"/>
  <c r="C41" i="24"/>
  <c r="C40" i="24"/>
  <c r="C39" i="24"/>
  <c r="C38" i="24"/>
  <c r="C37" i="24"/>
  <c r="C36" i="24"/>
  <c r="C35" i="24"/>
  <c r="C34" i="24"/>
  <c r="C33" i="24"/>
  <c r="C32" i="24"/>
  <c r="C31" i="24"/>
  <c r="C30" i="24"/>
  <c r="C29" i="24"/>
  <c r="C28" i="24"/>
  <c r="C27" i="24"/>
  <c r="C26" i="24"/>
  <c r="C25" i="24"/>
  <c r="C24" i="24"/>
  <c r="C23" i="24"/>
  <c r="C22" i="24"/>
  <c r="C21" i="24"/>
  <c r="C20" i="24"/>
  <c r="C19" i="24"/>
  <c r="C18" i="24"/>
  <c r="C17" i="24"/>
  <c r="C16" i="24"/>
  <c r="C15" i="24"/>
  <c r="C14" i="24"/>
  <c r="C13" i="24"/>
  <c r="C12" i="24"/>
  <c r="C11" i="24"/>
  <c r="C10" i="24"/>
  <c r="C9" i="24"/>
  <c r="C8" i="24"/>
  <c r="C7" i="24"/>
  <c r="C6" i="24"/>
  <c r="B71" i="24"/>
  <c r="B70" i="24"/>
  <c r="B69" i="24"/>
  <c r="B68" i="24"/>
  <c r="B67" i="24"/>
  <c r="B66" i="24"/>
  <c r="B65" i="24"/>
  <c r="B64" i="24"/>
  <c r="B63" i="24"/>
  <c r="B62" i="24"/>
  <c r="B61" i="24"/>
  <c r="B60" i="24"/>
  <c r="B59" i="24"/>
  <c r="B58" i="24"/>
  <c r="B57" i="24"/>
  <c r="B56" i="24"/>
  <c r="B55" i="24"/>
  <c r="B54" i="24"/>
  <c r="B53" i="24"/>
  <c r="B52" i="24"/>
  <c r="B51" i="24"/>
  <c r="B50" i="24"/>
  <c r="B49" i="24"/>
  <c r="B48" i="24"/>
  <c r="B47" i="24"/>
  <c r="B46" i="24"/>
  <c r="B45" i="24"/>
  <c r="B44" i="24"/>
  <c r="B43" i="24"/>
  <c r="B42" i="24"/>
  <c r="B41" i="24"/>
  <c r="B40" i="24"/>
  <c r="B39" i="24"/>
  <c r="B38" i="24"/>
  <c r="B37" i="24"/>
  <c r="B36" i="24"/>
  <c r="B35" i="24"/>
  <c r="B34" i="24"/>
  <c r="B33" i="24"/>
  <c r="B32" i="24"/>
  <c r="B31" i="24"/>
  <c r="B30" i="24"/>
  <c r="B29" i="24"/>
  <c r="B28" i="24"/>
  <c r="B27" i="24"/>
  <c r="B26" i="24"/>
  <c r="B25" i="24"/>
  <c r="B24" i="24"/>
  <c r="B23" i="24"/>
  <c r="B22" i="24"/>
  <c r="B21" i="24"/>
  <c r="B20" i="24"/>
  <c r="B19" i="24"/>
  <c r="B18" i="24"/>
  <c r="B17" i="24"/>
  <c r="B16" i="24"/>
  <c r="B15" i="24"/>
  <c r="B14" i="24"/>
  <c r="B13" i="24"/>
  <c r="B12" i="24"/>
  <c r="B11" i="24"/>
  <c r="B10" i="24"/>
  <c r="B9" i="24"/>
  <c r="B8" i="24"/>
  <c r="B7" i="24"/>
  <c r="B6" i="24"/>
  <c r="E5" i="24"/>
  <c r="D5" i="24"/>
  <c r="C5" i="24"/>
  <c r="B5" i="24"/>
  <c r="E71" i="36" l="1"/>
  <c r="E70" i="36"/>
  <c r="E69" i="36"/>
  <c r="E68" i="36"/>
  <c r="E67" i="36"/>
  <c r="E66" i="36"/>
  <c r="E65" i="36"/>
  <c r="E64" i="36"/>
  <c r="E63" i="36"/>
  <c r="E62" i="36"/>
  <c r="E61" i="36"/>
  <c r="E60" i="36"/>
  <c r="E59" i="36"/>
  <c r="E58" i="36"/>
  <c r="E57" i="36"/>
  <c r="F57" i="36" s="1"/>
  <c r="E56" i="36"/>
  <c r="E55" i="36"/>
  <c r="E54" i="36"/>
  <c r="E53" i="36"/>
  <c r="F53" i="36" s="1"/>
  <c r="E52" i="36"/>
  <c r="E51" i="36"/>
  <c r="E50" i="36"/>
  <c r="E49" i="36"/>
  <c r="E48" i="36"/>
  <c r="E47" i="36"/>
  <c r="E46" i="36"/>
  <c r="E45" i="36"/>
  <c r="E44" i="36"/>
  <c r="E43" i="36"/>
  <c r="E42" i="36"/>
  <c r="E41" i="36"/>
  <c r="E40" i="36"/>
  <c r="E39" i="36"/>
  <c r="E38" i="36"/>
  <c r="E37" i="36"/>
  <c r="E36" i="36"/>
  <c r="E35" i="36"/>
  <c r="E34" i="36"/>
  <c r="E33" i="36"/>
  <c r="E32" i="36"/>
  <c r="E31" i="36"/>
  <c r="E30" i="36"/>
  <c r="E29" i="36"/>
  <c r="E28" i="36"/>
  <c r="E27" i="36"/>
  <c r="E26" i="36"/>
  <c r="E25" i="36"/>
  <c r="F25" i="36" s="1"/>
  <c r="E24" i="36"/>
  <c r="E23" i="36"/>
  <c r="E22" i="36"/>
  <c r="E21" i="36"/>
  <c r="F21" i="36" s="1"/>
  <c r="E20" i="36"/>
  <c r="E19" i="36"/>
  <c r="E18" i="36"/>
  <c r="E17" i="36"/>
  <c r="E16" i="36"/>
  <c r="E15" i="36"/>
  <c r="E14" i="36"/>
  <c r="E13" i="36"/>
  <c r="E12" i="36"/>
  <c r="E11" i="36"/>
  <c r="E10" i="36"/>
  <c r="E9" i="36"/>
  <c r="E8" i="36"/>
  <c r="E72" i="36" s="1"/>
  <c r="E7" i="36"/>
  <c r="E6" i="36"/>
  <c r="D71" i="36"/>
  <c r="D70" i="36"/>
  <c r="D69" i="36"/>
  <c r="D68" i="36"/>
  <c r="D67" i="36"/>
  <c r="D66" i="36"/>
  <c r="D65" i="36"/>
  <c r="D64" i="36"/>
  <c r="D63" i="36"/>
  <c r="D62" i="36"/>
  <c r="D61" i="36"/>
  <c r="D60" i="36"/>
  <c r="D59" i="36"/>
  <c r="D58" i="36"/>
  <c r="D57" i="36"/>
  <c r="D56" i="36"/>
  <c r="D55" i="36"/>
  <c r="D54" i="36"/>
  <c r="D53" i="36"/>
  <c r="D52" i="36"/>
  <c r="D51" i="36"/>
  <c r="D50" i="36"/>
  <c r="D49" i="36"/>
  <c r="D48" i="36"/>
  <c r="D47" i="36"/>
  <c r="D46" i="36"/>
  <c r="D45" i="36"/>
  <c r="D44" i="36"/>
  <c r="D43" i="36"/>
  <c r="D42" i="36"/>
  <c r="D41" i="36"/>
  <c r="D40" i="36"/>
  <c r="D39" i="36"/>
  <c r="D38" i="36"/>
  <c r="D37" i="36"/>
  <c r="D36" i="36"/>
  <c r="D35" i="36"/>
  <c r="D34" i="36"/>
  <c r="D33" i="36"/>
  <c r="D32" i="36"/>
  <c r="D31" i="36"/>
  <c r="D30" i="36"/>
  <c r="D29" i="36"/>
  <c r="D28" i="36"/>
  <c r="D27" i="36"/>
  <c r="D26" i="36"/>
  <c r="D25" i="36"/>
  <c r="D24" i="36"/>
  <c r="D23" i="36"/>
  <c r="D22" i="36"/>
  <c r="D21" i="36"/>
  <c r="D20" i="36"/>
  <c r="D19" i="36"/>
  <c r="D18" i="36"/>
  <c r="D17" i="36"/>
  <c r="D16" i="36"/>
  <c r="D15" i="36"/>
  <c r="D14" i="36"/>
  <c r="D13" i="36"/>
  <c r="D12" i="36"/>
  <c r="D11" i="36"/>
  <c r="D10" i="36"/>
  <c r="D9" i="36"/>
  <c r="D8" i="36"/>
  <c r="D7" i="36"/>
  <c r="D6" i="36"/>
  <c r="C71" i="36"/>
  <c r="C70" i="36"/>
  <c r="C69" i="36"/>
  <c r="C68" i="36"/>
  <c r="C67" i="36"/>
  <c r="C66" i="36"/>
  <c r="C65" i="36"/>
  <c r="F65" i="36" s="1"/>
  <c r="C64" i="36"/>
  <c r="C63" i="36"/>
  <c r="C62" i="36"/>
  <c r="C61" i="36"/>
  <c r="F61" i="36" s="1"/>
  <c r="C60" i="36"/>
  <c r="C59" i="36"/>
  <c r="C58" i="36"/>
  <c r="C57" i="36"/>
  <c r="C56" i="36"/>
  <c r="C55" i="36"/>
  <c r="C54" i="36"/>
  <c r="C53" i="36"/>
  <c r="C52" i="36"/>
  <c r="C51" i="36"/>
  <c r="C50" i="36"/>
  <c r="C49" i="36"/>
  <c r="F49" i="36" s="1"/>
  <c r="C48" i="36"/>
  <c r="C47" i="36"/>
  <c r="C46" i="36"/>
  <c r="C45" i="36"/>
  <c r="F45" i="36" s="1"/>
  <c r="C44" i="36"/>
  <c r="C43" i="36"/>
  <c r="C42" i="36"/>
  <c r="C41" i="36"/>
  <c r="C40" i="36"/>
  <c r="C39" i="36"/>
  <c r="C38" i="36"/>
  <c r="C37" i="36"/>
  <c r="C36" i="36"/>
  <c r="C35" i="36"/>
  <c r="C34" i="36"/>
  <c r="C33" i="36"/>
  <c r="F33" i="36" s="1"/>
  <c r="C32" i="36"/>
  <c r="C31" i="36"/>
  <c r="C30" i="36"/>
  <c r="C29" i="36"/>
  <c r="F29" i="36" s="1"/>
  <c r="C28" i="36"/>
  <c r="C27" i="36"/>
  <c r="C26" i="36"/>
  <c r="C25" i="36"/>
  <c r="C24" i="36"/>
  <c r="C23" i="36"/>
  <c r="C22" i="36"/>
  <c r="C21" i="36"/>
  <c r="C20" i="36"/>
  <c r="C19" i="36"/>
  <c r="C18" i="36"/>
  <c r="C17" i="36"/>
  <c r="F17" i="36" s="1"/>
  <c r="C16" i="36"/>
  <c r="C15" i="36"/>
  <c r="C14" i="36"/>
  <c r="C13" i="36"/>
  <c r="F13" i="36" s="1"/>
  <c r="C12" i="36"/>
  <c r="C11" i="36"/>
  <c r="C10" i="36"/>
  <c r="C9" i="36"/>
  <c r="C8" i="36"/>
  <c r="C7" i="36"/>
  <c r="C6" i="36"/>
  <c r="B71" i="36"/>
  <c r="B70" i="36"/>
  <c r="B69" i="36"/>
  <c r="B68" i="36"/>
  <c r="B67" i="36"/>
  <c r="B66" i="36"/>
  <c r="B65" i="36"/>
  <c r="B64" i="36"/>
  <c r="B63" i="36"/>
  <c r="B62" i="36"/>
  <c r="B61" i="36"/>
  <c r="B60" i="36"/>
  <c r="B59" i="36"/>
  <c r="B58" i="36"/>
  <c r="B57" i="36"/>
  <c r="B56" i="36"/>
  <c r="B55" i="36"/>
  <c r="B54" i="36"/>
  <c r="B53" i="36"/>
  <c r="B52" i="36"/>
  <c r="B51" i="36"/>
  <c r="B50" i="36"/>
  <c r="B49" i="36"/>
  <c r="B48" i="36"/>
  <c r="B47" i="36"/>
  <c r="B46" i="36"/>
  <c r="B45" i="36"/>
  <c r="B44" i="36"/>
  <c r="B43" i="36"/>
  <c r="B42" i="36"/>
  <c r="B41" i="36"/>
  <c r="B40" i="36"/>
  <c r="B39" i="36"/>
  <c r="B38" i="36"/>
  <c r="B37" i="36"/>
  <c r="B36" i="36"/>
  <c r="B35" i="36"/>
  <c r="B34" i="36"/>
  <c r="B33" i="36"/>
  <c r="B32" i="36"/>
  <c r="B31" i="36"/>
  <c r="B30" i="36"/>
  <c r="B29" i="36"/>
  <c r="B28" i="36"/>
  <c r="B27" i="36"/>
  <c r="B26" i="36"/>
  <c r="B25" i="36"/>
  <c r="B24" i="36"/>
  <c r="B23" i="36"/>
  <c r="B22" i="36"/>
  <c r="B21" i="36"/>
  <c r="B20" i="36"/>
  <c r="B19" i="36"/>
  <c r="B18" i="36"/>
  <c r="B17" i="36"/>
  <c r="B16" i="36"/>
  <c r="B15" i="36"/>
  <c r="B14" i="36"/>
  <c r="B13" i="36"/>
  <c r="B12" i="36"/>
  <c r="B11" i="36"/>
  <c r="B10" i="36"/>
  <c r="B9" i="36"/>
  <c r="B8" i="36"/>
  <c r="B72" i="36" s="1"/>
  <c r="B7" i="36"/>
  <c r="B6" i="36"/>
  <c r="E5" i="36"/>
  <c r="D5" i="36"/>
  <c r="D72" i="36" s="1"/>
  <c r="C5" i="36"/>
  <c r="B5" i="36"/>
  <c r="F71" i="36"/>
  <c r="F70" i="36"/>
  <c r="F69" i="36"/>
  <c r="F67" i="36"/>
  <c r="F66" i="36"/>
  <c r="F63" i="36"/>
  <c r="F62" i="36"/>
  <c r="F59" i="36"/>
  <c r="F58" i="36"/>
  <c r="F55" i="36"/>
  <c r="F54" i="36"/>
  <c r="F51" i="36"/>
  <c r="F50" i="36"/>
  <c r="F47" i="36"/>
  <c r="F46" i="36"/>
  <c r="F43" i="36"/>
  <c r="F42" i="36"/>
  <c r="F41" i="36"/>
  <c r="F39" i="36"/>
  <c r="F38" i="36"/>
  <c r="F37" i="36"/>
  <c r="F35" i="36"/>
  <c r="F34" i="36"/>
  <c r="F31" i="36"/>
  <c r="F30" i="36"/>
  <c r="F27" i="36"/>
  <c r="F26" i="36"/>
  <c r="F23" i="36"/>
  <c r="F22" i="36"/>
  <c r="F19" i="36"/>
  <c r="F18" i="36"/>
  <c r="F15" i="36"/>
  <c r="F14" i="36"/>
  <c r="F11" i="36"/>
  <c r="F10" i="36"/>
  <c r="F9" i="36"/>
  <c r="F7" i="36"/>
  <c r="F6" i="36"/>
  <c r="C72" i="36" l="1"/>
  <c r="F12" i="36"/>
  <c r="F16" i="36"/>
  <c r="F20" i="36"/>
  <c r="F24" i="36"/>
  <c r="F28" i="36"/>
  <c r="F32" i="36"/>
  <c r="F36" i="36"/>
  <c r="F40" i="36"/>
  <c r="F44" i="36"/>
  <c r="F48" i="36"/>
  <c r="F52" i="36"/>
  <c r="F56" i="36"/>
  <c r="F60" i="36"/>
  <c r="F64" i="36"/>
  <c r="F68" i="36"/>
  <c r="F8" i="36"/>
  <c r="F5" i="36"/>
  <c r="E72" i="35"/>
  <c r="D72" i="35"/>
  <c r="C72" i="35"/>
  <c r="B72" i="35"/>
  <c r="F71" i="35"/>
  <c r="F70" i="35"/>
  <c r="F69" i="35"/>
  <c r="F68" i="35"/>
  <c r="F67" i="35"/>
  <c r="F66" i="35"/>
  <c r="F65" i="35"/>
  <c r="F64" i="35"/>
  <c r="F63" i="35"/>
  <c r="F62" i="35"/>
  <c r="F61" i="35"/>
  <c r="F60" i="35"/>
  <c r="F59" i="35"/>
  <c r="F58" i="35"/>
  <c r="F57" i="35"/>
  <c r="F56" i="35"/>
  <c r="F55" i="35"/>
  <c r="F54" i="35"/>
  <c r="F53" i="35"/>
  <c r="F52" i="35"/>
  <c r="F51" i="35"/>
  <c r="F50" i="35"/>
  <c r="F49" i="35"/>
  <c r="F48" i="35"/>
  <c r="F47" i="35"/>
  <c r="F46" i="35"/>
  <c r="F45" i="35"/>
  <c r="F44" i="35"/>
  <c r="F43" i="35"/>
  <c r="F42" i="35"/>
  <c r="F41" i="35"/>
  <c r="F40" i="35"/>
  <c r="F39" i="35"/>
  <c r="F38" i="35"/>
  <c r="F37" i="35"/>
  <c r="F36" i="35"/>
  <c r="F35" i="35"/>
  <c r="F34" i="35"/>
  <c r="F33" i="35"/>
  <c r="F32" i="35"/>
  <c r="F31" i="35"/>
  <c r="F30" i="35"/>
  <c r="F29" i="35"/>
  <c r="F28" i="35"/>
  <c r="F27" i="35"/>
  <c r="F26" i="35"/>
  <c r="F25" i="35"/>
  <c r="F24" i="35"/>
  <c r="F23" i="35"/>
  <c r="F22" i="35"/>
  <c r="F21" i="35"/>
  <c r="F20" i="35"/>
  <c r="F19" i="35"/>
  <c r="F18" i="35"/>
  <c r="F17" i="35"/>
  <c r="F16" i="35"/>
  <c r="F15" i="35"/>
  <c r="F14" i="35"/>
  <c r="F13" i="35"/>
  <c r="F12" i="35"/>
  <c r="F11" i="35"/>
  <c r="F10" i="35"/>
  <c r="F9" i="35"/>
  <c r="F8" i="35"/>
  <c r="F7" i="35"/>
  <c r="F6" i="35"/>
  <c r="F5" i="35"/>
  <c r="F72" i="36" l="1"/>
  <c r="F72" i="35"/>
  <c r="D72" i="33" l="1"/>
  <c r="C72" i="33"/>
  <c r="B72" i="33"/>
  <c r="E72" i="33"/>
  <c r="E72" i="21"/>
  <c r="D72" i="21"/>
  <c r="C72" i="21"/>
  <c r="B72" i="21"/>
  <c r="F71" i="21"/>
  <c r="F70" i="21"/>
  <c r="F69" i="21"/>
  <c r="F68" i="21"/>
  <c r="F67" i="21"/>
  <c r="F66" i="21"/>
  <c r="F65" i="21"/>
  <c r="F64" i="21"/>
  <c r="F63" i="21"/>
  <c r="F62" i="21"/>
  <c r="F61" i="21"/>
  <c r="F60" i="21"/>
  <c r="F59" i="21"/>
  <c r="F58" i="21"/>
  <c r="F57" i="21"/>
  <c r="F56" i="21"/>
  <c r="F55" i="21"/>
  <c r="F54" i="21"/>
  <c r="F53" i="21"/>
  <c r="F52" i="21"/>
  <c r="F51" i="21"/>
  <c r="F50" i="21"/>
  <c r="F49" i="21"/>
  <c r="F48" i="21"/>
  <c r="F47" i="21"/>
  <c r="F46" i="21"/>
  <c r="F45" i="21"/>
  <c r="F44" i="21"/>
  <c r="F43" i="21"/>
  <c r="F42" i="21"/>
  <c r="F41" i="21"/>
  <c r="F40" i="21"/>
  <c r="F39" i="21"/>
  <c r="F38" i="21"/>
  <c r="F37" i="21"/>
  <c r="F36" i="21"/>
  <c r="F35" i="21"/>
  <c r="F34" i="21"/>
  <c r="F33" i="21"/>
  <c r="F32" i="21"/>
  <c r="F31" i="21"/>
  <c r="F30" i="21"/>
  <c r="F29" i="21"/>
  <c r="F28" i="21"/>
  <c r="F27" i="21"/>
  <c r="F26" i="21"/>
  <c r="F25" i="21"/>
  <c r="F24" i="21"/>
  <c r="F23" i="21"/>
  <c r="F22" i="21"/>
  <c r="F21" i="21"/>
  <c r="F20" i="21"/>
  <c r="F19" i="21"/>
  <c r="F18" i="21"/>
  <c r="F17" i="21"/>
  <c r="F16" i="21"/>
  <c r="F15" i="21"/>
  <c r="F14" i="21"/>
  <c r="F13" i="21"/>
  <c r="F12" i="21"/>
  <c r="F11" i="21"/>
  <c r="F10" i="21"/>
  <c r="F9" i="21"/>
  <c r="F8" i="21"/>
  <c r="F7" i="21"/>
  <c r="F6" i="21"/>
  <c r="F5" i="21"/>
  <c r="F72" i="21" l="1"/>
  <c r="F6" i="32"/>
  <c r="F14" i="32"/>
  <c r="F22" i="32"/>
  <c r="F30" i="32"/>
  <c r="F34" i="32"/>
  <c r="F38" i="32"/>
  <c r="F46" i="32"/>
  <c r="F50" i="32"/>
  <c r="F54" i="32"/>
  <c r="F58" i="32"/>
  <c r="F62" i="32"/>
  <c r="F66" i="32"/>
  <c r="F70" i="32"/>
  <c r="E72" i="32"/>
  <c r="F10" i="32"/>
  <c r="F18" i="32"/>
  <c r="F26" i="32"/>
  <c r="F42" i="32"/>
  <c r="F72" i="33"/>
  <c r="F7" i="32"/>
  <c r="F15" i="32"/>
  <c r="F23" i="32"/>
  <c r="F31" i="32"/>
  <c r="F39" i="32"/>
  <c r="F47" i="32"/>
  <c r="F55" i="32"/>
  <c r="F63" i="32"/>
  <c r="F71" i="32"/>
  <c r="D72" i="32"/>
  <c r="F8" i="32"/>
  <c r="F12" i="32"/>
  <c r="F16" i="32"/>
  <c r="F20" i="32"/>
  <c r="F24" i="32"/>
  <c r="F28" i="32"/>
  <c r="F32" i="32"/>
  <c r="F36" i="32"/>
  <c r="F40" i="32"/>
  <c r="F44" i="32"/>
  <c r="F48" i="32"/>
  <c r="F52" i="32"/>
  <c r="F56" i="32"/>
  <c r="F60" i="32"/>
  <c r="F64" i="32"/>
  <c r="F68" i="32"/>
  <c r="C72" i="32"/>
  <c r="F11" i="32"/>
  <c r="F19" i="32"/>
  <c r="F27" i="32"/>
  <c r="F35" i="32"/>
  <c r="F43" i="32"/>
  <c r="F51" i="32"/>
  <c r="F59" i="32"/>
  <c r="F67" i="32"/>
  <c r="B72" i="32"/>
  <c r="F9" i="32"/>
  <c r="F13" i="32"/>
  <c r="F17" i="32"/>
  <c r="F21" i="32"/>
  <c r="F25" i="32"/>
  <c r="F29" i="32"/>
  <c r="F33" i="32"/>
  <c r="F37" i="32"/>
  <c r="F41" i="32"/>
  <c r="F45" i="32"/>
  <c r="F49" i="32"/>
  <c r="F53" i="32"/>
  <c r="F57" i="32"/>
  <c r="F61" i="32"/>
  <c r="F65" i="32"/>
  <c r="F69" i="32"/>
  <c r="F5" i="32"/>
  <c r="E72" i="20"/>
  <c r="D72" i="20"/>
  <c r="C72" i="20"/>
  <c r="B72" i="20"/>
  <c r="F71" i="20"/>
  <c r="F70" i="20"/>
  <c r="F69" i="20"/>
  <c r="F68" i="20"/>
  <c r="F67" i="20"/>
  <c r="F66" i="20"/>
  <c r="F65" i="20"/>
  <c r="F64" i="20"/>
  <c r="F63" i="20"/>
  <c r="F62" i="20"/>
  <c r="F61" i="20"/>
  <c r="F60" i="20"/>
  <c r="F59" i="20"/>
  <c r="F58" i="20"/>
  <c r="F57" i="20"/>
  <c r="F56" i="20"/>
  <c r="F55" i="20"/>
  <c r="F54" i="20"/>
  <c r="F53" i="20"/>
  <c r="F52" i="20"/>
  <c r="F51" i="20"/>
  <c r="F50" i="20"/>
  <c r="F49" i="20"/>
  <c r="F48" i="20"/>
  <c r="F47" i="20"/>
  <c r="F46" i="20"/>
  <c r="F45" i="20"/>
  <c r="F44" i="20"/>
  <c r="F43" i="20"/>
  <c r="F42" i="20"/>
  <c r="F41" i="20"/>
  <c r="F40" i="20"/>
  <c r="F39" i="20"/>
  <c r="F38" i="20"/>
  <c r="F37" i="20"/>
  <c r="F36" i="20"/>
  <c r="F35" i="20"/>
  <c r="F34" i="20"/>
  <c r="F33" i="20"/>
  <c r="F32" i="20"/>
  <c r="F31" i="20"/>
  <c r="F30" i="20"/>
  <c r="F29" i="20"/>
  <c r="F28" i="20"/>
  <c r="F27" i="20"/>
  <c r="F26" i="20"/>
  <c r="F25" i="20"/>
  <c r="F24" i="20"/>
  <c r="F23" i="20"/>
  <c r="F22" i="20"/>
  <c r="F21" i="20"/>
  <c r="F20" i="20"/>
  <c r="F19" i="20"/>
  <c r="F18" i="20"/>
  <c r="F17" i="20"/>
  <c r="F16" i="20"/>
  <c r="F15" i="20"/>
  <c r="F14" i="20"/>
  <c r="F13" i="20"/>
  <c r="F12" i="20"/>
  <c r="F11" i="20"/>
  <c r="F10" i="20"/>
  <c r="F9" i="20"/>
  <c r="F8" i="20"/>
  <c r="F7" i="20"/>
  <c r="F6" i="20"/>
  <c r="F5" i="20"/>
  <c r="F72" i="20" l="1"/>
  <c r="F6" i="31"/>
  <c r="F10" i="31"/>
  <c r="F14" i="31"/>
  <c r="F18" i="31"/>
  <c r="F22" i="31"/>
  <c r="F26" i="31"/>
  <c r="F30" i="31"/>
  <c r="F34" i="31"/>
  <c r="F38" i="31"/>
  <c r="F42" i="31"/>
  <c r="F46" i="31"/>
  <c r="F50" i="31"/>
  <c r="F54" i="31"/>
  <c r="F58" i="31"/>
  <c r="F62" i="31"/>
  <c r="F66" i="31"/>
  <c r="F70" i="31"/>
  <c r="E72" i="31"/>
  <c r="F72" i="32"/>
  <c r="F7" i="31"/>
  <c r="F19" i="31"/>
  <c r="F31" i="31"/>
  <c r="F43" i="31"/>
  <c r="F51" i="31"/>
  <c r="F67" i="31"/>
  <c r="F15" i="31"/>
  <c r="F27" i="31"/>
  <c r="F39" i="31"/>
  <c r="F55" i="31"/>
  <c r="F63" i="31"/>
  <c r="F8" i="31"/>
  <c r="F12" i="31"/>
  <c r="F16" i="31"/>
  <c r="F20" i="31"/>
  <c r="F24" i="31"/>
  <c r="F28" i="31"/>
  <c r="F32" i="31"/>
  <c r="F36" i="31"/>
  <c r="F40" i="31"/>
  <c r="F44" i="31"/>
  <c r="F48" i="31"/>
  <c r="F52" i="31"/>
  <c r="F56" i="31"/>
  <c r="F60" i="31"/>
  <c r="F64" i="31"/>
  <c r="F68" i="31"/>
  <c r="F11" i="31"/>
  <c r="F23" i="31"/>
  <c r="F35" i="31"/>
  <c r="F47" i="31"/>
  <c r="F59" i="31"/>
  <c r="F71" i="31"/>
  <c r="B72" i="31"/>
  <c r="F9" i="31"/>
  <c r="F13" i="31"/>
  <c r="F17" i="31"/>
  <c r="F21" i="31"/>
  <c r="F25" i="31"/>
  <c r="F29" i="31"/>
  <c r="F33" i="31"/>
  <c r="F37" i="31"/>
  <c r="F41" i="31"/>
  <c r="F45" i="31"/>
  <c r="F49" i="31"/>
  <c r="F53" i="31"/>
  <c r="F57" i="31"/>
  <c r="F61" i="31"/>
  <c r="F65" i="31"/>
  <c r="F69" i="31"/>
  <c r="C72" i="31"/>
  <c r="D72" i="31"/>
  <c r="F5" i="31"/>
  <c r="F72" i="31" l="1"/>
  <c r="F67" i="30"/>
  <c r="F63" i="30"/>
  <c r="F59" i="30"/>
  <c r="F55" i="30"/>
  <c r="F51" i="30"/>
  <c r="F47" i="30"/>
  <c r="F43" i="30"/>
  <c r="F39" i="30"/>
  <c r="F35" i="30"/>
  <c r="F31" i="30"/>
  <c r="F27" i="30"/>
  <c r="F23" i="30"/>
  <c r="F19" i="30"/>
  <c r="F15" i="30"/>
  <c r="F11" i="30"/>
  <c r="D72" i="30"/>
  <c r="F69" i="30"/>
  <c r="F65" i="30"/>
  <c r="F61" i="30"/>
  <c r="F57" i="30"/>
  <c r="F53" i="30"/>
  <c r="F49" i="30"/>
  <c r="F45" i="30"/>
  <c r="F41" i="30"/>
  <c r="F37" i="30"/>
  <c r="F33" i="30"/>
  <c r="F29" i="30"/>
  <c r="F25" i="30"/>
  <c r="F21" i="30"/>
  <c r="F17" i="30"/>
  <c r="F13" i="30"/>
  <c r="F9" i="30"/>
  <c r="F5" i="30"/>
  <c r="F71" i="19"/>
  <c r="F70" i="19"/>
  <c r="F69" i="19"/>
  <c r="F68" i="19"/>
  <c r="F67" i="19"/>
  <c r="F66" i="19"/>
  <c r="F65" i="19"/>
  <c r="F64" i="19"/>
  <c r="F63" i="19"/>
  <c r="F62" i="19"/>
  <c r="F61" i="19"/>
  <c r="F60" i="19"/>
  <c r="F59" i="19"/>
  <c r="F58" i="19"/>
  <c r="F57" i="19"/>
  <c r="F56" i="19"/>
  <c r="F55" i="19"/>
  <c r="F54" i="19"/>
  <c r="F53" i="19"/>
  <c r="F52" i="19"/>
  <c r="F51" i="19"/>
  <c r="F50" i="19"/>
  <c r="F49" i="19"/>
  <c r="F48" i="19"/>
  <c r="F47" i="19"/>
  <c r="F46" i="19"/>
  <c r="F45" i="19"/>
  <c r="F44" i="19"/>
  <c r="F43" i="19"/>
  <c r="F42" i="19"/>
  <c r="F41" i="19"/>
  <c r="F40" i="19"/>
  <c r="F39" i="19"/>
  <c r="F38" i="19"/>
  <c r="F37" i="19"/>
  <c r="F36" i="19"/>
  <c r="F35" i="19"/>
  <c r="F34" i="19"/>
  <c r="F33" i="19"/>
  <c r="F32" i="19"/>
  <c r="F31" i="19"/>
  <c r="F30" i="19"/>
  <c r="F29" i="19"/>
  <c r="F28" i="19"/>
  <c r="F27" i="19"/>
  <c r="F26" i="19"/>
  <c r="F25" i="19"/>
  <c r="F24" i="19"/>
  <c r="F23" i="19"/>
  <c r="F22" i="19"/>
  <c r="F21" i="19"/>
  <c r="F20" i="19"/>
  <c r="F19" i="19"/>
  <c r="F18" i="19"/>
  <c r="F17" i="19"/>
  <c r="F16" i="19"/>
  <c r="F15" i="19"/>
  <c r="F14" i="19"/>
  <c r="F13" i="19"/>
  <c r="F12" i="19"/>
  <c r="F11" i="19"/>
  <c r="F10" i="19"/>
  <c r="F9" i="19"/>
  <c r="F8" i="19"/>
  <c r="F7" i="19"/>
  <c r="F6" i="19"/>
  <c r="F5" i="19"/>
  <c r="E72" i="19"/>
  <c r="D72" i="19"/>
  <c r="C72" i="19"/>
  <c r="B72" i="19"/>
  <c r="C72" i="30" l="1"/>
  <c r="F6" i="30"/>
  <c r="F10" i="30"/>
  <c r="F14" i="30"/>
  <c r="F18" i="30"/>
  <c r="F22" i="30"/>
  <c r="F26" i="30"/>
  <c r="F30" i="30"/>
  <c r="F34" i="30"/>
  <c r="F38" i="30"/>
  <c r="F42" i="30"/>
  <c r="F46" i="30"/>
  <c r="F50" i="30"/>
  <c r="F54" i="30"/>
  <c r="F58" i="30"/>
  <c r="F62" i="30"/>
  <c r="F66" i="30"/>
  <c r="F70" i="30"/>
  <c r="F8" i="30"/>
  <c r="F12" i="30"/>
  <c r="F16" i="30"/>
  <c r="F20" i="30"/>
  <c r="F24" i="30"/>
  <c r="F28" i="30"/>
  <c r="F32" i="30"/>
  <c r="F36" i="30"/>
  <c r="F40" i="30"/>
  <c r="F44" i="30"/>
  <c r="F48" i="30"/>
  <c r="F52" i="30"/>
  <c r="F56" i="30"/>
  <c r="F60" i="30"/>
  <c r="F64" i="30"/>
  <c r="F68" i="30"/>
  <c r="F7" i="30"/>
  <c r="F72" i="19"/>
  <c r="B72" i="30"/>
  <c r="E72" i="30"/>
  <c r="F71" i="30"/>
  <c r="F68" i="29"/>
  <c r="F64" i="29"/>
  <c r="F60" i="29"/>
  <c r="F56" i="29"/>
  <c r="F52" i="29"/>
  <c r="F48" i="29"/>
  <c r="F40" i="29"/>
  <c r="F36" i="29"/>
  <c r="F32" i="29"/>
  <c r="F28" i="29"/>
  <c r="F24" i="29"/>
  <c r="F20" i="29"/>
  <c r="F16" i="29"/>
  <c r="F12" i="29"/>
  <c r="F8" i="29"/>
  <c r="F71" i="18"/>
  <c r="F70" i="18"/>
  <c r="F69" i="18"/>
  <c r="F68" i="18"/>
  <c r="F67" i="18"/>
  <c r="F66" i="18"/>
  <c r="F65" i="18"/>
  <c r="F64" i="18"/>
  <c r="F63" i="18"/>
  <c r="F62" i="18"/>
  <c r="F61" i="18"/>
  <c r="F60" i="18"/>
  <c r="F59" i="18"/>
  <c r="F58" i="18"/>
  <c r="F57" i="18"/>
  <c r="F56" i="18"/>
  <c r="F55" i="18"/>
  <c r="F54" i="18"/>
  <c r="F53" i="18"/>
  <c r="F52" i="18"/>
  <c r="F51" i="18"/>
  <c r="F50" i="18"/>
  <c r="F49" i="18"/>
  <c r="F48" i="18"/>
  <c r="F47" i="18"/>
  <c r="F46" i="18"/>
  <c r="F45" i="18"/>
  <c r="F44" i="18"/>
  <c r="F43" i="18"/>
  <c r="F42" i="18"/>
  <c r="F41" i="18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23" i="18"/>
  <c r="F22" i="18"/>
  <c r="F21" i="18"/>
  <c r="F20" i="18"/>
  <c r="F19" i="18"/>
  <c r="F18" i="18"/>
  <c r="F17" i="18"/>
  <c r="F16" i="18"/>
  <c r="F15" i="18"/>
  <c r="F14" i="18"/>
  <c r="F13" i="18"/>
  <c r="F12" i="18"/>
  <c r="F11" i="18"/>
  <c r="F10" i="18"/>
  <c r="F9" i="18"/>
  <c r="F8" i="18"/>
  <c r="F7" i="18"/>
  <c r="F6" i="18"/>
  <c r="F5" i="18"/>
  <c r="E72" i="18"/>
  <c r="D72" i="18"/>
  <c r="C72" i="18"/>
  <c r="B72" i="18"/>
  <c r="F72" i="18" l="1"/>
  <c r="F44" i="29"/>
  <c r="F5" i="29"/>
  <c r="F9" i="29"/>
  <c r="F13" i="29"/>
  <c r="F17" i="29"/>
  <c r="F21" i="29"/>
  <c r="F25" i="29"/>
  <c r="F29" i="29"/>
  <c r="F33" i="29"/>
  <c r="F37" i="29"/>
  <c r="F41" i="29"/>
  <c r="F45" i="29"/>
  <c r="F49" i="29"/>
  <c r="F53" i="29"/>
  <c r="F57" i="29"/>
  <c r="F61" i="29"/>
  <c r="F65" i="29"/>
  <c r="F69" i="29"/>
  <c r="F72" i="30"/>
  <c r="F6" i="29"/>
  <c r="F10" i="29"/>
  <c r="F14" i="29"/>
  <c r="F18" i="29"/>
  <c r="F22" i="29"/>
  <c r="F26" i="29"/>
  <c r="F30" i="29"/>
  <c r="F34" i="29"/>
  <c r="F38" i="29"/>
  <c r="F42" i="29"/>
  <c r="F46" i="29"/>
  <c r="F50" i="29"/>
  <c r="F54" i="29"/>
  <c r="F58" i="29"/>
  <c r="F62" i="29"/>
  <c r="F66" i="29"/>
  <c r="F70" i="29"/>
  <c r="E72" i="29"/>
  <c r="B72" i="29"/>
  <c r="F11" i="29"/>
  <c r="F15" i="29"/>
  <c r="F19" i="29"/>
  <c r="F23" i="29"/>
  <c r="F27" i="29"/>
  <c r="F31" i="29"/>
  <c r="F35" i="29"/>
  <c r="F39" i="29"/>
  <c r="F43" i="29"/>
  <c r="F47" i="29"/>
  <c r="F51" i="29"/>
  <c r="F55" i="29"/>
  <c r="F59" i="29"/>
  <c r="F63" i="29"/>
  <c r="F67" i="29"/>
  <c r="F71" i="29"/>
  <c r="C72" i="29"/>
  <c r="D72" i="29"/>
  <c r="F7" i="29"/>
  <c r="E72" i="17"/>
  <c r="D72" i="17"/>
  <c r="C72" i="17"/>
  <c r="B72" i="17"/>
  <c r="F71" i="17"/>
  <c r="F70" i="17"/>
  <c r="F69" i="17"/>
  <c r="F68" i="17"/>
  <c r="F67" i="17"/>
  <c r="F66" i="17"/>
  <c r="F65" i="17"/>
  <c r="F64" i="17"/>
  <c r="F63" i="17"/>
  <c r="F62" i="17"/>
  <c r="F61" i="17"/>
  <c r="F60" i="17"/>
  <c r="F59" i="17"/>
  <c r="F58" i="17"/>
  <c r="F57" i="17"/>
  <c r="F56" i="17"/>
  <c r="F55" i="17"/>
  <c r="F54" i="17"/>
  <c r="F53" i="17"/>
  <c r="F52" i="17"/>
  <c r="F51" i="17"/>
  <c r="F50" i="17"/>
  <c r="F49" i="17"/>
  <c r="F48" i="17"/>
  <c r="F47" i="17"/>
  <c r="F46" i="17"/>
  <c r="F45" i="17"/>
  <c r="F44" i="17"/>
  <c r="F43" i="17"/>
  <c r="F42" i="17"/>
  <c r="F41" i="17"/>
  <c r="F40" i="17"/>
  <c r="F39" i="17"/>
  <c r="F38" i="17"/>
  <c r="F37" i="17"/>
  <c r="F36" i="17"/>
  <c r="F35" i="17"/>
  <c r="F34" i="17"/>
  <c r="F33" i="17"/>
  <c r="F32" i="17"/>
  <c r="F31" i="17"/>
  <c r="F30" i="17"/>
  <c r="F29" i="17"/>
  <c r="F28" i="17"/>
  <c r="F27" i="17"/>
  <c r="F26" i="17"/>
  <c r="F25" i="17"/>
  <c r="F24" i="17"/>
  <c r="F23" i="17"/>
  <c r="F22" i="17"/>
  <c r="F21" i="17"/>
  <c r="F20" i="17"/>
  <c r="F19" i="17"/>
  <c r="F18" i="17"/>
  <c r="F17" i="17"/>
  <c r="F16" i="17"/>
  <c r="F15" i="17"/>
  <c r="F14" i="17"/>
  <c r="F13" i="17"/>
  <c r="F12" i="17"/>
  <c r="F11" i="17"/>
  <c r="F10" i="17"/>
  <c r="F9" i="17"/>
  <c r="F8" i="17"/>
  <c r="F7" i="17"/>
  <c r="F6" i="17"/>
  <c r="F5" i="17"/>
  <c r="F72" i="17" s="1"/>
  <c r="F72" i="29" l="1"/>
  <c r="F7" i="28"/>
  <c r="F11" i="28"/>
  <c r="F15" i="28"/>
  <c r="F19" i="28"/>
  <c r="F23" i="28"/>
  <c r="F27" i="28"/>
  <c r="F31" i="28"/>
  <c r="F35" i="28"/>
  <c r="F39" i="28"/>
  <c r="F43" i="28"/>
  <c r="F47" i="28"/>
  <c r="F51" i="28"/>
  <c r="F55" i="28"/>
  <c r="F59" i="28"/>
  <c r="F63" i="28"/>
  <c r="F67" i="28"/>
  <c r="F71" i="28"/>
  <c r="D72" i="28"/>
  <c r="F8" i="28"/>
  <c r="F12" i="28"/>
  <c r="F16" i="28"/>
  <c r="F20" i="28"/>
  <c r="F24" i="28"/>
  <c r="F28" i="28"/>
  <c r="F32" i="28"/>
  <c r="F36" i="28"/>
  <c r="F40" i="28"/>
  <c r="F44" i="28"/>
  <c r="F48" i="28"/>
  <c r="F52" i="28"/>
  <c r="F56" i="28"/>
  <c r="F60" i="28"/>
  <c r="F64" i="28"/>
  <c r="F68" i="28"/>
  <c r="B72" i="28"/>
  <c r="F9" i="28"/>
  <c r="F13" i="28"/>
  <c r="F17" i="28"/>
  <c r="F21" i="28"/>
  <c r="F25" i="28"/>
  <c r="F29" i="28"/>
  <c r="F33" i="28"/>
  <c r="F37" i="28"/>
  <c r="F41" i="28"/>
  <c r="F45" i="28"/>
  <c r="F49" i="28"/>
  <c r="F53" i="28"/>
  <c r="F57" i="28"/>
  <c r="F61" i="28"/>
  <c r="F65" i="28"/>
  <c r="F69" i="28"/>
  <c r="C72" i="28"/>
  <c r="F6" i="28"/>
  <c r="F10" i="28"/>
  <c r="F14" i="28"/>
  <c r="F18" i="28"/>
  <c r="F22" i="28"/>
  <c r="F26" i="28"/>
  <c r="F30" i="28"/>
  <c r="F34" i="28"/>
  <c r="F38" i="28"/>
  <c r="F42" i="28"/>
  <c r="F46" i="28"/>
  <c r="F50" i="28"/>
  <c r="F54" i="28"/>
  <c r="F58" i="28"/>
  <c r="F62" i="28"/>
  <c r="F66" i="28"/>
  <c r="F70" i="28"/>
  <c r="E72" i="28"/>
  <c r="F5" i="28"/>
  <c r="F53" i="27"/>
  <c r="F37" i="27"/>
  <c r="E72" i="27"/>
  <c r="F63" i="27"/>
  <c r="F47" i="27"/>
  <c r="F31" i="27"/>
  <c r="F58" i="27"/>
  <c r="F42" i="27"/>
  <c r="F26" i="27"/>
  <c r="F10" i="27"/>
  <c r="F15" i="27"/>
  <c r="E72" i="26"/>
  <c r="F67" i="26"/>
  <c r="F59" i="26"/>
  <c r="F43" i="26"/>
  <c r="F39" i="26"/>
  <c r="F31" i="26"/>
  <c r="F15" i="26"/>
  <c r="F62" i="26"/>
  <c r="F54" i="26"/>
  <c r="F46" i="26"/>
  <c r="F38" i="26"/>
  <c r="F34" i="26"/>
  <c r="F26" i="26"/>
  <c r="F18" i="26"/>
  <c r="F10" i="26"/>
  <c r="F69" i="26"/>
  <c r="F41" i="26"/>
  <c r="F37" i="26"/>
  <c r="F9" i="26"/>
  <c r="E71" i="25"/>
  <c r="E70" i="25"/>
  <c r="E69" i="25"/>
  <c r="E68" i="25"/>
  <c r="E67" i="25"/>
  <c r="E66" i="25"/>
  <c r="F66" i="25" s="1"/>
  <c r="E65" i="25"/>
  <c r="E64" i="25"/>
  <c r="E63" i="25"/>
  <c r="E62" i="25"/>
  <c r="F62" i="25" s="1"/>
  <c r="E61" i="25"/>
  <c r="E60" i="25"/>
  <c r="E59" i="25"/>
  <c r="E58" i="25"/>
  <c r="E57" i="25"/>
  <c r="E56" i="25"/>
  <c r="E55" i="25"/>
  <c r="E54" i="25"/>
  <c r="F54" i="25" s="1"/>
  <c r="E53" i="25"/>
  <c r="E52" i="25"/>
  <c r="E51" i="25"/>
  <c r="E50" i="25"/>
  <c r="E49" i="25"/>
  <c r="E48" i="25"/>
  <c r="E47" i="25"/>
  <c r="E46" i="25"/>
  <c r="F46" i="25" s="1"/>
  <c r="E45" i="25"/>
  <c r="E44" i="25"/>
  <c r="E43" i="25"/>
  <c r="E42" i="25"/>
  <c r="E41" i="25"/>
  <c r="E40" i="25"/>
  <c r="E39" i="25"/>
  <c r="E38" i="25"/>
  <c r="F38" i="25" s="1"/>
  <c r="E37" i="25"/>
  <c r="E36" i="25"/>
  <c r="E35" i="25"/>
  <c r="E34" i="25"/>
  <c r="E33" i="25"/>
  <c r="E32" i="25"/>
  <c r="E31" i="25"/>
  <c r="E30" i="25"/>
  <c r="E29" i="25"/>
  <c r="E28" i="25"/>
  <c r="E27" i="25"/>
  <c r="E26" i="25"/>
  <c r="F26" i="25" s="1"/>
  <c r="E25" i="25"/>
  <c r="E24" i="25"/>
  <c r="E23" i="25"/>
  <c r="E22" i="25"/>
  <c r="E21" i="25"/>
  <c r="E20" i="25"/>
  <c r="E19" i="25"/>
  <c r="E18" i="25"/>
  <c r="F18" i="25" s="1"/>
  <c r="E17" i="25"/>
  <c r="E16" i="25"/>
  <c r="E15" i="25"/>
  <c r="E14" i="25"/>
  <c r="E13" i="25"/>
  <c r="E12" i="25"/>
  <c r="E11" i="25"/>
  <c r="E10" i="25"/>
  <c r="F10" i="25" s="1"/>
  <c r="E9" i="25"/>
  <c r="E8" i="25"/>
  <c r="E7" i="25"/>
  <c r="E6" i="25"/>
  <c r="F6" i="25" s="1"/>
  <c r="E5" i="25"/>
  <c r="D71" i="25"/>
  <c r="D70" i="25"/>
  <c r="D69" i="25"/>
  <c r="D68" i="25"/>
  <c r="D67" i="25"/>
  <c r="D66" i="25"/>
  <c r="D65" i="25"/>
  <c r="D64" i="25"/>
  <c r="D63" i="25"/>
  <c r="D62" i="25"/>
  <c r="D61" i="25"/>
  <c r="D60" i="25"/>
  <c r="D59" i="25"/>
  <c r="D58" i="25"/>
  <c r="D57" i="25"/>
  <c r="D56" i="25"/>
  <c r="D55" i="25"/>
  <c r="D54" i="25"/>
  <c r="D53" i="25"/>
  <c r="D52" i="25"/>
  <c r="D51" i="25"/>
  <c r="D50" i="25"/>
  <c r="D49" i="25"/>
  <c r="D48" i="25"/>
  <c r="D47" i="25"/>
  <c r="D46" i="25"/>
  <c r="D45" i="25"/>
  <c r="D44" i="25"/>
  <c r="D43" i="25"/>
  <c r="D42" i="25"/>
  <c r="D41" i="25"/>
  <c r="D40" i="25"/>
  <c r="D39" i="25"/>
  <c r="D38" i="25"/>
  <c r="D37" i="25"/>
  <c r="F37" i="25" s="1"/>
  <c r="D36" i="25"/>
  <c r="D35" i="25"/>
  <c r="D34" i="25"/>
  <c r="D33" i="25"/>
  <c r="F33" i="25" s="1"/>
  <c r="D32" i="25"/>
  <c r="D31" i="25"/>
  <c r="D30" i="25"/>
  <c r="D29" i="25"/>
  <c r="D28" i="25"/>
  <c r="D27" i="25"/>
  <c r="D26" i="25"/>
  <c r="D25" i="25"/>
  <c r="D24" i="25"/>
  <c r="D23" i="25"/>
  <c r="D22" i="25"/>
  <c r="D21" i="25"/>
  <c r="D20" i="25"/>
  <c r="D19" i="25"/>
  <c r="D18" i="25"/>
  <c r="D17" i="25"/>
  <c r="D16" i="25"/>
  <c r="D15" i="25"/>
  <c r="D14" i="25"/>
  <c r="D13" i="25"/>
  <c r="D12" i="25"/>
  <c r="D11" i="25"/>
  <c r="D10" i="25"/>
  <c r="D9" i="25"/>
  <c r="D8" i="25"/>
  <c r="D7" i="25"/>
  <c r="D6" i="25"/>
  <c r="D5" i="25"/>
  <c r="C71" i="25"/>
  <c r="C70" i="25"/>
  <c r="C69" i="25"/>
  <c r="C68" i="25"/>
  <c r="C67" i="25"/>
  <c r="C66" i="25"/>
  <c r="C65" i="25"/>
  <c r="C64" i="25"/>
  <c r="C63" i="25"/>
  <c r="C62" i="25"/>
  <c r="C61" i="25"/>
  <c r="C60" i="25"/>
  <c r="C59" i="25"/>
  <c r="C58" i="25"/>
  <c r="C57" i="25"/>
  <c r="C56" i="25"/>
  <c r="C55" i="25"/>
  <c r="C54" i="25"/>
  <c r="C53" i="25"/>
  <c r="C52" i="25"/>
  <c r="C51" i="25"/>
  <c r="C50" i="25"/>
  <c r="C49" i="25"/>
  <c r="C48" i="25"/>
  <c r="C47" i="25"/>
  <c r="C46" i="25"/>
  <c r="C45" i="25"/>
  <c r="C44" i="25"/>
  <c r="C43" i="25"/>
  <c r="C42" i="25"/>
  <c r="C41" i="25"/>
  <c r="C40" i="25"/>
  <c r="C39" i="25"/>
  <c r="C38" i="25"/>
  <c r="C37" i="25"/>
  <c r="C36" i="25"/>
  <c r="C35" i="25"/>
  <c r="C34" i="25"/>
  <c r="C33" i="25"/>
  <c r="C32" i="25"/>
  <c r="C31" i="25"/>
  <c r="C30" i="25"/>
  <c r="C29" i="25"/>
  <c r="C28" i="25"/>
  <c r="C27" i="25"/>
  <c r="C26" i="25"/>
  <c r="C25" i="25"/>
  <c r="C24" i="25"/>
  <c r="C23" i="25"/>
  <c r="C22" i="25"/>
  <c r="C21" i="25"/>
  <c r="C20" i="25"/>
  <c r="C19" i="25"/>
  <c r="C18" i="25"/>
  <c r="C17" i="25"/>
  <c r="C16" i="25"/>
  <c r="C15" i="25"/>
  <c r="C14" i="25"/>
  <c r="C13" i="25"/>
  <c r="C12" i="25"/>
  <c r="C11" i="25"/>
  <c r="C10" i="25"/>
  <c r="C9" i="25"/>
  <c r="C8" i="25"/>
  <c r="C7" i="25"/>
  <c r="C6" i="25"/>
  <c r="C5" i="25"/>
  <c r="B71" i="25"/>
  <c r="F71" i="25" s="1"/>
  <c r="B70" i="25"/>
  <c r="B69" i="25"/>
  <c r="B68" i="25"/>
  <c r="B67" i="25"/>
  <c r="F67" i="25" s="1"/>
  <c r="B66" i="25"/>
  <c r="B65" i="25"/>
  <c r="B64" i="25"/>
  <c r="B63" i="25"/>
  <c r="B62" i="25"/>
  <c r="B61" i="25"/>
  <c r="B60" i="25"/>
  <c r="B59" i="25"/>
  <c r="F59" i="25" s="1"/>
  <c r="B58" i="25"/>
  <c r="B57" i="25"/>
  <c r="B56" i="25"/>
  <c r="B55" i="25"/>
  <c r="B54" i="25"/>
  <c r="B53" i="25"/>
  <c r="B52" i="25"/>
  <c r="B51" i="25"/>
  <c r="F51" i="25" s="1"/>
  <c r="B50" i="25"/>
  <c r="B49" i="25"/>
  <c r="B48" i="25"/>
  <c r="B47" i="25"/>
  <c r="B46" i="25"/>
  <c r="B45" i="25"/>
  <c r="B44" i="25"/>
  <c r="B43" i="25"/>
  <c r="F43" i="25" s="1"/>
  <c r="B42" i="25"/>
  <c r="B41" i="25"/>
  <c r="B40" i="25"/>
  <c r="B39" i="25"/>
  <c r="B38" i="25"/>
  <c r="B37" i="25"/>
  <c r="B36" i="25"/>
  <c r="B35" i="25"/>
  <c r="B34" i="25"/>
  <c r="B33" i="25"/>
  <c r="B32" i="25"/>
  <c r="B31" i="25"/>
  <c r="F31" i="25" s="1"/>
  <c r="B30" i="25"/>
  <c r="B29" i="25"/>
  <c r="B28" i="25"/>
  <c r="B27" i="25"/>
  <c r="B26" i="25"/>
  <c r="B25" i="25"/>
  <c r="B24" i="25"/>
  <c r="B23" i="25"/>
  <c r="F23" i="25" s="1"/>
  <c r="B22" i="25"/>
  <c r="B21" i="25"/>
  <c r="B20" i="25"/>
  <c r="B19" i="25"/>
  <c r="B18" i="25"/>
  <c r="B17" i="25"/>
  <c r="B16" i="25"/>
  <c r="B15" i="25"/>
  <c r="F15" i="25" s="1"/>
  <c r="B14" i="25"/>
  <c r="B13" i="25"/>
  <c r="B12" i="25"/>
  <c r="B11" i="25"/>
  <c r="B10" i="25"/>
  <c r="B9" i="25"/>
  <c r="B8" i="25"/>
  <c r="B7" i="25"/>
  <c r="F7" i="25" s="1"/>
  <c r="B6" i="25"/>
  <c r="B5" i="25"/>
  <c r="F71" i="24"/>
  <c r="F67" i="24"/>
  <c r="F63" i="24"/>
  <c r="F59" i="24"/>
  <c r="F55" i="24"/>
  <c r="F51" i="24"/>
  <c r="F47" i="24"/>
  <c r="F39" i="24"/>
  <c r="F35" i="24"/>
  <c r="F31" i="24"/>
  <c r="F27" i="24"/>
  <c r="F23" i="24"/>
  <c r="F19" i="24"/>
  <c r="F11" i="24"/>
  <c r="F7" i="24"/>
  <c r="F70" i="24"/>
  <c r="F66" i="24"/>
  <c r="F62" i="24"/>
  <c r="F58" i="24"/>
  <c r="F54" i="24"/>
  <c r="F50" i="24"/>
  <c r="F46" i="24"/>
  <c r="F42" i="24"/>
  <c r="F38" i="24"/>
  <c r="F34" i="24"/>
  <c r="F30" i="24"/>
  <c r="F26" i="24"/>
  <c r="F22" i="24"/>
  <c r="F18" i="24"/>
  <c r="F14" i="24"/>
  <c r="F10" i="24"/>
  <c r="F6" i="24"/>
  <c r="F69" i="24"/>
  <c r="F41" i="24"/>
  <c r="F37" i="24"/>
  <c r="F9" i="24"/>
  <c r="F5" i="24"/>
  <c r="E72" i="16"/>
  <c r="D72" i="16"/>
  <c r="C72" i="16"/>
  <c r="B72" i="16"/>
  <c r="F71" i="16"/>
  <c r="F70" i="16"/>
  <c r="F69" i="16"/>
  <c r="F68" i="16"/>
  <c r="F67" i="16"/>
  <c r="F66" i="16"/>
  <c r="F65" i="16"/>
  <c r="F64" i="16"/>
  <c r="F63" i="16"/>
  <c r="F62" i="16"/>
  <c r="F61" i="16"/>
  <c r="F60" i="16"/>
  <c r="F59" i="16"/>
  <c r="F58" i="16"/>
  <c r="F57" i="16"/>
  <c r="F56" i="16"/>
  <c r="F55" i="16"/>
  <c r="F54" i="16"/>
  <c r="F53" i="16"/>
  <c r="F52" i="16"/>
  <c r="F51" i="16"/>
  <c r="F50" i="16"/>
  <c r="F49" i="16"/>
  <c r="F48" i="16"/>
  <c r="F47" i="16"/>
  <c r="F46" i="16"/>
  <c r="F45" i="16"/>
  <c r="F44" i="16"/>
  <c r="F43" i="16"/>
  <c r="F42" i="16"/>
  <c r="F41" i="16"/>
  <c r="F40" i="16"/>
  <c r="F39" i="16"/>
  <c r="F38" i="16"/>
  <c r="F37" i="16"/>
  <c r="F36" i="16"/>
  <c r="F35" i="16"/>
  <c r="F34" i="16"/>
  <c r="F33" i="16"/>
  <c r="F32" i="16"/>
  <c r="F31" i="16"/>
  <c r="F30" i="16"/>
  <c r="F29" i="16"/>
  <c r="F28" i="16"/>
  <c r="F27" i="16"/>
  <c r="F26" i="16"/>
  <c r="F25" i="16"/>
  <c r="F24" i="16"/>
  <c r="F23" i="16"/>
  <c r="F22" i="16"/>
  <c r="F21" i="16"/>
  <c r="F20" i="16"/>
  <c r="F19" i="16"/>
  <c r="F18" i="16"/>
  <c r="F17" i="16"/>
  <c r="F16" i="16"/>
  <c r="F15" i="16"/>
  <c r="F14" i="16"/>
  <c r="F13" i="16"/>
  <c r="F12" i="16"/>
  <c r="F11" i="16"/>
  <c r="F10" i="16"/>
  <c r="F9" i="16"/>
  <c r="F8" i="16"/>
  <c r="F7" i="16"/>
  <c r="F6" i="16"/>
  <c r="F5" i="16"/>
  <c r="E72" i="15"/>
  <c r="D72" i="15"/>
  <c r="C72" i="15"/>
  <c r="B72" i="15"/>
  <c r="F71" i="15"/>
  <c r="F70" i="15"/>
  <c r="F69" i="15"/>
  <c r="F68" i="15"/>
  <c r="F67" i="15"/>
  <c r="F66" i="15"/>
  <c r="F65" i="15"/>
  <c r="F64" i="15"/>
  <c r="F63" i="15"/>
  <c r="F62" i="15"/>
  <c r="F61" i="15"/>
  <c r="F60" i="15"/>
  <c r="F59" i="15"/>
  <c r="F58" i="15"/>
  <c r="F57" i="15"/>
  <c r="F56" i="15"/>
  <c r="F55" i="15"/>
  <c r="F54" i="15"/>
  <c r="F53" i="15"/>
  <c r="F52" i="15"/>
  <c r="F51" i="15"/>
  <c r="F50" i="15"/>
  <c r="F49" i="15"/>
  <c r="F48" i="15"/>
  <c r="F47" i="15"/>
  <c r="F46" i="15"/>
  <c r="F45" i="15"/>
  <c r="F44" i="15"/>
  <c r="F43" i="15"/>
  <c r="F42" i="15"/>
  <c r="F41" i="15"/>
  <c r="F40" i="15"/>
  <c r="F39" i="15"/>
  <c r="F38" i="15"/>
  <c r="F37" i="15"/>
  <c r="F36" i="15"/>
  <c r="F35" i="15"/>
  <c r="F34" i="15"/>
  <c r="F33" i="15"/>
  <c r="F32" i="15"/>
  <c r="F31" i="15"/>
  <c r="F30" i="15"/>
  <c r="F29" i="15"/>
  <c r="F28" i="15"/>
  <c r="F27" i="15"/>
  <c r="F26" i="15"/>
  <c r="F25" i="15"/>
  <c r="F24" i="15"/>
  <c r="F23" i="15"/>
  <c r="F22" i="15"/>
  <c r="F21" i="15"/>
  <c r="F20" i="15"/>
  <c r="F19" i="15"/>
  <c r="F18" i="15"/>
  <c r="F17" i="15"/>
  <c r="F16" i="15"/>
  <c r="F15" i="15"/>
  <c r="F14" i="15"/>
  <c r="F13" i="15"/>
  <c r="F12" i="15"/>
  <c r="F11" i="15"/>
  <c r="F10" i="15"/>
  <c r="F9" i="15"/>
  <c r="F8" i="15"/>
  <c r="F7" i="15"/>
  <c r="F6" i="15"/>
  <c r="F5" i="15"/>
  <c r="E72" i="14"/>
  <c r="D72" i="14"/>
  <c r="C72" i="14"/>
  <c r="B72" i="14"/>
  <c r="F71" i="14"/>
  <c r="F70" i="14"/>
  <c r="F69" i="14"/>
  <c r="F68" i="14"/>
  <c r="F67" i="14"/>
  <c r="F66" i="14"/>
  <c r="F65" i="14"/>
  <c r="F64" i="14"/>
  <c r="F63" i="14"/>
  <c r="F62" i="14"/>
  <c r="F61" i="14"/>
  <c r="F60" i="14"/>
  <c r="F59" i="14"/>
  <c r="F58" i="14"/>
  <c r="F57" i="14"/>
  <c r="F56" i="14"/>
  <c r="F55" i="14"/>
  <c r="F54" i="14"/>
  <c r="F53" i="14"/>
  <c r="F52" i="14"/>
  <c r="F51" i="14"/>
  <c r="F50" i="14"/>
  <c r="F49" i="14"/>
  <c r="F48" i="14"/>
  <c r="F47" i="14"/>
  <c r="F46" i="14"/>
  <c r="F45" i="14"/>
  <c r="F44" i="14"/>
  <c r="F43" i="14"/>
  <c r="F42" i="14"/>
  <c r="F41" i="14"/>
  <c r="F40" i="14"/>
  <c r="F39" i="14"/>
  <c r="F38" i="14"/>
  <c r="F37" i="14"/>
  <c r="F36" i="14"/>
  <c r="F35" i="14"/>
  <c r="F34" i="14"/>
  <c r="F33" i="14"/>
  <c r="F32" i="14"/>
  <c r="F31" i="14"/>
  <c r="F30" i="14"/>
  <c r="F29" i="14"/>
  <c r="F28" i="14"/>
  <c r="F27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E72" i="3"/>
  <c r="D72" i="3"/>
  <c r="C72" i="3"/>
  <c r="B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E71" i="23"/>
  <c r="E70" i="23"/>
  <c r="E69" i="23"/>
  <c r="E68" i="23"/>
  <c r="E67" i="23"/>
  <c r="E66" i="23"/>
  <c r="E65" i="23"/>
  <c r="E64" i="23"/>
  <c r="E63" i="23"/>
  <c r="E62" i="23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34" i="23"/>
  <c r="E33" i="23"/>
  <c r="E32" i="23"/>
  <c r="E31" i="23"/>
  <c r="E30" i="23"/>
  <c r="E29" i="23"/>
  <c r="E28" i="23"/>
  <c r="E27" i="23"/>
  <c r="E26" i="23"/>
  <c r="E25" i="23"/>
  <c r="E24" i="23"/>
  <c r="E23" i="23"/>
  <c r="E22" i="23"/>
  <c r="E21" i="23"/>
  <c r="E20" i="23"/>
  <c r="E19" i="23"/>
  <c r="E18" i="23"/>
  <c r="E17" i="23"/>
  <c r="E16" i="23"/>
  <c r="E15" i="23"/>
  <c r="E14" i="23"/>
  <c r="E13" i="23"/>
  <c r="E12" i="23"/>
  <c r="E11" i="23"/>
  <c r="E10" i="23"/>
  <c r="E9" i="23"/>
  <c r="E8" i="23"/>
  <c r="E7" i="23"/>
  <c r="E6" i="23"/>
  <c r="E5" i="23"/>
  <c r="D71" i="23"/>
  <c r="D70" i="23"/>
  <c r="D69" i="23"/>
  <c r="D68" i="23"/>
  <c r="D67" i="23"/>
  <c r="D66" i="23"/>
  <c r="D65" i="23"/>
  <c r="D64" i="23"/>
  <c r="D63" i="23"/>
  <c r="D62" i="23"/>
  <c r="D61" i="23"/>
  <c r="D60" i="23"/>
  <c r="D59" i="23"/>
  <c r="D58" i="23"/>
  <c r="D57" i="23"/>
  <c r="D56" i="23"/>
  <c r="D55" i="23"/>
  <c r="D54" i="23"/>
  <c r="D53" i="23"/>
  <c r="D52" i="23"/>
  <c r="D51" i="23"/>
  <c r="D50" i="23"/>
  <c r="D49" i="23"/>
  <c r="D48" i="23"/>
  <c r="D47" i="23"/>
  <c r="D46" i="23"/>
  <c r="D45" i="23"/>
  <c r="D44" i="23"/>
  <c r="D43" i="23"/>
  <c r="D42" i="23"/>
  <c r="D41" i="23"/>
  <c r="D40" i="23"/>
  <c r="D39" i="23"/>
  <c r="D38" i="23"/>
  <c r="D37" i="23"/>
  <c r="D36" i="23"/>
  <c r="D35" i="23"/>
  <c r="D34" i="23"/>
  <c r="D33" i="23"/>
  <c r="D32" i="23"/>
  <c r="D31" i="23"/>
  <c r="D30" i="23"/>
  <c r="D29" i="23"/>
  <c r="D28" i="23"/>
  <c r="D27" i="23"/>
  <c r="D26" i="23"/>
  <c r="D25" i="23"/>
  <c r="D24" i="23"/>
  <c r="D23" i="23"/>
  <c r="D22" i="23"/>
  <c r="D21" i="23"/>
  <c r="D20" i="23"/>
  <c r="D19" i="23"/>
  <c r="D18" i="23"/>
  <c r="D17" i="23"/>
  <c r="D16" i="23"/>
  <c r="D15" i="23"/>
  <c r="D14" i="23"/>
  <c r="D13" i="23"/>
  <c r="D12" i="23"/>
  <c r="D11" i="23"/>
  <c r="D10" i="23"/>
  <c r="D9" i="23"/>
  <c r="D8" i="23"/>
  <c r="D7" i="23"/>
  <c r="D6" i="23"/>
  <c r="D5" i="23"/>
  <c r="C71" i="23"/>
  <c r="C70" i="23"/>
  <c r="C69" i="23"/>
  <c r="C68" i="23"/>
  <c r="C67" i="23"/>
  <c r="C66" i="23"/>
  <c r="C65" i="23"/>
  <c r="C64" i="23"/>
  <c r="C63" i="23"/>
  <c r="C62" i="23"/>
  <c r="C61" i="23"/>
  <c r="C60" i="23"/>
  <c r="C59" i="23"/>
  <c r="C58" i="23"/>
  <c r="C57" i="23"/>
  <c r="C56" i="23"/>
  <c r="C55" i="23"/>
  <c r="C54" i="23"/>
  <c r="C53" i="23"/>
  <c r="C52" i="23"/>
  <c r="C51" i="23"/>
  <c r="C50" i="23"/>
  <c r="C49" i="23"/>
  <c r="C48" i="23"/>
  <c r="C47" i="23"/>
  <c r="C46" i="23"/>
  <c r="C45" i="23"/>
  <c r="C44" i="23"/>
  <c r="C43" i="23"/>
  <c r="C42" i="23"/>
  <c r="C41" i="23"/>
  <c r="C40" i="23"/>
  <c r="C39" i="23"/>
  <c r="C38" i="23"/>
  <c r="C37" i="23"/>
  <c r="C36" i="23"/>
  <c r="C35" i="23"/>
  <c r="C34" i="23"/>
  <c r="C33" i="23"/>
  <c r="C32" i="23"/>
  <c r="C31" i="23"/>
  <c r="C30" i="23"/>
  <c r="C29" i="23"/>
  <c r="C28" i="23"/>
  <c r="C27" i="23"/>
  <c r="C26" i="23"/>
  <c r="C25" i="23"/>
  <c r="C24" i="23"/>
  <c r="C23" i="23"/>
  <c r="C22" i="23"/>
  <c r="C21" i="23"/>
  <c r="C20" i="23"/>
  <c r="C19" i="23"/>
  <c r="C18" i="23"/>
  <c r="C17" i="23"/>
  <c r="C16" i="23"/>
  <c r="C15" i="23"/>
  <c r="C14" i="23"/>
  <c r="C13" i="23"/>
  <c r="C12" i="23"/>
  <c r="C11" i="23"/>
  <c r="C10" i="23"/>
  <c r="C9" i="23"/>
  <c r="C8" i="23"/>
  <c r="C7" i="23"/>
  <c r="C6" i="23"/>
  <c r="C5" i="23"/>
  <c r="B71" i="23"/>
  <c r="B70" i="23"/>
  <c r="B69" i="23"/>
  <c r="B68" i="23"/>
  <c r="B67" i="23"/>
  <c r="B66" i="23"/>
  <c r="B65" i="23"/>
  <c r="B64" i="23"/>
  <c r="B63" i="23"/>
  <c r="B62" i="23"/>
  <c r="B61" i="23"/>
  <c r="B60" i="23"/>
  <c r="B59" i="23"/>
  <c r="B58" i="23"/>
  <c r="B57" i="23"/>
  <c r="B56" i="23"/>
  <c r="B55" i="23"/>
  <c r="B54" i="23"/>
  <c r="B53" i="23"/>
  <c r="B52" i="23"/>
  <c r="B51" i="23"/>
  <c r="B50" i="23"/>
  <c r="B49" i="23"/>
  <c r="B48" i="23"/>
  <c r="B47" i="23"/>
  <c r="B46" i="23"/>
  <c r="B45" i="23"/>
  <c r="B44" i="23"/>
  <c r="B43" i="23"/>
  <c r="B42" i="23"/>
  <c r="B41" i="23"/>
  <c r="B40" i="23"/>
  <c r="B39" i="23"/>
  <c r="B38" i="23"/>
  <c r="B37" i="23"/>
  <c r="B36" i="23"/>
  <c r="B35" i="23"/>
  <c r="B34" i="23"/>
  <c r="B33" i="23"/>
  <c r="B32" i="23"/>
  <c r="B31" i="23"/>
  <c r="B30" i="23"/>
  <c r="B29" i="23"/>
  <c r="B28" i="23"/>
  <c r="B27" i="23"/>
  <c r="B26" i="23"/>
  <c r="B25" i="23"/>
  <c r="B24" i="23"/>
  <c r="B23" i="23"/>
  <c r="B22" i="23"/>
  <c r="B21" i="23"/>
  <c r="B20" i="23"/>
  <c r="B19" i="23"/>
  <c r="B18" i="23"/>
  <c r="B17" i="23"/>
  <c r="B16" i="23"/>
  <c r="B15" i="23"/>
  <c r="B14" i="23"/>
  <c r="B13" i="23"/>
  <c r="B12" i="23"/>
  <c r="B11" i="23"/>
  <c r="B10" i="23"/>
  <c r="B9" i="23"/>
  <c r="B8" i="23"/>
  <c r="B7" i="23"/>
  <c r="B6" i="23"/>
  <c r="B5" i="23"/>
  <c r="E72" i="2"/>
  <c r="D72" i="2"/>
  <c r="C72" i="2"/>
  <c r="B72" i="2"/>
  <c r="E72" i="1"/>
  <c r="D72" i="1"/>
  <c r="C72" i="1"/>
  <c r="B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72" i="1" s="1"/>
  <c r="F72" i="16" l="1"/>
  <c r="F72" i="15"/>
  <c r="B6" i="34"/>
  <c r="B14" i="34"/>
  <c r="B22" i="34"/>
  <c r="B30" i="34"/>
  <c r="B42" i="34"/>
  <c r="B50" i="34"/>
  <c r="B58" i="34"/>
  <c r="B66" i="34"/>
  <c r="C7" i="34"/>
  <c r="C15" i="34"/>
  <c r="C23" i="34"/>
  <c r="C31" i="34"/>
  <c r="C39" i="34"/>
  <c r="C47" i="34"/>
  <c r="C55" i="34"/>
  <c r="C67" i="34"/>
  <c r="D8" i="34"/>
  <c r="D16" i="34"/>
  <c r="D24" i="34"/>
  <c r="D32" i="34"/>
  <c r="D40" i="34"/>
  <c r="D48" i="34"/>
  <c r="D56" i="34"/>
  <c r="D64" i="34"/>
  <c r="E5" i="34"/>
  <c r="E13" i="34"/>
  <c r="E21" i="34"/>
  <c r="E25" i="34"/>
  <c r="E29" i="34"/>
  <c r="E37" i="34"/>
  <c r="E41" i="34"/>
  <c r="E45" i="34"/>
  <c r="E49" i="34"/>
  <c r="B10" i="34"/>
  <c r="B18" i="34"/>
  <c r="B26" i="34"/>
  <c r="B34" i="34"/>
  <c r="B38" i="34"/>
  <c r="B46" i="34"/>
  <c r="B54" i="34"/>
  <c r="B62" i="34"/>
  <c r="B70" i="34"/>
  <c r="C11" i="34"/>
  <c r="C19" i="34"/>
  <c r="C27" i="34"/>
  <c r="C35" i="34"/>
  <c r="C43" i="34"/>
  <c r="C51" i="34"/>
  <c r="C59" i="34"/>
  <c r="C63" i="34"/>
  <c r="C71" i="34"/>
  <c r="D12" i="34"/>
  <c r="D20" i="34"/>
  <c r="D28" i="34"/>
  <c r="D36" i="34"/>
  <c r="D44" i="34"/>
  <c r="D52" i="34"/>
  <c r="D60" i="34"/>
  <c r="D68" i="34"/>
  <c r="E9" i="34"/>
  <c r="E17" i="34"/>
  <c r="E33" i="34"/>
  <c r="F21" i="27"/>
  <c r="F69" i="27"/>
  <c r="F72" i="14"/>
  <c r="F23" i="26"/>
  <c r="F51" i="26"/>
  <c r="F72" i="3"/>
  <c r="F15" i="24"/>
  <c r="F43" i="24"/>
  <c r="F72" i="28"/>
  <c r="F11" i="27"/>
  <c r="F27" i="27"/>
  <c r="F43" i="27"/>
  <c r="F59" i="27"/>
  <c r="E53" i="34"/>
  <c r="E57" i="34"/>
  <c r="E61" i="34"/>
  <c r="E65" i="34"/>
  <c r="E69" i="34"/>
  <c r="B72" i="27"/>
  <c r="F9" i="27"/>
  <c r="F13" i="27"/>
  <c r="F17" i="27"/>
  <c r="F25" i="27"/>
  <c r="F29" i="27"/>
  <c r="F33" i="27"/>
  <c r="F41" i="27"/>
  <c r="F45" i="27"/>
  <c r="F49" i="27"/>
  <c r="F57" i="27"/>
  <c r="F61" i="27"/>
  <c r="F65" i="27"/>
  <c r="F6" i="27"/>
  <c r="F14" i="27"/>
  <c r="F18" i="27"/>
  <c r="F22" i="27"/>
  <c r="F30" i="27"/>
  <c r="F34" i="27"/>
  <c r="F38" i="27"/>
  <c r="F46" i="27"/>
  <c r="F50" i="27"/>
  <c r="F54" i="27"/>
  <c r="F62" i="27"/>
  <c r="F66" i="27"/>
  <c r="F70" i="27"/>
  <c r="F7" i="27"/>
  <c r="F19" i="27"/>
  <c r="F23" i="27"/>
  <c r="F35" i="27"/>
  <c r="F39" i="27"/>
  <c r="F51" i="27"/>
  <c r="F55" i="27"/>
  <c r="F67" i="27"/>
  <c r="F71" i="27"/>
  <c r="F6" i="26"/>
  <c r="F14" i="26"/>
  <c r="F22" i="26"/>
  <c r="F30" i="26"/>
  <c r="F42" i="26"/>
  <c r="F50" i="26"/>
  <c r="F58" i="26"/>
  <c r="F66" i="26"/>
  <c r="F70" i="26"/>
  <c r="F7" i="26"/>
  <c r="F11" i="26"/>
  <c r="F19" i="26"/>
  <c r="F27" i="26"/>
  <c r="F35" i="26"/>
  <c r="F47" i="26"/>
  <c r="F55" i="26"/>
  <c r="F63" i="26"/>
  <c r="F71" i="26"/>
  <c r="D72" i="27"/>
  <c r="C72" i="27"/>
  <c r="B11" i="34"/>
  <c r="B23" i="34"/>
  <c r="B35" i="34"/>
  <c r="B39" i="34"/>
  <c r="B51" i="34"/>
  <c r="B63" i="34"/>
  <c r="B72" i="25"/>
  <c r="F11" i="25"/>
  <c r="F19" i="25"/>
  <c r="F27" i="25"/>
  <c r="F39" i="25"/>
  <c r="F47" i="25"/>
  <c r="F55" i="25"/>
  <c r="F63" i="25"/>
  <c r="F21" i="26"/>
  <c r="F25" i="26"/>
  <c r="F53" i="26"/>
  <c r="F57" i="26"/>
  <c r="B15" i="34"/>
  <c r="B31" i="34"/>
  <c r="B47" i="34"/>
  <c r="B59" i="34"/>
  <c r="B67" i="34"/>
  <c r="F35" i="25"/>
  <c r="C72" i="26"/>
  <c r="B7" i="34"/>
  <c r="B19" i="34"/>
  <c r="B27" i="34"/>
  <c r="B43" i="34"/>
  <c r="B55" i="34"/>
  <c r="B71" i="34"/>
  <c r="F34" i="25"/>
  <c r="F65" i="25"/>
  <c r="F69" i="25"/>
  <c r="C8" i="34"/>
  <c r="C12" i="34"/>
  <c r="C16" i="34"/>
  <c r="C20" i="34"/>
  <c r="C24" i="34"/>
  <c r="C28" i="34"/>
  <c r="C32" i="34"/>
  <c r="C36" i="34"/>
  <c r="C40" i="34"/>
  <c r="C44" i="34"/>
  <c r="C48" i="34"/>
  <c r="C52" i="34"/>
  <c r="C56" i="34"/>
  <c r="C60" i="34"/>
  <c r="C64" i="34"/>
  <c r="C68" i="34"/>
  <c r="D5" i="34"/>
  <c r="D9" i="34"/>
  <c r="D13" i="34"/>
  <c r="D17" i="34"/>
  <c r="D21" i="34"/>
  <c r="D25" i="34"/>
  <c r="D29" i="34"/>
  <c r="F14" i="25"/>
  <c r="F22" i="25"/>
  <c r="F30" i="25"/>
  <c r="F42" i="25"/>
  <c r="F50" i="25"/>
  <c r="F58" i="25"/>
  <c r="F70" i="25"/>
  <c r="D45" i="34"/>
  <c r="E18" i="34"/>
  <c r="B8" i="34"/>
  <c r="B12" i="34"/>
  <c r="B16" i="34"/>
  <c r="B20" i="34"/>
  <c r="B24" i="34"/>
  <c r="B28" i="34"/>
  <c r="B32" i="34"/>
  <c r="B36" i="34"/>
  <c r="B40" i="34"/>
  <c r="B44" i="34"/>
  <c r="B48" i="34"/>
  <c r="B52" i="34"/>
  <c r="B56" i="34"/>
  <c r="B60" i="34"/>
  <c r="B64" i="34"/>
  <c r="B68" i="34"/>
  <c r="C5" i="34"/>
  <c r="C9" i="34"/>
  <c r="C13" i="34"/>
  <c r="C17" i="34"/>
  <c r="C21" i="34"/>
  <c r="C25" i="34"/>
  <c r="C29" i="34"/>
  <c r="C33" i="34"/>
  <c r="C37" i="34"/>
  <c r="C41" i="34"/>
  <c r="C45" i="34"/>
  <c r="C49" i="34"/>
  <c r="C53" i="34"/>
  <c r="C57" i="34"/>
  <c r="C61" i="34"/>
  <c r="C65" i="34"/>
  <c r="C69" i="34"/>
  <c r="D6" i="34"/>
  <c r="D10" i="34"/>
  <c r="D14" i="34"/>
  <c r="D18" i="34"/>
  <c r="D22" i="34"/>
  <c r="D26" i="34"/>
  <c r="D30" i="34"/>
  <c r="D34" i="34"/>
  <c r="D38" i="34"/>
  <c r="D42" i="34"/>
  <c r="D46" i="34"/>
  <c r="D50" i="34"/>
  <c r="D54" i="34"/>
  <c r="D58" i="34"/>
  <c r="D62" i="34"/>
  <c r="D66" i="34"/>
  <c r="D70" i="34"/>
  <c r="E7" i="34"/>
  <c r="E11" i="34"/>
  <c r="E15" i="34"/>
  <c r="E19" i="34"/>
  <c r="E23" i="34"/>
  <c r="E27" i="34"/>
  <c r="E31" i="34"/>
  <c r="E35" i="34"/>
  <c r="E39" i="34"/>
  <c r="E43" i="34"/>
  <c r="E47" i="34"/>
  <c r="E51" i="34"/>
  <c r="E55" i="34"/>
  <c r="E59" i="34"/>
  <c r="E63" i="34"/>
  <c r="E67" i="34"/>
  <c r="E71" i="34"/>
  <c r="D33" i="34"/>
  <c r="D37" i="34"/>
  <c r="D41" i="34"/>
  <c r="D49" i="34"/>
  <c r="D53" i="34"/>
  <c r="D57" i="34"/>
  <c r="D61" i="34"/>
  <c r="D65" i="34"/>
  <c r="D69" i="34"/>
  <c r="E6" i="34"/>
  <c r="E10" i="34"/>
  <c r="E14" i="34"/>
  <c r="E22" i="34"/>
  <c r="E26" i="34"/>
  <c r="E30" i="34"/>
  <c r="E34" i="34"/>
  <c r="E38" i="34"/>
  <c r="E42" i="34"/>
  <c r="E46" i="34"/>
  <c r="E50" i="34"/>
  <c r="E54" i="34"/>
  <c r="E58" i="34"/>
  <c r="E62" i="34"/>
  <c r="E66" i="34"/>
  <c r="E70" i="34"/>
  <c r="F17" i="25"/>
  <c r="F21" i="25"/>
  <c r="F49" i="25"/>
  <c r="F53" i="25"/>
  <c r="D72" i="24"/>
  <c r="F21" i="24"/>
  <c r="F25" i="24"/>
  <c r="F53" i="24"/>
  <c r="F57" i="24"/>
  <c r="F5" i="23"/>
  <c r="B9" i="34"/>
  <c r="B13" i="34"/>
  <c r="B17" i="34"/>
  <c r="B21" i="34"/>
  <c r="B25" i="34"/>
  <c r="B29" i="34"/>
  <c r="B33" i="34"/>
  <c r="B37" i="34"/>
  <c r="B41" i="34"/>
  <c r="B45" i="34"/>
  <c r="B49" i="34"/>
  <c r="B53" i="34"/>
  <c r="B57" i="34"/>
  <c r="B61" i="34"/>
  <c r="B65" i="34"/>
  <c r="B69" i="34"/>
  <c r="C6" i="34"/>
  <c r="C10" i="34"/>
  <c r="C14" i="34"/>
  <c r="C18" i="34"/>
  <c r="C22" i="34"/>
  <c r="C26" i="34"/>
  <c r="C30" i="34"/>
  <c r="C34" i="34"/>
  <c r="C38" i="34"/>
  <c r="C42" i="34"/>
  <c r="C46" i="34"/>
  <c r="C50" i="34"/>
  <c r="C54" i="34"/>
  <c r="C58" i="34"/>
  <c r="C62" i="34"/>
  <c r="C66" i="34"/>
  <c r="C70" i="34"/>
  <c r="D7" i="34"/>
  <c r="D11" i="34"/>
  <c r="D15" i="34"/>
  <c r="D19" i="34"/>
  <c r="D23" i="34"/>
  <c r="D27" i="34"/>
  <c r="D31" i="34"/>
  <c r="D35" i="34"/>
  <c r="D39" i="34"/>
  <c r="D43" i="34"/>
  <c r="D47" i="34"/>
  <c r="D51" i="34"/>
  <c r="D55" i="34"/>
  <c r="D59" i="34"/>
  <c r="D63" i="34"/>
  <c r="D67" i="34"/>
  <c r="D71" i="34"/>
  <c r="E8" i="34"/>
  <c r="E12" i="34"/>
  <c r="E16" i="34"/>
  <c r="E20" i="34"/>
  <c r="F20" i="34" s="1"/>
  <c r="E24" i="34"/>
  <c r="E28" i="34"/>
  <c r="E32" i="34"/>
  <c r="F32" i="34" s="1"/>
  <c r="E36" i="34"/>
  <c r="E40" i="34"/>
  <c r="E44" i="34"/>
  <c r="E48" i="34"/>
  <c r="E52" i="34"/>
  <c r="F52" i="34" s="1"/>
  <c r="E56" i="34"/>
  <c r="E60" i="34"/>
  <c r="E64" i="34"/>
  <c r="F64" i="34" s="1"/>
  <c r="E68" i="34"/>
  <c r="F7" i="23"/>
  <c r="F11" i="23"/>
  <c r="F15" i="23"/>
  <c r="F19" i="23"/>
  <c r="F23" i="23"/>
  <c r="F27" i="23"/>
  <c r="F31" i="23"/>
  <c r="F35" i="23"/>
  <c r="F39" i="23"/>
  <c r="F43" i="23"/>
  <c r="F47" i="23"/>
  <c r="F51" i="23"/>
  <c r="F55" i="23"/>
  <c r="F59" i="23"/>
  <c r="F63" i="23"/>
  <c r="F67" i="23"/>
  <c r="F71" i="23"/>
  <c r="B72" i="23"/>
  <c r="C72" i="23"/>
  <c r="D72" i="23"/>
  <c r="E72" i="23"/>
  <c r="F8" i="23"/>
  <c r="F12" i="23"/>
  <c r="F16" i="23"/>
  <c r="F20" i="23"/>
  <c r="F24" i="23"/>
  <c r="F28" i="23"/>
  <c r="F32" i="23"/>
  <c r="F36" i="23"/>
  <c r="F40" i="23"/>
  <c r="F44" i="23"/>
  <c r="F48" i="23"/>
  <c r="F52" i="23"/>
  <c r="F56" i="23"/>
  <c r="F60" i="23"/>
  <c r="F64" i="23"/>
  <c r="F68" i="23"/>
  <c r="F9" i="23"/>
  <c r="F13" i="23"/>
  <c r="F17" i="23"/>
  <c r="F21" i="23"/>
  <c r="F25" i="23"/>
  <c r="F29" i="23"/>
  <c r="F33" i="23"/>
  <c r="F37" i="23"/>
  <c r="F41" i="23"/>
  <c r="F45" i="23"/>
  <c r="F49" i="23"/>
  <c r="F53" i="23"/>
  <c r="F57" i="23"/>
  <c r="F61" i="23"/>
  <c r="F65" i="23"/>
  <c r="F69" i="23"/>
  <c r="F6" i="23"/>
  <c r="F10" i="23"/>
  <c r="F14" i="23"/>
  <c r="F18" i="23"/>
  <c r="F22" i="23"/>
  <c r="F26" i="23"/>
  <c r="F30" i="23"/>
  <c r="F34" i="23"/>
  <c r="F38" i="23"/>
  <c r="F42" i="23"/>
  <c r="F46" i="23"/>
  <c r="F50" i="23"/>
  <c r="F54" i="23"/>
  <c r="F58" i="23"/>
  <c r="F62" i="23"/>
  <c r="F66" i="23"/>
  <c r="F70" i="23"/>
  <c r="F8" i="27"/>
  <c r="F12" i="27"/>
  <c r="F16" i="27"/>
  <c r="F20" i="27"/>
  <c r="F24" i="27"/>
  <c r="F28" i="27"/>
  <c r="F32" i="27"/>
  <c r="F36" i="27"/>
  <c r="F40" i="27"/>
  <c r="F44" i="27"/>
  <c r="F48" i="27"/>
  <c r="F52" i="27"/>
  <c r="F56" i="27"/>
  <c r="F60" i="27"/>
  <c r="F64" i="27"/>
  <c r="F68" i="27"/>
  <c r="F5" i="27"/>
  <c r="F13" i="26"/>
  <c r="F17" i="26"/>
  <c r="F29" i="26"/>
  <c r="F33" i="26"/>
  <c r="F45" i="26"/>
  <c r="F49" i="26"/>
  <c r="F61" i="26"/>
  <c r="F65" i="26"/>
  <c r="D72" i="26"/>
  <c r="F12" i="26"/>
  <c r="F20" i="26"/>
  <c r="F28" i="26"/>
  <c r="F36" i="26"/>
  <c r="F44" i="26"/>
  <c r="F52" i="26"/>
  <c r="F64" i="26"/>
  <c r="F8" i="26"/>
  <c r="F16" i="26"/>
  <c r="F24" i="26"/>
  <c r="F32" i="26"/>
  <c r="F40" i="26"/>
  <c r="F48" i="26"/>
  <c r="F56" i="26"/>
  <c r="F60" i="26"/>
  <c r="F68" i="26"/>
  <c r="B72" i="26"/>
  <c r="F5" i="26"/>
  <c r="E72" i="25"/>
  <c r="F9" i="25"/>
  <c r="F13" i="25"/>
  <c r="F25" i="25"/>
  <c r="F29" i="25"/>
  <c r="F41" i="25"/>
  <c r="F45" i="25"/>
  <c r="F57" i="25"/>
  <c r="F61" i="25"/>
  <c r="F12" i="25"/>
  <c r="F16" i="25"/>
  <c r="F20" i="25"/>
  <c r="F24" i="25"/>
  <c r="F28" i="25"/>
  <c r="F32" i="25"/>
  <c r="F36" i="25"/>
  <c r="F40" i="25"/>
  <c r="F44" i="25"/>
  <c r="F48" i="25"/>
  <c r="F52" i="25"/>
  <c r="F56" i="25"/>
  <c r="F60" i="25"/>
  <c r="F64" i="25"/>
  <c r="F68" i="25"/>
  <c r="D72" i="25"/>
  <c r="C72" i="25"/>
  <c r="F8" i="25"/>
  <c r="F5" i="25"/>
  <c r="F13" i="24"/>
  <c r="F17" i="24"/>
  <c r="F29" i="24"/>
  <c r="F33" i="24"/>
  <c r="F45" i="24"/>
  <c r="F49" i="24"/>
  <c r="F61" i="24"/>
  <c r="F65" i="24"/>
  <c r="E72" i="24"/>
  <c r="F8" i="24"/>
  <c r="F16" i="24"/>
  <c r="F24" i="24"/>
  <c r="F32" i="24"/>
  <c r="F40" i="24"/>
  <c r="F48" i="24"/>
  <c r="F56" i="24"/>
  <c r="F64" i="24"/>
  <c r="C72" i="24"/>
  <c r="F12" i="24"/>
  <c r="F20" i="24"/>
  <c r="F28" i="24"/>
  <c r="F36" i="24"/>
  <c r="F44" i="24"/>
  <c r="F52" i="24"/>
  <c r="F60" i="24"/>
  <c r="F68" i="24"/>
  <c r="B72" i="24"/>
  <c r="F72" i="2"/>
  <c r="F17" i="34" l="1"/>
  <c r="F48" i="34"/>
  <c r="F16" i="34"/>
  <c r="F60" i="34"/>
  <c r="F28" i="34"/>
  <c r="F68" i="34"/>
  <c r="F36" i="34"/>
  <c r="F59" i="34"/>
  <c r="F43" i="34"/>
  <c r="F11" i="34"/>
  <c r="F55" i="34"/>
  <c r="F23" i="34"/>
  <c r="F7" i="34"/>
  <c r="F45" i="34"/>
  <c r="F29" i="34"/>
  <c r="F13" i="34"/>
  <c r="F71" i="34"/>
  <c r="F58" i="34"/>
  <c r="F42" i="34"/>
  <c r="F26" i="34"/>
  <c r="F14" i="34"/>
  <c r="F49" i="34"/>
  <c r="F44" i="34"/>
  <c r="F27" i="34"/>
  <c r="F62" i="34"/>
  <c r="F46" i="34"/>
  <c r="F30" i="34"/>
  <c r="F65" i="34"/>
  <c r="F39" i="34"/>
  <c r="F10" i="34"/>
  <c r="F61" i="34"/>
  <c r="F67" i="34"/>
  <c r="F51" i="34"/>
  <c r="F35" i="34"/>
  <c r="F19" i="34"/>
  <c r="F70" i="34"/>
  <c r="F54" i="34"/>
  <c r="F38" i="34"/>
  <c r="F22" i="34"/>
  <c r="F41" i="34"/>
  <c r="F25" i="34"/>
  <c r="F9" i="34"/>
  <c r="C72" i="34"/>
  <c r="F8" i="34"/>
  <c r="F6" i="34"/>
  <c r="F57" i="34"/>
  <c r="E72" i="34"/>
  <c r="F63" i="34"/>
  <c r="F47" i="34"/>
  <c r="F31" i="34"/>
  <c r="D72" i="34"/>
  <c r="F66" i="34"/>
  <c r="F50" i="34"/>
  <c r="F34" i="34"/>
  <c r="F18" i="34"/>
  <c r="F69" i="34"/>
  <c r="F53" i="34"/>
  <c r="F37" i="34"/>
  <c r="F21" i="34"/>
  <c r="F56" i="34"/>
  <c r="F40" i="34"/>
  <c r="F24" i="34"/>
  <c r="F33" i="34"/>
  <c r="F72" i="23"/>
  <c r="F12" i="34"/>
  <c r="F15" i="34"/>
  <c r="F72" i="27"/>
  <c r="F72" i="26"/>
  <c r="F72" i="25"/>
  <c r="F72" i="24"/>
  <c r="B5" i="34"/>
  <c r="B72" i="34" s="1"/>
  <c r="F5" i="34" l="1"/>
  <c r="F72" i="34" s="1"/>
</calcChain>
</file>

<file path=xl/sharedStrings.xml><?xml version="1.0" encoding="utf-8"?>
<sst xmlns="http://schemas.openxmlformats.org/spreadsheetml/2006/main" count="2002" uniqueCount="124">
  <si>
    <t>COUNTY</t>
  </si>
  <si>
    <t>TOTALS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</si>
  <si>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</si>
  <si>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</si>
  <si>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</si>
  <si>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</si>
  <si>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</si>
  <si>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</si>
  <si>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</si>
  <si>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</si>
  <si>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</si>
  <si>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</si>
  <si>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</si>
  <si>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</si>
  <si>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</si>
  <si>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</si>
  <si>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</si>
  <si>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</si>
  <si>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</si>
  <si>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</si>
  <si>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</si>
  <si>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</si>
  <si>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</si>
  <si>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</si>
  <si>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</si>
  <si>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</si>
  <si>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</si>
  <si>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</si>
  <si>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</si>
  <si>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</si>
  <si>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</si>
  <si>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</si>
  <si>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</si>
  <si>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</si>
  <si>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</si>
  <si>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</si>
  <si>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</si>
  <si>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</si>
  <si>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</si>
  <si>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</si>
  <si>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</si>
  <si>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</si>
  <si>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</si>
  <si>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</si>
  <si>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MIAMI-DADE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</si>
  <si>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</si>
  <si>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</si>
  <si>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</si>
  <si>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</si>
  <si>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</si>
  <si>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</si>
  <si>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</si>
  <si>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</si>
  <si>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</si>
  <si>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</si>
  <si>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</si>
  <si>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SANTA ROSA</t>
  </si>
  <si>
    <t>SARASOTA</t>
  </si>
  <si>
    <t>SEMINOLE</t>
  </si>
  <si>
    <t>ST. JOHNS</t>
  </si>
  <si>
    <t>ST. LUCIE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</si>
  <si>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</si>
  <si>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</si>
  <si>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</si>
  <si>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</si>
  <si>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</si>
  <si>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</si>
  <si>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</si>
  <si>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</si>
  <si>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REPUBLICAN PARTY OF FLORIDA</t>
  </si>
  <si>
    <t>FLORIDA DEMOCRATIC PARTY</t>
  </si>
  <si>
    <t>MINOR PARTY</t>
  </si>
  <si>
    <t>NO PARTY AFFILIATION</t>
  </si>
  <si>
    <t>ACTIVE REGISTERED VOTERS BY PARTY AFFILIATION BY COUNTY</t>
  </si>
  <si>
    <t>Monthly Report - Net Activity by Party Affiliation - Year-to-Date Total</t>
  </si>
  <si>
    <t>Monthly Report - Voter Registration by Party Affiliation - January</t>
  </si>
  <si>
    <t>Monthly Report - Voter Registration by Party Affiliation - February</t>
  </si>
  <si>
    <t>Monthly Report - Voter Registration by Party Affiliation - March</t>
  </si>
  <si>
    <t>Monthly Report - Voter Registration by Party Affiliation - April</t>
  </si>
  <si>
    <t>Monthly Report - Voter Registration by Party Affiliation - May</t>
  </si>
  <si>
    <t>Monthly Report - Voter Registration by Party Affiliation - June</t>
  </si>
  <si>
    <t>Monthly Report - Voter Registration by Party Affiliation - July</t>
  </si>
  <si>
    <t>Monthly Report - Voter Registration by Party Affiliation - August</t>
  </si>
  <si>
    <t>Monthly Report - Voter Registration by Party Affiliation - September</t>
  </si>
  <si>
    <t>Monthly Report - Voter Registration by Party Affiliation - October</t>
  </si>
  <si>
    <t>Monthly Report - Voter Registration by Party Affiliation - November</t>
  </si>
  <si>
    <t>Monthly Report - Voter Registration by Party Affiliation - December</t>
  </si>
  <si>
    <t>Monthly Report - Net Activity by Party Affiliation - January to February</t>
  </si>
  <si>
    <t>Monthly Report - Net Activity by Party Affiliation - Feburary to March</t>
  </si>
  <si>
    <t>Monthly Report - Net Activity by Party Affiliation - March to April</t>
  </si>
  <si>
    <t>Monthly Report - Net Activity by Party Affiliation - April to May</t>
  </si>
  <si>
    <t>Monthly Report - Net Activity by Party Affiliation - May to June</t>
  </si>
  <si>
    <t>Monthly Report - Net Activity by Party Affiliation - June to July</t>
  </si>
  <si>
    <t>Monthly Report - Net Activity by Party Affiliation - July to August</t>
  </si>
  <si>
    <t>Monthly Report - Net Activity by Party Affiliation - August to September</t>
  </si>
  <si>
    <t>Monthly Report - Net Activity by Party Affiliation - September to October</t>
  </si>
  <si>
    <t>Monthly Report - Net Activity by Party Affiliation - October to November</t>
  </si>
  <si>
    <t>Monthly Report - Net Activity by Party Affiliation - November to December</t>
  </si>
  <si>
    <t>Data as of 01/31/2018</t>
  </si>
  <si>
    <t>Data as of 02/28/2018</t>
  </si>
  <si>
    <t>Data as of 03/31/2018</t>
  </si>
  <si>
    <t>Data as of 04/30/2018</t>
  </si>
  <si>
    <t>Data as of 05/31/2018</t>
  </si>
  <si>
    <t>Data as of 06/30/2018</t>
  </si>
  <si>
    <t>Data as of 07/31/2018</t>
  </si>
  <si>
    <t>Data as of 08/31/2018</t>
  </si>
  <si>
    <t>Data as of 09/30/2018</t>
  </si>
  <si>
    <t>Data as of 10/31/2018</t>
  </si>
  <si>
    <t>Data as of 11/30/2018</t>
  </si>
  <si>
    <t>Data as of 12/31/2018</t>
  </si>
  <si>
    <t>Data comparison between 01/31/2018 - 02/28/2018</t>
  </si>
  <si>
    <t>Data comparison between 02/28/2018 - 03/31/2018</t>
  </si>
  <si>
    <t>Data comparison between 03/31/2018 - 04/30/2018</t>
  </si>
  <si>
    <t>Data comparison between 04/30/2018 - 5/31-2018</t>
  </si>
  <si>
    <t>Data comparison between 05/31/2018 - 06/30/2018</t>
  </si>
  <si>
    <t>Data comparison between 06/30/2018 - 07/31/2018</t>
  </si>
  <si>
    <t>Data comparison between 07/31/2018 - 08/31/2018</t>
  </si>
  <si>
    <t>Data comparison between 08/31/2018 - 09/30/2018</t>
  </si>
  <si>
    <t>Data comparison between 09/30/2018 - 10/31/2018</t>
  </si>
  <si>
    <t>Data comparison between 10/31/2018 - 11/30/2018</t>
  </si>
  <si>
    <t xml:space="preserve">Data comparison between 11/30/2018 - 12/31/2018 </t>
  </si>
  <si>
    <t>Data comparison between 01/31/2018 - 12/31/2018</t>
  </si>
  <si>
    <t>Data as of 12/31/2017</t>
  </si>
  <si>
    <t>Monthly Report - Voter Registration by Party Affiliation - Prior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</si>
</sst>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333333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0" borderId="13" xfId="0" applyBorder="1" applyAlignment="1">
      <alignment wrapText="1"/>
    </xf>
    <xf numFmtId="0" fontId="0" fillId="0" borderId="0" xfId="0" applyAlignment="1">
      <alignment wrapText="1"/>
    </xf>
    <xf numFmtId="0" fontId="16" fillId="0" borderId="18" xfId="0" applyFont="1" applyBorder="1" applyAlignment="1">
      <alignment wrapText="1"/>
    </xf>
    <xf numFmtId="0" fontId="16" fillId="0" borderId="20" xfId="0" applyFont="1" applyBorder="1" applyAlignment="1">
      <alignment wrapText="1"/>
    </xf>
    <xf numFmtId="0" fontId="16" fillId="0" borderId="21" xfId="0" applyFont="1" applyBorder="1" applyAlignment="1">
      <alignment wrapText="1"/>
    </xf>
    <xf numFmtId="0" fontId="16" fillId="0" borderId="22" xfId="0" applyFont="1" applyBorder="1" applyAlignment="1">
      <alignment wrapText="1"/>
    </xf>
    <xf numFmtId="3" fontId="0" fillId="0" borderId="0" xfId="0" applyNumberFormat="1"/>
    <xf numFmtId="3" fontId="16" fillId="0" borderId="19" xfId="0" applyNumberFormat="1" applyFont="1" applyBorder="1" applyAlignment="1">
      <alignment wrapText="1"/>
    </xf>
    <xf numFmtId="3" fontId="0" fillId="0" borderId="19" xfId="0" applyNumberFormat="1" applyBorder="1"/>
    <xf numFmtId="3" fontId="0" fillId="0" borderId="0" xfId="0" applyNumberFormat="1" applyAlignment="1">
      <alignment wrapText="1"/>
    </xf>
    <xf numFmtId="3" fontId="19" fillId="0" borderId="0" xfId="0" applyNumberFormat="1" applyFont="1"/>
    <xf numFmtId="3" fontId="0" fillId="0" borderId="0" xfId="0" applyNumberFormat="1" applyFont="1" applyAlignment="1">
      <alignment wrapText="1"/>
    </xf>
    <xf numFmtId="3" fontId="16" fillId="0" borderId="19" xfId="0" applyNumberFormat="1" applyFont="1" applyBorder="1"/>
    <xf numFmtId="0" fontId="18" fillId="34" borderId="10" xfId="0" applyFont="1" applyFill="1" applyBorder="1" applyAlignment="1">
      <alignment horizontal="center" wrapText="1"/>
    </xf>
    <xf numFmtId="0" fontId="18" fillId="34" borderId="11" xfId="0" applyFont="1" applyFill="1" applyBorder="1" applyAlignment="1">
      <alignment horizontal="center" wrapText="1"/>
    </xf>
    <xf numFmtId="0" fontId="18" fillId="34" borderId="12" xfId="0" applyFont="1" applyFill="1" applyBorder="1" applyAlignment="1">
      <alignment horizontal="center" wrapText="1"/>
    </xf>
    <xf numFmtId="0" fontId="0" fillId="35" borderId="13" xfId="0" applyFill="1" applyBorder="1" applyAlignment="1">
      <alignment horizontal="center" wrapText="1"/>
    </xf>
    <xf numFmtId="0" fontId="0" fillId="35" borderId="0" xfId="0" applyFill="1" applyBorder="1" applyAlignment="1">
      <alignment horizontal="center" wrapText="1"/>
    </xf>
    <xf numFmtId="0" fontId="0" fillId="35" borderId="14" xfId="0" applyFill="1" applyBorder="1" applyAlignment="1">
      <alignment horizontal="center" wrapText="1"/>
    </xf>
    <xf numFmtId="0" fontId="0" fillId="33" borderId="15" xfId="0" applyFill="1" applyBorder="1" applyAlignment="1">
      <alignment horizontal="center" wrapText="1"/>
    </xf>
    <xf numFmtId="0" fontId="0" fillId="33" borderId="16" xfId="0" applyFill="1" applyBorder="1" applyAlignment="1">
      <alignment horizontal="center" wrapText="1"/>
    </xf>
    <xf numFmtId="0" fontId="0" fillId="33" borderId="17" xfId="0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>
      <selection activeCell="C36" sqref="C36"/>
    </sheetView>
  </sheetViews>
  <sheetFormatPr defaultColWidth="9.140625"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  <col min="7" max="16384" width="9.140625" style="2"/>
  </cols>
  <sheetData>
    <row r="1" spans="1:6" ht="18.75" customHeight="1" x14ac:dyDescent="0.3">
      <c r="A1" s="14" t="s">
        <v>123</v>
      </c>
      <c r="B1" s="15"/>
      <c r="C1" s="15"/>
      <c r="D1" s="15"/>
      <c r="E1" s="15"/>
      <c r="F1" s="16"/>
    </row>
    <row r="2" spans="1:6" x14ac:dyDescent="0.25">
      <c r="A2" s="17" t="s">
        <v>122</v>
      </c>
      <c r="B2" s="18"/>
      <c r="C2" s="18"/>
      <c r="D2" s="18"/>
      <c r="E2" s="18"/>
      <c r="F2" s="19"/>
    </row>
    <row r="3" spans="1:6" x14ac:dyDescent="0.25">
      <c r="A3" s="20" t="s">
        <v>73</v>
      </c>
      <c r="B3" s="21"/>
      <c r="C3" s="21"/>
      <c r="D3" s="21"/>
      <c r="E3" s="21"/>
      <c r="F3" s="22"/>
    </row>
    <row r="4" spans="1:6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7">
        <v>48875</v>
      </c>
      <c r="C5" s="7">
        <v>82204</v>
      </c>
      <c r="D5" s="7">
        <v>1198</v>
      </c>
      <c r="E5" s="7">
        <v>40387</v>
      </c>
      <c r="F5" s="7">
        <f>SUM(B5:E5)</f>
        <v>172664</v>
      </c>
    </row>
    <row r="6" spans="1:6" x14ac:dyDescent="0.25">
      <c r="A6" s="1" t="s">
        <v>3</v>
      </c>
      <c r="B6" s="7">
        <v>7913</v>
      </c>
      <c r="C6" s="7">
        <v>5725</v>
      </c>
      <c r="D6" s="7">
        <v>50</v>
      </c>
      <c r="E6" s="7">
        <v>1613</v>
      </c>
      <c r="F6" s="7">
        <f t="shared" ref="F6:F69" si="0">SUM(B6:E6)</f>
        <v>15301</v>
      </c>
    </row>
    <row r="7" spans="1:6" x14ac:dyDescent="0.25">
      <c r="A7" s="1" t="s">
        <v>4</v>
      </c>
      <c r="B7" s="7">
        <v>60493</v>
      </c>
      <c r="C7" s="7">
        <v>30458</v>
      </c>
      <c r="D7" s="7">
        <v>804</v>
      </c>
      <c r="E7" s="7">
        <v>24756</v>
      </c>
      <c r="F7" s="7">
        <f t="shared" si="0"/>
        <v>116511</v>
      </c>
    </row>
    <row r="8" spans="1:6" x14ac:dyDescent="0.25">
      <c r="A8" s="1" t="s">
        <v>5</v>
      </c>
      <c r="B8" s="7">
        <v>7446</v>
      </c>
      <c r="C8" s="7">
        <v>6185</v>
      </c>
      <c r="D8" s="7">
        <v>68</v>
      </c>
      <c r="E8" s="7">
        <v>2381</v>
      </c>
      <c r="F8" s="7">
        <f t="shared" si="0"/>
        <v>16080</v>
      </c>
    </row>
    <row r="9" spans="1:6" x14ac:dyDescent="0.25">
      <c r="A9" s="1" t="s">
        <v>6</v>
      </c>
      <c r="B9" s="7">
        <v>171942</v>
      </c>
      <c r="C9" s="7">
        <v>126602</v>
      </c>
      <c r="D9" s="7">
        <v>3000</v>
      </c>
      <c r="E9" s="7">
        <v>106557</v>
      </c>
      <c r="F9" s="7">
        <f t="shared" si="0"/>
        <v>408101</v>
      </c>
    </row>
    <row r="10" spans="1:6" x14ac:dyDescent="0.25">
      <c r="A10" s="1" t="s">
        <v>7</v>
      </c>
      <c r="B10" s="7">
        <v>253589</v>
      </c>
      <c r="C10" s="7">
        <v>593644</v>
      </c>
      <c r="D10" s="7">
        <v>4399</v>
      </c>
      <c r="E10" s="7">
        <v>330135</v>
      </c>
      <c r="F10" s="7">
        <f t="shared" si="0"/>
        <v>1181767</v>
      </c>
    </row>
    <row r="11" spans="1:6" x14ac:dyDescent="0.25">
      <c r="A11" s="1" t="s">
        <v>8</v>
      </c>
      <c r="B11" s="7">
        <v>2393</v>
      </c>
      <c r="C11" s="7">
        <v>5256</v>
      </c>
      <c r="D11" s="7">
        <v>25</v>
      </c>
      <c r="E11" s="7">
        <v>948</v>
      </c>
      <c r="F11" s="7">
        <f t="shared" si="0"/>
        <v>8622</v>
      </c>
    </row>
    <row r="12" spans="1:6" x14ac:dyDescent="0.25">
      <c r="A12" s="1" t="s">
        <v>9</v>
      </c>
      <c r="B12" s="7">
        <v>57904</v>
      </c>
      <c r="C12" s="7">
        <v>35773</v>
      </c>
      <c r="D12" s="7">
        <v>729</v>
      </c>
      <c r="E12" s="7">
        <v>34763</v>
      </c>
      <c r="F12" s="7">
        <f t="shared" si="0"/>
        <v>129169</v>
      </c>
    </row>
    <row r="13" spans="1:6" x14ac:dyDescent="0.25">
      <c r="A13" s="1" t="s">
        <v>10</v>
      </c>
      <c r="B13" s="7">
        <v>49336</v>
      </c>
      <c r="C13" s="7">
        <v>29187</v>
      </c>
      <c r="D13" s="7">
        <v>592</v>
      </c>
      <c r="E13" s="7">
        <v>25854</v>
      </c>
      <c r="F13" s="7">
        <f t="shared" si="0"/>
        <v>104969</v>
      </c>
    </row>
    <row r="14" spans="1:6" x14ac:dyDescent="0.25">
      <c r="A14" s="1" t="s">
        <v>11</v>
      </c>
      <c r="B14" s="7">
        <v>80561</v>
      </c>
      <c r="C14" s="7">
        <v>32691</v>
      </c>
      <c r="D14" s="7">
        <v>881</v>
      </c>
      <c r="E14" s="7">
        <v>35107</v>
      </c>
      <c r="F14" s="7">
        <f t="shared" si="0"/>
        <v>149240</v>
      </c>
    </row>
    <row r="15" spans="1:6" x14ac:dyDescent="0.25">
      <c r="A15" s="1" t="s">
        <v>12</v>
      </c>
      <c r="B15" s="7">
        <v>102913</v>
      </c>
      <c r="C15" s="7">
        <v>46848</v>
      </c>
      <c r="D15" s="7">
        <v>789</v>
      </c>
      <c r="E15" s="7">
        <v>50133</v>
      </c>
      <c r="F15" s="7">
        <f t="shared" si="0"/>
        <v>200683</v>
      </c>
    </row>
    <row r="16" spans="1:6" x14ac:dyDescent="0.25">
      <c r="A16" s="1" t="s">
        <v>13</v>
      </c>
      <c r="B16" s="7">
        <v>17311</v>
      </c>
      <c r="C16" s="7">
        <v>14412</v>
      </c>
      <c r="D16" s="7">
        <v>214</v>
      </c>
      <c r="E16" s="7">
        <v>6908</v>
      </c>
      <c r="F16" s="7">
        <f t="shared" si="0"/>
        <v>38845</v>
      </c>
    </row>
    <row r="17" spans="1:6" x14ac:dyDescent="0.25">
      <c r="A17" s="1" t="s">
        <v>14</v>
      </c>
      <c r="B17" s="7">
        <v>5334</v>
      </c>
      <c r="C17" s="7">
        <v>7368</v>
      </c>
      <c r="D17" s="7">
        <v>41</v>
      </c>
      <c r="E17" s="7">
        <v>3614</v>
      </c>
      <c r="F17" s="7">
        <f t="shared" si="0"/>
        <v>16357</v>
      </c>
    </row>
    <row r="18" spans="1:6" x14ac:dyDescent="0.25">
      <c r="A18" s="1" t="s">
        <v>15</v>
      </c>
      <c r="B18" s="7">
        <v>3768</v>
      </c>
      <c r="C18" s="7">
        <v>4582</v>
      </c>
      <c r="D18" s="7">
        <v>27</v>
      </c>
      <c r="E18" s="7">
        <v>1547</v>
      </c>
      <c r="F18" s="7">
        <f t="shared" si="0"/>
        <v>9924</v>
      </c>
    </row>
    <row r="19" spans="1:6" x14ac:dyDescent="0.25">
      <c r="A19" s="1" t="s">
        <v>16</v>
      </c>
      <c r="B19" s="7">
        <v>216363</v>
      </c>
      <c r="C19" s="7">
        <v>235861</v>
      </c>
      <c r="D19" s="7">
        <v>3604</v>
      </c>
      <c r="E19" s="7">
        <v>124189</v>
      </c>
      <c r="F19" s="7">
        <f t="shared" si="0"/>
        <v>580017</v>
      </c>
    </row>
    <row r="20" spans="1:6" x14ac:dyDescent="0.25">
      <c r="A20" s="1" t="s">
        <v>17</v>
      </c>
      <c r="B20" s="7">
        <v>92359</v>
      </c>
      <c r="C20" s="7">
        <v>70067</v>
      </c>
      <c r="D20" s="7">
        <v>1217</v>
      </c>
      <c r="E20" s="7">
        <v>41471</v>
      </c>
      <c r="F20" s="7">
        <f t="shared" si="0"/>
        <v>205114</v>
      </c>
    </row>
    <row r="21" spans="1:6" x14ac:dyDescent="0.25">
      <c r="A21" s="1" t="s">
        <v>18</v>
      </c>
      <c r="B21" s="7">
        <v>32055</v>
      </c>
      <c r="C21" s="7">
        <v>24594</v>
      </c>
      <c r="D21" s="7">
        <v>355</v>
      </c>
      <c r="E21" s="7">
        <v>22006</v>
      </c>
      <c r="F21" s="7">
        <f t="shared" si="0"/>
        <v>79010</v>
      </c>
    </row>
    <row r="22" spans="1:6" x14ac:dyDescent="0.25">
      <c r="A22" s="1" t="s">
        <v>19</v>
      </c>
      <c r="B22" s="7">
        <v>2444</v>
      </c>
      <c r="C22" s="7">
        <v>4136</v>
      </c>
      <c r="D22" s="7">
        <v>77</v>
      </c>
      <c r="E22" s="7">
        <v>983</v>
      </c>
      <c r="F22" s="7">
        <f t="shared" si="0"/>
        <v>7640</v>
      </c>
    </row>
    <row r="23" spans="1:6" x14ac:dyDescent="0.25">
      <c r="A23" s="1" t="s">
        <v>20</v>
      </c>
      <c r="B23" s="7">
        <v>4595</v>
      </c>
      <c r="C23" s="7">
        <v>22256</v>
      </c>
      <c r="D23" s="7">
        <v>62</v>
      </c>
      <c r="E23" s="7">
        <v>2704</v>
      </c>
      <c r="F23" s="7">
        <f t="shared" si="0"/>
        <v>29617</v>
      </c>
    </row>
    <row r="24" spans="1:6" x14ac:dyDescent="0.25">
      <c r="A24" s="1" t="s">
        <v>21</v>
      </c>
      <c r="B24" s="7">
        <v>6222</v>
      </c>
      <c r="C24" s="7">
        <v>3415</v>
      </c>
      <c r="D24" s="7">
        <v>53</v>
      </c>
      <c r="E24" s="7">
        <v>1715</v>
      </c>
      <c r="F24" s="7">
        <f t="shared" si="0"/>
        <v>11405</v>
      </c>
    </row>
    <row r="25" spans="1:6" x14ac:dyDescent="0.25">
      <c r="A25" s="1" t="s">
        <v>22</v>
      </c>
      <c r="B25" s="7">
        <v>2519</v>
      </c>
      <c r="C25" s="7">
        <v>2939</v>
      </c>
      <c r="D25" s="7">
        <v>23</v>
      </c>
      <c r="E25" s="7">
        <v>1203</v>
      </c>
      <c r="F25" s="7">
        <f t="shared" si="0"/>
        <v>6684</v>
      </c>
    </row>
    <row r="26" spans="1:6" x14ac:dyDescent="0.25">
      <c r="A26" s="1" t="s">
        <v>23</v>
      </c>
      <c r="B26" s="7">
        <v>4643</v>
      </c>
      <c r="C26" s="7">
        <v>4001</v>
      </c>
      <c r="D26" s="7">
        <v>58</v>
      </c>
      <c r="E26" s="7">
        <v>1157</v>
      </c>
      <c r="F26" s="7">
        <f t="shared" si="0"/>
        <v>9859</v>
      </c>
    </row>
    <row r="27" spans="1:6" x14ac:dyDescent="0.25">
      <c r="A27" s="1" t="s">
        <v>24</v>
      </c>
      <c r="B27" s="7">
        <v>2291</v>
      </c>
      <c r="C27" s="7">
        <v>4367</v>
      </c>
      <c r="D27" s="7">
        <v>22</v>
      </c>
      <c r="E27" s="7">
        <v>923</v>
      </c>
      <c r="F27" s="7">
        <f t="shared" si="0"/>
        <v>7603</v>
      </c>
    </row>
    <row r="28" spans="1:6" x14ac:dyDescent="0.25">
      <c r="A28" s="1" t="s">
        <v>25</v>
      </c>
      <c r="B28" s="7">
        <v>5114</v>
      </c>
      <c r="C28" s="7">
        <v>4631</v>
      </c>
      <c r="D28" s="7">
        <v>127</v>
      </c>
      <c r="E28" s="7">
        <v>2085</v>
      </c>
      <c r="F28" s="7">
        <f t="shared" si="0"/>
        <v>11957</v>
      </c>
    </row>
    <row r="29" spans="1:6" x14ac:dyDescent="0.25">
      <c r="A29" s="1" t="s">
        <v>26</v>
      </c>
      <c r="B29" s="7">
        <v>6138</v>
      </c>
      <c r="C29" s="7">
        <v>7877</v>
      </c>
      <c r="D29" s="7">
        <v>56</v>
      </c>
      <c r="E29" s="7">
        <v>3195</v>
      </c>
      <c r="F29" s="7">
        <f t="shared" si="0"/>
        <v>17266</v>
      </c>
    </row>
    <row r="30" spans="1:6" x14ac:dyDescent="0.25">
      <c r="A30" s="1" t="s">
        <v>27</v>
      </c>
      <c r="B30" s="7">
        <v>53510</v>
      </c>
      <c r="C30" s="7">
        <v>42052</v>
      </c>
      <c r="D30" s="7">
        <v>804</v>
      </c>
      <c r="E30" s="7">
        <v>34505</v>
      </c>
      <c r="F30" s="7">
        <f t="shared" si="0"/>
        <v>130871</v>
      </c>
    </row>
    <row r="31" spans="1:6" x14ac:dyDescent="0.25">
      <c r="A31" s="1" t="s">
        <v>28</v>
      </c>
      <c r="B31" s="7">
        <v>26856</v>
      </c>
      <c r="C31" s="7">
        <v>18347</v>
      </c>
      <c r="D31" s="7">
        <v>188</v>
      </c>
      <c r="E31" s="7">
        <v>13315</v>
      </c>
      <c r="F31" s="7">
        <f t="shared" si="0"/>
        <v>58706</v>
      </c>
    </row>
    <row r="32" spans="1:6" x14ac:dyDescent="0.25">
      <c r="A32" s="1" t="s">
        <v>29</v>
      </c>
      <c r="B32" s="7">
        <v>261478</v>
      </c>
      <c r="C32" s="7">
        <v>320782</v>
      </c>
      <c r="D32" s="7">
        <v>4770</v>
      </c>
      <c r="E32" s="7">
        <v>235753</v>
      </c>
      <c r="F32" s="7">
        <f t="shared" si="0"/>
        <v>822783</v>
      </c>
    </row>
    <row r="33" spans="1:6" x14ac:dyDescent="0.25">
      <c r="A33" s="1" t="s">
        <v>30</v>
      </c>
      <c r="B33" s="7">
        <v>5912</v>
      </c>
      <c r="C33" s="7">
        <v>3416</v>
      </c>
      <c r="D33" s="7">
        <v>21</v>
      </c>
      <c r="E33" s="7">
        <v>1125</v>
      </c>
      <c r="F33" s="7">
        <f t="shared" si="0"/>
        <v>10474</v>
      </c>
    </row>
    <row r="34" spans="1:6" x14ac:dyDescent="0.25">
      <c r="A34" s="1" t="s">
        <v>31</v>
      </c>
      <c r="B34" s="7">
        <v>50549</v>
      </c>
      <c r="C34" s="7">
        <v>29462</v>
      </c>
      <c r="D34" s="7">
        <v>581</v>
      </c>
      <c r="E34" s="7">
        <v>28637</v>
      </c>
      <c r="F34" s="7">
        <f t="shared" si="0"/>
        <v>109229</v>
      </c>
    </row>
    <row r="35" spans="1:6" x14ac:dyDescent="0.25">
      <c r="A35" s="1" t="s">
        <v>32</v>
      </c>
      <c r="B35" s="7">
        <v>9785</v>
      </c>
      <c r="C35" s="7">
        <v>14604</v>
      </c>
      <c r="D35" s="7">
        <v>64</v>
      </c>
      <c r="E35" s="7">
        <v>2799</v>
      </c>
      <c r="F35" s="7">
        <f t="shared" si="0"/>
        <v>27252</v>
      </c>
    </row>
    <row r="36" spans="1:6" x14ac:dyDescent="0.25">
      <c r="A36" s="1" t="s">
        <v>33</v>
      </c>
      <c r="B36" s="7">
        <v>2829</v>
      </c>
      <c r="C36" s="7">
        <v>5609</v>
      </c>
      <c r="D36" s="7">
        <v>24</v>
      </c>
      <c r="E36" s="7">
        <v>1066</v>
      </c>
      <c r="F36" s="7">
        <f t="shared" si="0"/>
        <v>9528</v>
      </c>
    </row>
    <row r="37" spans="1:6" x14ac:dyDescent="0.25">
      <c r="A37" s="1" t="s">
        <v>34</v>
      </c>
      <c r="B37" s="7">
        <v>1537</v>
      </c>
      <c r="C37" s="7">
        <v>2450</v>
      </c>
      <c r="D37" s="7">
        <v>11</v>
      </c>
      <c r="E37" s="7">
        <v>299</v>
      </c>
      <c r="F37" s="7">
        <f t="shared" si="0"/>
        <v>4297</v>
      </c>
    </row>
    <row r="38" spans="1:6" x14ac:dyDescent="0.25">
      <c r="A38" s="1" t="s">
        <v>35</v>
      </c>
      <c r="B38" s="7">
        <v>98758</v>
      </c>
      <c r="C38" s="7">
        <v>68870</v>
      </c>
      <c r="D38" s="7">
        <v>900</v>
      </c>
      <c r="E38" s="7">
        <v>55768</v>
      </c>
      <c r="F38" s="7">
        <f t="shared" si="0"/>
        <v>224296</v>
      </c>
    </row>
    <row r="39" spans="1:6" x14ac:dyDescent="0.25">
      <c r="A39" s="1" t="s">
        <v>36</v>
      </c>
      <c r="B39" s="7">
        <v>187464</v>
      </c>
      <c r="C39" s="7">
        <v>117222</v>
      </c>
      <c r="D39" s="7">
        <v>1808</v>
      </c>
      <c r="E39" s="7">
        <v>127016</v>
      </c>
      <c r="F39" s="7">
        <f t="shared" si="0"/>
        <v>433510</v>
      </c>
    </row>
    <row r="40" spans="1:6" x14ac:dyDescent="0.25">
      <c r="A40" s="1" t="s">
        <v>37</v>
      </c>
      <c r="B40" s="7">
        <v>57139</v>
      </c>
      <c r="C40" s="7">
        <v>108104</v>
      </c>
      <c r="D40" s="7">
        <v>1124</v>
      </c>
      <c r="E40" s="7">
        <v>39638</v>
      </c>
      <c r="F40" s="7">
        <f t="shared" si="0"/>
        <v>206005</v>
      </c>
    </row>
    <row r="41" spans="1:6" x14ac:dyDescent="0.25">
      <c r="A41" s="1" t="s">
        <v>38</v>
      </c>
      <c r="B41" s="7">
        <v>12550</v>
      </c>
      <c r="C41" s="7">
        <v>9221</v>
      </c>
      <c r="D41" s="7">
        <v>403</v>
      </c>
      <c r="E41" s="7">
        <v>4852</v>
      </c>
      <c r="F41" s="7">
        <f t="shared" si="0"/>
        <v>27026</v>
      </c>
    </row>
    <row r="42" spans="1:6" x14ac:dyDescent="0.25">
      <c r="A42" s="1" t="s">
        <v>39</v>
      </c>
      <c r="B42" s="7">
        <v>755</v>
      </c>
      <c r="C42" s="7">
        <v>3205</v>
      </c>
      <c r="D42" s="7">
        <v>5</v>
      </c>
      <c r="E42" s="7">
        <v>351</v>
      </c>
      <c r="F42" s="7">
        <f t="shared" si="0"/>
        <v>4316</v>
      </c>
    </row>
    <row r="43" spans="1:6" x14ac:dyDescent="0.25">
      <c r="A43" s="1" t="s">
        <v>40</v>
      </c>
      <c r="B43" s="7">
        <v>3339</v>
      </c>
      <c r="C43" s="7">
        <v>7040</v>
      </c>
      <c r="D43" s="7">
        <v>31</v>
      </c>
      <c r="E43" s="7">
        <v>1266</v>
      </c>
      <c r="F43" s="7">
        <f t="shared" si="0"/>
        <v>11676</v>
      </c>
    </row>
    <row r="44" spans="1:6" x14ac:dyDescent="0.25">
      <c r="A44" s="1" t="s">
        <v>41</v>
      </c>
      <c r="B44" s="7">
        <v>101471</v>
      </c>
      <c r="C44" s="7">
        <v>71359</v>
      </c>
      <c r="D44" s="7">
        <v>1133</v>
      </c>
      <c r="E44" s="7">
        <v>60012</v>
      </c>
      <c r="F44" s="7">
        <f t="shared" si="0"/>
        <v>233975</v>
      </c>
    </row>
    <row r="45" spans="1:6" x14ac:dyDescent="0.25">
      <c r="A45" s="1" t="s">
        <v>42</v>
      </c>
      <c r="B45" s="7">
        <v>103211</v>
      </c>
      <c r="C45" s="7">
        <v>77388</v>
      </c>
      <c r="D45" s="7">
        <v>1106</v>
      </c>
      <c r="E45" s="7">
        <v>51609</v>
      </c>
      <c r="F45" s="7">
        <f t="shared" si="0"/>
        <v>233314</v>
      </c>
    </row>
    <row r="46" spans="1:6" x14ac:dyDescent="0.25">
      <c r="A46" s="1" t="s">
        <v>43</v>
      </c>
      <c r="B46" s="7">
        <v>55499</v>
      </c>
      <c r="C46" s="7">
        <v>27883</v>
      </c>
      <c r="D46" s="7">
        <v>598</v>
      </c>
      <c r="E46" s="7">
        <v>27356</v>
      </c>
      <c r="F46" s="7">
        <f t="shared" si="0"/>
        <v>111336</v>
      </c>
    </row>
    <row r="47" spans="1:6" x14ac:dyDescent="0.25">
      <c r="A47" s="1" t="s">
        <v>44</v>
      </c>
      <c r="B47" s="7">
        <v>367244</v>
      </c>
      <c r="C47" s="7">
        <v>579011</v>
      </c>
      <c r="D47" s="7">
        <v>4112</v>
      </c>
      <c r="E47" s="7">
        <v>426322</v>
      </c>
      <c r="F47" s="7">
        <f t="shared" si="0"/>
        <v>1376689</v>
      </c>
    </row>
    <row r="48" spans="1:6" x14ac:dyDescent="0.25">
      <c r="A48" s="1" t="s">
        <v>45</v>
      </c>
      <c r="B48" s="7">
        <v>21540</v>
      </c>
      <c r="C48" s="7">
        <v>17809</v>
      </c>
      <c r="D48" s="7">
        <v>454</v>
      </c>
      <c r="E48" s="7">
        <v>15657</v>
      </c>
      <c r="F48" s="7">
        <f t="shared" si="0"/>
        <v>55460</v>
      </c>
    </row>
    <row r="49" spans="1:6" x14ac:dyDescent="0.25">
      <c r="A49" s="1" t="s">
        <v>46</v>
      </c>
      <c r="B49" s="7">
        <v>37142</v>
      </c>
      <c r="C49" s="7">
        <v>14223</v>
      </c>
      <c r="D49" s="7">
        <v>431</v>
      </c>
      <c r="E49" s="7">
        <v>12877</v>
      </c>
      <c r="F49" s="7">
        <f t="shared" si="0"/>
        <v>64673</v>
      </c>
    </row>
    <row r="50" spans="1:6" x14ac:dyDescent="0.25">
      <c r="A50" s="1" t="s">
        <v>47</v>
      </c>
      <c r="B50" s="7">
        <v>75469</v>
      </c>
      <c r="C50" s="7">
        <v>24357</v>
      </c>
      <c r="D50" s="7">
        <v>1012</v>
      </c>
      <c r="E50" s="7">
        <v>28670</v>
      </c>
      <c r="F50" s="7">
        <f t="shared" si="0"/>
        <v>129508</v>
      </c>
    </row>
    <row r="51" spans="1:6" x14ac:dyDescent="0.25">
      <c r="A51" s="1" t="s">
        <v>48</v>
      </c>
      <c r="B51" s="7">
        <v>8578</v>
      </c>
      <c r="C51" s="7">
        <v>7355</v>
      </c>
      <c r="D51" s="7">
        <v>100</v>
      </c>
      <c r="E51" s="7">
        <v>3861</v>
      </c>
      <c r="F51" s="7">
        <f t="shared" si="0"/>
        <v>19894</v>
      </c>
    </row>
    <row r="52" spans="1:6" x14ac:dyDescent="0.25">
      <c r="A52" s="1" t="s">
        <v>49</v>
      </c>
      <c r="B52" s="7">
        <v>216162</v>
      </c>
      <c r="C52" s="7">
        <v>339148</v>
      </c>
      <c r="D52" s="7">
        <v>4193</v>
      </c>
      <c r="E52" s="7">
        <v>244647</v>
      </c>
      <c r="F52" s="7">
        <f t="shared" si="0"/>
        <v>804150</v>
      </c>
    </row>
    <row r="53" spans="1:6" x14ac:dyDescent="0.25">
      <c r="A53" s="1" t="s">
        <v>50</v>
      </c>
      <c r="B53" s="7">
        <v>47134</v>
      </c>
      <c r="C53" s="7">
        <v>86846</v>
      </c>
      <c r="D53" s="7">
        <v>663</v>
      </c>
      <c r="E53" s="7">
        <v>68294</v>
      </c>
      <c r="F53" s="7">
        <f t="shared" si="0"/>
        <v>202937</v>
      </c>
    </row>
    <row r="54" spans="1:6" x14ac:dyDescent="0.25">
      <c r="A54" s="1" t="s">
        <v>51</v>
      </c>
      <c r="B54" s="7">
        <v>258811</v>
      </c>
      <c r="C54" s="7">
        <v>385073</v>
      </c>
      <c r="D54" s="7">
        <v>4732</v>
      </c>
      <c r="E54" s="7">
        <v>264737</v>
      </c>
      <c r="F54" s="7">
        <f t="shared" si="0"/>
        <v>913353</v>
      </c>
    </row>
    <row r="55" spans="1:6" x14ac:dyDescent="0.25">
      <c r="A55" s="1" t="s">
        <v>52</v>
      </c>
      <c r="B55" s="7">
        <v>131344</v>
      </c>
      <c r="C55" s="7">
        <v>106052</v>
      </c>
      <c r="D55" s="7">
        <v>2044</v>
      </c>
      <c r="E55" s="7">
        <v>98384</v>
      </c>
      <c r="F55" s="7">
        <f t="shared" si="0"/>
        <v>337824</v>
      </c>
    </row>
    <row r="56" spans="1:6" x14ac:dyDescent="0.25">
      <c r="A56" s="1" t="s">
        <v>53</v>
      </c>
      <c r="B56" s="7">
        <v>228112</v>
      </c>
      <c r="C56" s="7">
        <v>226752</v>
      </c>
      <c r="D56" s="7">
        <v>4247</v>
      </c>
      <c r="E56" s="7">
        <v>181497</v>
      </c>
      <c r="F56" s="7">
        <f t="shared" si="0"/>
        <v>640608</v>
      </c>
    </row>
    <row r="57" spans="1:6" x14ac:dyDescent="0.25">
      <c r="A57" s="1" t="s">
        <v>54</v>
      </c>
      <c r="B57" s="7">
        <v>144167</v>
      </c>
      <c r="C57" s="7">
        <v>143952</v>
      </c>
      <c r="D57" s="7">
        <v>2008</v>
      </c>
      <c r="E57" s="7">
        <v>112503</v>
      </c>
      <c r="F57" s="7">
        <f t="shared" si="0"/>
        <v>402630</v>
      </c>
    </row>
    <row r="58" spans="1:6" x14ac:dyDescent="0.25">
      <c r="A58" s="1" t="s">
        <v>55</v>
      </c>
      <c r="B58" s="7">
        <v>18009</v>
      </c>
      <c r="C58" s="7">
        <v>19135</v>
      </c>
      <c r="D58" s="7">
        <v>188</v>
      </c>
      <c r="E58" s="7">
        <v>8810</v>
      </c>
      <c r="F58" s="7">
        <f t="shared" si="0"/>
        <v>46142</v>
      </c>
    </row>
    <row r="59" spans="1:6" x14ac:dyDescent="0.25">
      <c r="A59" s="1" t="s">
        <v>56</v>
      </c>
      <c r="B59" s="7">
        <v>74732</v>
      </c>
      <c r="C59" s="7">
        <v>24869</v>
      </c>
      <c r="D59" s="7">
        <v>970</v>
      </c>
      <c r="E59" s="7">
        <v>26766</v>
      </c>
      <c r="F59" s="7">
        <f t="shared" si="0"/>
        <v>127337</v>
      </c>
    </row>
    <row r="60" spans="1:6" x14ac:dyDescent="0.25">
      <c r="A60" s="1" t="s">
        <v>57</v>
      </c>
      <c r="B60" s="7">
        <v>130795</v>
      </c>
      <c r="C60" s="7">
        <v>92899</v>
      </c>
      <c r="D60" s="7">
        <v>1682</v>
      </c>
      <c r="E60" s="7">
        <v>80617</v>
      </c>
      <c r="F60" s="7">
        <f t="shared" si="0"/>
        <v>305993</v>
      </c>
    </row>
    <row r="61" spans="1:6" x14ac:dyDescent="0.25">
      <c r="A61" s="1" t="s">
        <v>58</v>
      </c>
      <c r="B61" s="7">
        <v>108449</v>
      </c>
      <c r="C61" s="7">
        <v>96498</v>
      </c>
      <c r="D61" s="7">
        <v>1627</v>
      </c>
      <c r="E61" s="7">
        <v>80694</v>
      </c>
      <c r="F61" s="7">
        <f t="shared" si="0"/>
        <v>287268</v>
      </c>
    </row>
    <row r="62" spans="1:6" x14ac:dyDescent="0.25">
      <c r="A62" s="1" t="s">
        <v>59</v>
      </c>
      <c r="B62" s="7">
        <v>94312</v>
      </c>
      <c r="C62" s="7">
        <v>41593</v>
      </c>
      <c r="D62" s="7">
        <v>1234</v>
      </c>
      <c r="E62" s="7">
        <v>41041</v>
      </c>
      <c r="F62" s="7">
        <f t="shared" si="0"/>
        <v>178180</v>
      </c>
    </row>
    <row r="63" spans="1:6" x14ac:dyDescent="0.25">
      <c r="A63" s="1" t="s">
        <v>60</v>
      </c>
      <c r="B63" s="7">
        <v>62809</v>
      </c>
      <c r="C63" s="7">
        <v>77612</v>
      </c>
      <c r="D63" s="7">
        <v>795</v>
      </c>
      <c r="E63" s="7">
        <v>53580</v>
      </c>
      <c r="F63" s="7">
        <f t="shared" si="0"/>
        <v>194796</v>
      </c>
    </row>
    <row r="64" spans="1:6" x14ac:dyDescent="0.25">
      <c r="A64" s="1" t="s">
        <v>61</v>
      </c>
      <c r="B64" s="7">
        <v>49714</v>
      </c>
      <c r="C64" s="7">
        <v>22981</v>
      </c>
      <c r="D64" s="7">
        <v>307</v>
      </c>
      <c r="E64" s="7">
        <v>19285</v>
      </c>
      <c r="F64" s="7">
        <f t="shared" si="0"/>
        <v>92287</v>
      </c>
    </row>
    <row r="65" spans="1:6" x14ac:dyDescent="0.25">
      <c r="A65" s="1" t="s">
        <v>62</v>
      </c>
      <c r="B65" s="7">
        <v>11270</v>
      </c>
      <c r="C65" s="7">
        <v>10014</v>
      </c>
      <c r="D65" s="7">
        <v>139</v>
      </c>
      <c r="E65" s="7">
        <v>3820</v>
      </c>
      <c r="F65" s="7">
        <f t="shared" si="0"/>
        <v>25243</v>
      </c>
    </row>
    <row r="66" spans="1:6" x14ac:dyDescent="0.25">
      <c r="A66" s="1" t="s">
        <v>63</v>
      </c>
      <c r="B66" s="7">
        <v>4389</v>
      </c>
      <c r="C66" s="7">
        <v>6607</v>
      </c>
      <c r="D66" s="7">
        <v>72</v>
      </c>
      <c r="E66" s="7">
        <v>1167</v>
      </c>
      <c r="F66" s="7">
        <f t="shared" si="0"/>
        <v>12235</v>
      </c>
    </row>
    <row r="67" spans="1:6" x14ac:dyDescent="0.25">
      <c r="A67" s="1" t="s">
        <v>64</v>
      </c>
      <c r="B67" s="7">
        <v>3059</v>
      </c>
      <c r="C67" s="7">
        <v>3395</v>
      </c>
      <c r="D67" s="7">
        <v>20</v>
      </c>
      <c r="E67" s="7">
        <v>753</v>
      </c>
      <c r="F67" s="7">
        <f t="shared" si="0"/>
        <v>7227</v>
      </c>
    </row>
    <row r="68" spans="1:6" x14ac:dyDescent="0.25">
      <c r="A68" s="1" t="s">
        <v>65</v>
      </c>
      <c r="B68" s="7">
        <v>130086</v>
      </c>
      <c r="C68" s="7">
        <v>126085</v>
      </c>
      <c r="D68" s="7">
        <v>2011</v>
      </c>
      <c r="E68" s="7">
        <v>108172</v>
      </c>
      <c r="F68" s="7">
        <f t="shared" si="0"/>
        <v>366354</v>
      </c>
    </row>
    <row r="69" spans="1:6" x14ac:dyDescent="0.25">
      <c r="A69" s="1" t="s">
        <v>66</v>
      </c>
      <c r="B69" s="7">
        <v>8028</v>
      </c>
      <c r="C69" s="7">
        <v>8504</v>
      </c>
      <c r="D69" s="7">
        <v>89</v>
      </c>
      <c r="E69" s="7">
        <v>3380</v>
      </c>
      <c r="F69" s="7">
        <f t="shared" si="0"/>
        <v>20001</v>
      </c>
    </row>
    <row r="70" spans="1:6" x14ac:dyDescent="0.25">
      <c r="A70" s="1" t="s">
        <v>67</v>
      </c>
      <c r="B70" s="7">
        <v>28281</v>
      </c>
      <c r="C70" s="7">
        <v>9609</v>
      </c>
      <c r="D70" s="7">
        <v>295</v>
      </c>
      <c r="E70" s="7">
        <v>9609</v>
      </c>
      <c r="F70" s="7">
        <f t="shared" ref="F70:F71" si="1">SUM(B70:E70)</f>
        <v>47794</v>
      </c>
    </row>
    <row r="71" spans="1:6" ht="15.75" thickBot="1" x14ac:dyDescent="0.3">
      <c r="A71" s="1" t="s">
        <v>68</v>
      </c>
      <c r="B71" s="7">
        <v>7909</v>
      </c>
      <c r="C71" s="7">
        <v>5478</v>
      </c>
      <c r="D71" s="7">
        <v>59</v>
      </c>
      <c r="E71" s="7">
        <v>2161</v>
      </c>
      <c r="F71" s="7">
        <f t="shared" si="1"/>
        <v>15607</v>
      </c>
    </row>
    <row r="72" spans="1:6" ht="16.5" thickTop="1" thickBot="1" x14ac:dyDescent="0.3">
      <c r="A72" s="3" t="s">
        <v>1</v>
      </c>
      <c r="B72" s="13">
        <f>SUM(B5:B71)</f>
        <v>4544708</v>
      </c>
      <c r="C72" s="13">
        <f>SUM(C5:C71)</f>
        <v>4807950</v>
      </c>
      <c r="D72" s="13">
        <f>SUM(D5:D71)</f>
        <v>65526</v>
      </c>
      <c r="E72" s="13">
        <f>SUM(E5:E71)</f>
        <v>3449005</v>
      </c>
      <c r="F72" s="13">
        <f>SUM(F5:F71)</f>
        <v>12867189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opLeftCell="A33" workbookViewId="0">
      <selection activeCell="D26" sqref="D26"/>
    </sheetView>
  </sheetViews>
  <sheetFormatPr defaultColWidth="20"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x14ac:dyDescent="0.3">
      <c r="A1" s="14" t="s">
        <v>75</v>
      </c>
      <c r="B1" s="15"/>
      <c r="C1" s="15"/>
      <c r="D1" s="15"/>
      <c r="E1" s="15"/>
      <c r="F1" s="16"/>
    </row>
    <row r="2" spans="1:6" ht="15" customHeight="1" x14ac:dyDescent="0.25">
      <c r="A2" s="17" t="s">
        <v>98</v>
      </c>
      <c r="B2" s="18"/>
      <c r="C2" s="18"/>
      <c r="D2" s="18"/>
      <c r="E2" s="18"/>
      <c r="F2" s="19"/>
    </row>
    <row r="3" spans="1:6" ht="15" customHeight="1" x14ac:dyDescent="0.25">
      <c r="A3" s="20" t="s">
        <v>73</v>
      </c>
      <c r="B3" s="21"/>
      <c r="C3" s="21"/>
      <c r="D3" s="21"/>
      <c r="E3" s="21"/>
      <c r="F3" s="22"/>
    </row>
    <row r="4" spans="1:6" s="2" customFormat="1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7">
        <v>48871</v>
      </c>
      <c r="C5" s="7">
        <v>82213</v>
      </c>
      <c r="D5" s="7">
        <v>1227</v>
      </c>
      <c r="E5" s="7">
        <v>40455</v>
      </c>
      <c r="F5" s="7">
        <f>SUM(B5:E5)</f>
        <v>172766</v>
      </c>
    </row>
    <row r="6" spans="1:6" x14ac:dyDescent="0.25">
      <c r="A6" s="1" t="s">
        <v>3</v>
      </c>
      <c r="B6" s="7">
        <v>7959</v>
      </c>
      <c r="C6" s="7">
        <v>5704</v>
      </c>
      <c r="D6" s="7">
        <v>42</v>
      </c>
      <c r="E6" s="7">
        <v>1640</v>
      </c>
      <c r="F6" s="7">
        <f t="shared" ref="F6:F69" si="0">SUM(B6:E6)</f>
        <v>15345</v>
      </c>
    </row>
    <row r="7" spans="1:6" x14ac:dyDescent="0.25">
      <c r="A7" s="1" t="s">
        <v>4</v>
      </c>
      <c r="B7" s="7">
        <v>60671</v>
      </c>
      <c r="C7" s="7">
        <v>30470</v>
      </c>
      <c r="D7" s="7">
        <v>838</v>
      </c>
      <c r="E7" s="7">
        <v>24901</v>
      </c>
      <c r="F7" s="7">
        <f t="shared" si="0"/>
        <v>116880</v>
      </c>
    </row>
    <row r="8" spans="1:6" x14ac:dyDescent="0.25">
      <c r="A8" s="1" t="s">
        <v>5</v>
      </c>
      <c r="B8" s="7">
        <v>7450</v>
      </c>
      <c r="C8" s="7">
        <v>6159</v>
      </c>
      <c r="D8" s="7">
        <v>71</v>
      </c>
      <c r="E8" s="7">
        <v>2389</v>
      </c>
      <c r="F8" s="7">
        <f t="shared" si="0"/>
        <v>16069</v>
      </c>
    </row>
    <row r="9" spans="1:6" x14ac:dyDescent="0.25">
      <c r="A9" s="1" t="s">
        <v>6</v>
      </c>
      <c r="B9" s="7">
        <v>172088</v>
      </c>
      <c r="C9" s="7">
        <v>126581</v>
      </c>
      <c r="D9" s="7">
        <v>3123</v>
      </c>
      <c r="E9" s="7">
        <v>106839</v>
      </c>
      <c r="F9" s="7">
        <f t="shared" si="0"/>
        <v>408631</v>
      </c>
    </row>
    <row r="10" spans="1:6" x14ac:dyDescent="0.25">
      <c r="A10" s="1" t="s">
        <v>7</v>
      </c>
      <c r="B10" s="7">
        <v>253718</v>
      </c>
      <c r="C10" s="7">
        <v>593634</v>
      </c>
      <c r="D10" s="7">
        <v>4699</v>
      </c>
      <c r="E10" s="7">
        <v>331118</v>
      </c>
      <c r="F10" s="7">
        <f t="shared" si="0"/>
        <v>1183169</v>
      </c>
    </row>
    <row r="11" spans="1:6" x14ac:dyDescent="0.25">
      <c r="A11" s="1" t="s">
        <v>8</v>
      </c>
      <c r="B11" s="7">
        <v>2401</v>
      </c>
      <c r="C11" s="7">
        <v>5243</v>
      </c>
      <c r="D11" s="7">
        <v>26</v>
      </c>
      <c r="E11" s="7">
        <v>951</v>
      </c>
      <c r="F11" s="7">
        <f t="shared" si="0"/>
        <v>8621</v>
      </c>
    </row>
    <row r="12" spans="1:6" x14ac:dyDescent="0.25">
      <c r="A12" s="1" t="s">
        <v>9</v>
      </c>
      <c r="B12" s="7">
        <v>58145</v>
      </c>
      <c r="C12" s="7">
        <v>35844</v>
      </c>
      <c r="D12" s="7">
        <v>797</v>
      </c>
      <c r="E12" s="7">
        <v>34985</v>
      </c>
      <c r="F12" s="7">
        <f t="shared" si="0"/>
        <v>129771</v>
      </c>
    </row>
    <row r="13" spans="1:6" x14ac:dyDescent="0.25">
      <c r="A13" s="1" t="s">
        <v>10</v>
      </c>
      <c r="B13" s="7">
        <v>49567</v>
      </c>
      <c r="C13" s="7">
        <v>29216</v>
      </c>
      <c r="D13" s="7">
        <v>632</v>
      </c>
      <c r="E13" s="7">
        <v>25980</v>
      </c>
      <c r="F13" s="7">
        <f t="shared" si="0"/>
        <v>105395</v>
      </c>
    </row>
    <row r="14" spans="1:6" x14ac:dyDescent="0.25">
      <c r="A14" s="1" t="s">
        <v>11</v>
      </c>
      <c r="B14" s="7">
        <v>80639</v>
      </c>
      <c r="C14" s="7">
        <v>32672</v>
      </c>
      <c r="D14" s="7">
        <v>910</v>
      </c>
      <c r="E14" s="7">
        <v>35154</v>
      </c>
      <c r="F14" s="7">
        <f t="shared" si="0"/>
        <v>149375</v>
      </c>
    </row>
    <row r="15" spans="1:6" x14ac:dyDescent="0.25">
      <c r="A15" s="1" t="s">
        <v>12</v>
      </c>
      <c r="B15" s="7">
        <v>103389</v>
      </c>
      <c r="C15" s="7">
        <v>47127</v>
      </c>
      <c r="D15" s="7">
        <v>823</v>
      </c>
      <c r="E15" s="7">
        <v>50460</v>
      </c>
      <c r="F15" s="7">
        <f t="shared" si="0"/>
        <v>201799</v>
      </c>
    </row>
    <row r="16" spans="1:6" x14ac:dyDescent="0.25">
      <c r="A16" s="1" t="s">
        <v>13</v>
      </c>
      <c r="B16" s="7">
        <v>17357</v>
      </c>
      <c r="C16" s="7">
        <v>14360</v>
      </c>
      <c r="D16" s="7">
        <v>219</v>
      </c>
      <c r="E16" s="7">
        <v>6917</v>
      </c>
      <c r="F16" s="7">
        <f t="shared" si="0"/>
        <v>38853</v>
      </c>
    </row>
    <row r="17" spans="1:6" x14ac:dyDescent="0.25">
      <c r="A17" s="1" t="s">
        <v>14</v>
      </c>
      <c r="B17" s="7">
        <v>5364</v>
      </c>
      <c r="C17" s="7">
        <v>7354</v>
      </c>
      <c r="D17" s="7">
        <v>43</v>
      </c>
      <c r="E17" s="7">
        <v>3631</v>
      </c>
      <c r="F17" s="7">
        <f t="shared" si="0"/>
        <v>16392</v>
      </c>
    </row>
    <row r="18" spans="1:6" x14ac:dyDescent="0.25">
      <c r="A18" s="1" t="s">
        <v>15</v>
      </c>
      <c r="B18" s="7">
        <v>3661</v>
      </c>
      <c r="C18" s="7">
        <v>4335</v>
      </c>
      <c r="D18" s="7">
        <v>30</v>
      </c>
      <c r="E18" s="7">
        <v>1477</v>
      </c>
      <c r="F18" s="7">
        <f t="shared" si="0"/>
        <v>9503</v>
      </c>
    </row>
    <row r="19" spans="1:6" x14ac:dyDescent="0.25">
      <c r="A19" s="1" t="s">
        <v>16</v>
      </c>
      <c r="B19" s="7">
        <v>216478</v>
      </c>
      <c r="C19" s="7">
        <v>236106</v>
      </c>
      <c r="D19" s="7">
        <v>3787</v>
      </c>
      <c r="E19" s="7">
        <v>124741</v>
      </c>
      <c r="F19" s="7">
        <f t="shared" si="0"/>
        <v>581112</v>
      </c>
    </row>
    <row r="20" spans="1:6" x14ac:dyDescent="0.25">
      <c r="A20" s="1" t="s">
        <v>17</v>
      </c>
      <c r="B20" s="7">
        <v>92396</v>
      </c>
      <c r="C20" s="7">
        <v>69994</v>
      </c>
      <c r="D20" s="7">
        <v>1263</v>
      </c>
      <c r="E20" s="7">
        <v>41567</v>
      </c>
      <c r="F20" s="7">
        <f t="shared" si="0"/>
        <v>205220</v>
      </c>
    </row>
    <row r="21" spans="1:6" x14ac:dyDescent="0.25">
      <c r="A21" s="1" t="s">
        <v>18</v>
      </c>
      <c r="B21" s="7">
        <v>32239</v>
      </c>
      <c r="C21" s="7">
        <v>24648</v>
      </c>
      <c r="D21" s="7">
        <v>374</v>
      </c>
      <c r="E21" s="7">
        <v>22154</v>
      </c>
      <c r="F21" s="7">
        <f t="shared" si="0"/>
        <v>79415</v>
      </c>
    </row>
    <row r="22" spans="1:6" x14ac:dyDescent="0.25">
      <c r="A22" s="1" t="s">
        <v>19</v>
      </c>
      <c r="B22" s="7">
        <v>2443</v>
      </c>
      <c r="C22" s="7">
        <v>4118</v>
      </c>
      <c r="D22" s="7">
        <v>83</v>
      </c>
      <c r="E22" s="7">
        <v>990</v>
      </c>
      <c r="F22" s="7">
        <f t="shared" si="0"/>
        <v>7634</v>
      </c>
    </row>
    <row r="23" spans="1:6" x14ac:dyDescent="0.25">
      <c r="A23" s="1" t="s">
        <v>20</v>
      </c>
      <c r="B23" s="7">
        <v>4622</v>
      </c>
      <c r="C23" s="7">
        <v>22236</v>
      </c>
      <c r="D23" s="7">
        <v>65</v>
      </c>
      <c r="E23" s="7">
        <v>2722</v>
      </c>
      <c r="F23" s="7">
        <f t="shared" si="0"/>
        <v>29645</v>
      </c>
    </row>
    <row r="24" spans="1:6" x14ac:dyDescent="0.25">
      <c r="A24" s="1" t="s">
        <v>21</v>
      </c>
      <c r="B24" s="7">
        <v>6248</v>
      </c>
      <c r="C24" s="7">
        <v>3403</v>
      </c>
      <c r="D24" s="7">
        <v>56</v>
      </c>
      <c r="E24" s="7">
        <v>1729</v>
      </c>
      <c r="F24" s="7">
        <f t="shared" si="0"/>
        <v>11436</v>
      </c>
    </row>
    <row r="25" spans="1:6" x14ac:dyDescent="0.25">
      <c r="A25" s="1" t="s">
        <v>22</v>
      </c>
      <c r="B25" s="7">
        <v>2544</v>
      </c>
      <c r="C25" s="7">
        <v>2913</v>
      </c>
      <c r="D25" s="7">
        <v>28</v>
      </c>
      <c r="E25" s="7">
        <v>1199</v>
      </c>
      <c r="F25" s="7">
        <f t="shared" si="0"/>
        <v>6684</v>
      </c>
    </row>
    <row r="26" spans="1:6" x14ac:dyDescent="0.25">
      <c r="A26" s="1" t="s">
        <v>23</v>
      </c>
      <c r="B26" s="7">
        <v>4650</v>
      </c>
      <c r="C26" s="7">
        <v>3988</v>
      </c>
      <c r="D26" s="7">
        <v>63</v>
      </c>
      <c r="E26" s="7">
        <v>1156</v>
      </c>
      <c r="F26" s="7">
        <f t="shared" si="0"/>
        <v>9857</v>
      </c>
    </row>
    <row r="27" spans="1:6" x14ac:dyDescent="0.25">
      <c r="A27" s="1" t="s">
        <v>24</v>
      </c>
      <c r="B27" s="7">
        <v>2318</v>
      </c>
      <c r="C27" s="7">
        <v>4361</v>
      </c>
      <c r="D27" s="7">
        <v>23</v>
      </c>
      <c r="E27" s="7">
        <v>932</v>
      </c>
      <c r="F27" s="7">
        <f t="shared" si="0"/>
        <v>7634</v>
      </c>
    </row>
    <row r="28" spans="1:6" x14ac:dyDescent="0.25">
      <c r="A28" s="1" t="s">
        <v>25</v>
      </c>
      <c r="B28" s="7">
        <v>5112</v>
      </c>
      <c r="C28" s="7">
        <v>4627</v>
      </c>
      <c r="D28" s="7">
        <v>127</v>
      </c>
      <c r="E28" s="7">
        <v>2099</v>
      </c>
      <c r="F28" s="7">
        <f t="shared" si="0"/>
        <v>11965</v>
      </c>
    </row>
    <row r="29" spans="1:6" x14ac:dyDescent="0.25">
      <c r="A29" s="1" t="s">
        <v>26</v>
      </c>
      <c r="B29" s="7">
        <v>6150</v>
      </c>
      <c r="C29" s="7">
        <v>7875</v>
      </c>
      <c r="D29" s="7">
        <v>60</v>
      </c>
      <c r="E29" s="7">
        <v>3209</v>
      </c>
      <c r="F29" s="7">
        <f t="shared" si="0"/>
        <v>17294</v>
      </c>
    </row>
    <row r="30" spans="1:6" x14ac:dyDescent="0.25">
      <c r="A30" s="1" t="s">
        <v>27</v>
      </c>
      <c r="B30" s="7">
        <v>53462</v>
      </c>
      <c r="C30" s="7">
        <v>41861</v>
      </c>
      <c r="D30" s="7">
        <v>866</v>
      </c>
      <c r="E30" s="7">
        <v>34493</v>
      </c>
      <c r="F30" s="7">
        <f t="shared" si="0"/>
        <v>130682</v>
      </c>
    </row>
    <row r="31" spans="1:6" x14ac:dyDescent="0.25">
      <c r="A31" s="1" t="s">
        <v>28</v>
      </c>
      <c r="B31" s="7">
        <v>26528</v>
      </c>
      <c r="C31" s="7">
        <v>18088</v>
      </c>
      <c r="D31" s="7">
        <v>189</v>
      </c>
      <c r="E31" s="7">
        <v>13197</v>
      </c>
      <c r="F31" s="7">
        <f t="shared" si="0"/>
        <v>58002</v>
      </c>
    </row>
    <row r="32" spans="1:6" x14ac:dyDescent="0.25">
      <c r="A32" s="1" t="s">
        <v>29</v>
      </c>
      <c r="B32" s="7">
        <v>262302</v>
      </c>
      <c r="C32" s="7">
        <v>321822</v>
      </c>
      <c r="D32" s="7">
        <v>4993</v>
      </c>
      <c r="E32" s="7">
        <v>237458</v>
      </c>
      <c r="F32" s="7">
        <f t="shared" si="0"/>
        <v>826575</v>
      </c>
    </row>
    <row r="33" spans="1:6" x14ac:dyDescent="0.25">
      <c r="A33" s="1" t="s">
        <v>30</v>
      </c>
      <c r="B33" s="7">
        <v>5921</v>
      </c>
      <c r="C33" s="7">
        <v>3403</v>
      </c>
      <c r="D33" s="7">
        <v>20</v>
      </c>
      <c r="E33" s="7">
        <v>1133</v>
      </c>
      <c r="F33" s="7">
        <f t="shared" si="0"/>
        <v>10477</v>
      </c>
    </row>
    <row r="34" spans="1:6" x14ac:dyDescent="0.25">
      <c r="A34" s="1" t="s">
        <v>31</v>
      </c>
      <c r="B34" s="7">
        <v>50692</v>
      </c>
      <c r="C34" s="7">
        <v>29521</v>
      </c>
      <c r="D34" s="7">
        <v>632</v>
      </c>
      <c r="E34" s="7">
        <v>28765</v>
      </c>
      <c r="F34" s="7">
        <f t="shared" si="0"/>
        <v>109610</v>
      </c>
    </row>
    <row r="35" spans="1:6" x14ac:dyDescent="0.25">
      <c r="A35" s="1" t="s">
        <v>32</v>
      </c>
      <c r="B35" s="7">
        <v>9834</v>
      </c>
      <c r="C35" s="7">
        <v>14553</v>
      </c>
      <c r="D35" s="7">
        <v>65</v>
      </c>
      <c r="E35" s="7">
        <v>2818</v>
      </c>
      <c r="F35" s="7">
        <f t="shared" si="0"/>
        <v>27270</v>
      </c>
    </row>
    <row r="36" spans="1:6" x14ac:dyDescent="0.25">
      <c r="A36" s="1" t="s">
        <v>33</v>
      </c>
      <c r="B36" s="7">
        <v>2857</v>
      </c>
      <c r="C36" s="7">
        <v>5580</v>
      </c>
      <c r="D36" s="7">
        <v>25</v>
      </c>
      <c r="E36" s="7">
        <v>1080</v>
      </c>
      <c r="F36" s="7">
        <f t="shared" si="0"/>
        <v>9542</v>
      </c>
    </row>
    <row r="37" spans="1:6" x14ac:dyDescent="0.25">
      <c r="A37" s="1" t="s">
        <v>34</v>
      </c>
      <c r="B37" s="7">
        <v>1543</v>
      </c>
      <c r="C37" s="7">
        <v>2441</v>
      </c>
      <c r="D37" s="7">
        <v>11</v>
      </c>
      <c r="E37" s="7">
        <v>300</v>
      </c>
      <c r="F37" s="7">
        <f t="shared" si="0"/>
        <v>4295</v>
      </c>
    </row>
    <row r="38" spans="1:6" x14ac:dyDescent="0.25">
      <c r="A38" s="1" t="s">
        <v>35</v>
      </c>
      <c r="B38" s="7">
        <v>99136</v>
      </c>
      <c r="C38" s="7">
        <v>69133</v>
      </c>
      <c r="D38" s="7">
        <v>932</v>
      </c>
      <c r="E38" s="7">
        <v>56150</v>
      </c>
      <c r="F38" s="7">
        <f t="shared" si="0"/>
        <v>225351</v>
      </c>
    </row>
    <row r="39" spans="1:6" x14ac:dyDescent="0.25">
      <c r="A39" s="1" t="s">
        <v>36</v>
      </c>
      <c r="B39" s="7">
        <v>188096</v>
      </c>
      <c r="C39" s="7">
        <v>117692</v>
      </c>
      <c r="D39" s="7">
        <v>1927</v>
      </c>
      <c r="E39" s="7">
        <v>128215</v>
      </c>
      <c r="F39" s="7">
        <f t="shared" si="0"/>
        <v>435930</v>
      </c>
    </row>
    <row r="40" spans="1:6" x14ac:dyDescent="0.25">
      <c r="A40" s="1" t="s">
        <v>37</v>
      </c>
      <c r="B40" s="7">
        <v>57151</v>
      </c>
      <c r="C40" s="7">
        <v>107927</v>
      </c>
      <c r="D40" s="7">
        <v>1158</v>
      </c>
      <c r="E40" s="7">
        <v>39653</v>
      </c>
      <c r="F40" s="7">
        <f t="shared" si="0"/>
        <v>205889</v>
      </c>
    </row>
    <row r="41" spans="1:6" x14ac:dyDescent="0.25">
      <c r="A41" s="1" t="s">
        <v>38</v>
      </c>
      <c r="B41" s="7">
        <v>12579</v>
      </c>
      <c r="C41" s="7">
        <v>9222</v>
      </c>
      <c r="D41" s="7">
        <v>409</v>
      </c>
      <c r="E41" s="7">
        <v>4883</v>
      </c>
      <c r="F41" s="7">
        <f t="shared" si="0"/>
        <v>27093</v>
      </c>
    </row>
    <row r="42" spans="1:6" x14ac:dyDescent="0.25">
      <c r="A42" s="1" t="s">
        <v>39</v>
      </c>
      <c r="B42" s="7">
        <v>762</v>
      </c>
      <c r="C42" s="7">
        <v>3182</v>
      </c>
      <c r="D42" s="7">
        <v>5</v>
      </c>
      <c r="E42" s="7">
        <v>351</v>
      </c>
      <c r="F42" s="7">
        <f t="shared" si="0"/>
        <v>4300</v>
      </c>
    </row>
    <row r="43" spans="1:6" x14ac:dyDescent="0.25">
      <c r="A43" s="1" t="s">
        <v>40</v>
      </c>
      <c r="B43" s="7">
        <v>3357</v>
      </c>
      <c r="C43" s="7">
        <v>7015</v>
      </c>
      <c r="D43" s="7">
        <v>33</v>
      </c>
      <c r="E43" s="7">
        <v>1276</v>
      </c>
      <c r="F43" s="7">
        <f t="shared" si="0"/>
        <v>11681</v>
      </c>
    </row>
    <row r="44" spans="1:6" x14ac:dyDescent="0.25">
      <c r="A44" s="1" t="s">
        <v>41</v>
      </c>
      <c r="B44" s="7">
        <v>101765</v>
      </c>
      <c r="C44" s="7">
        <v>71553</v>
      </c>
      <c r="D44" s="7">
        <v>1176</v>
      </c>
      <c r="E44" s="7">
        <v>60238</v>
      </c>
      <c r="F44" s="7">
        <f t="shared" si="0"/>
        <v>234732</v>
      </c>
    </row>
    <row r="45" spans="1:6" x14ac:dyDescent="0.25">
      <c r="A45" s="1" t="s">
        <v>42</v>
      </c>
      <c r="B45" s="7">
        <v>103420</v>
      </c>
      <c r="C45" s="7">
        <v>77469</v>
      </c>
      <c r="D45" s="7">
        <v>1149</v>
      </c>
      <c r="E45" s="7">
        <v>51844</v>
      </c>
      <c r="F45" s="7">
        <f t="shared" si="0"/>
        <v>233882</v>
      </c>
    </row>
    <row r="46" spans="1:6" x14ac:dyDescent="0.25">
      <c r="A46" s="1" t="s">
        <v>43</v>
      </c>
      <c r="B46" s="7">
        <v>55523</v>
      </c>
      <c r="C46" s="7">
        <v>27912</v>
      </c>
      <c r="D46" s="7">
        <v>650</v>
      </c>
      <c r="E46" s="7">
        <v>27487</v>
      </c>
      <c r="F46" s="7">
        <f t="shared" si="0"/>
        <v>111572</v>
      </c>
    </row>
    <row r="47" spans="1:6" x14ac:dyDescent="0.25">
      <c r="A47" s="1" t="s">
        <v>44</v>
      </c>
      <c r="B47" s="7">
        <v>366965</v>
      </c>
      <c r="C47" s="7">
        <v>579047</v>
      </c>
      <c r="D47" s="7">
        <v>4253</v>
      </c>
      <c r="E47" s="7">
        <v>427260</v>
      </c>
      <c r="F47" s="7">
        <f t="shared" si="0"/>
        <v>1377525</v>
      </c>
    </row>
    <row r="48" spans="1:6" x14ac:dyDescent="0.25">
      <c r="A48" s="1" t="s">
        <v>45</v>
      </c>
      <c r="B48" s="7">
        <v>21431</v>
      </c>
      <c r="C48" s="7">
        <v>17563</v>
      </c>
      <c r="D48" s="7">
        <v>469</v>
      </c>
      <c r="E48" s="7">
        <v>15443</v>
      </c>
      <c r="F48" s="7">
        <f t="shared" si="0"/>
        <v>54906</v>
      </c>
    </row>
    <row r="49" spans="1:6" x14ac:dyDescent="0.25">
      <c r="A49" s="1" t="s">
        <v>46</v>
      </c>
      <c r="B49" s="7">
        <v>37096</v>
      </c>
      <c r="C49" s="7">
        <v>14187</v>
      </c>
      <c r="D49" s="7">
        <v>459</v>
      </c>
      <c r="E49" s="7">
        <v>12876</v>
      </c>
      <c r="F49" s="7">
        <f t="shared" si="0"/>
        <v>64618</v>
      </c>
    </row>
    <row r="50" spans="1:6" x14ac:dyDescent="0.25">
      <c r="A50" s="1" t="s">
        <v>47</v>
      </c>
      <c r="B50" s="7">
        <v>75513</v>
      </c>
      <c r="C50" s="7">
        <v>24378</v>
      </c>
      <c r="D50" s="7">
        <v>1051</v>
      </c>
      <c r="E50" s="7">
        <v>28824</v>
      </c>
      <c r="F50" s="7">
        <f t="shared" si="0"/>
        <v>129766</v>
      </c>
    </row>
    <row r="51" spans="1:6" x14ac:dyDescent="0.25">
      <c r="A51" s="1" t="s">
        <v>48</v>
      </c>
      <c r="B51" s="7">
        <v>8609</v>
      </c>
      <c r="C51" s="7">
        <v>7343</v>
      </c>
      <c r="D51" s="7">
        <v>105</v>
      </c>
      <c r="E51" s="7">
        <v>3862</v>
      </c>
      <c r="F51" s="7">
        <f t="shared" si="0"/>
        <v>19919</v>
      </c>
    </row>
    <row r="52" spans="1:6" x14ac:dyDescent="0.25">
      <c r="A52" s="1" t="s">
        <v>49</v>
      </c>
      <c r="B52" s="7">
        <v>216429</v>
      </c>
      <c r="C52" s="7">
        <v>340240</v>
      </c>
      <c r="D52" s="7">
        <v>4429</v>
      </c>
      <c r="E52" s="7">
        <v>246198</v>
      </c>
      <c r="F52" s="7">
        <f t="shared" si="0"/>
        <v>807296</v>
      </c>
    </row>
    <row r="53" spans="1:6" x14ac:dyDescent="0.25">
      <c r="A53" s="1" t="s">
        <v>50</v>
      </c>
      <c r="B53" s="7">
        <v>47382</v>
      </c>
      <c r="C53" s="7">
        <v>87455</v>
      </c>
      <c r="D53" s="7">
        <v>674</v>
      </c>
      <c r="E53" s="7">
        <v>69275</v>
      </c>
      <c r="F53" s="7">
        <f t="shared" si="0"/>
        <v>204786</v>
      </c>
    </row>
    <row r="54" spans="1:6" x14ac:dyDescent="0.25">
      <c r="A54" s="1" t="s">
        <v>51</v>
      </c>
      <c r="B54" s="7">
        <v>259111</v>
      </c>
      <c r="C54" s="7">
        <v>385385</v>
      </c>
      <c r="D54" s="7">
        <v>5158</v>
      </c>
      <c r="E54" s="7">
        <v>265397</v>
      </c>
      <c r="F54" s="7">
        <f t="shared" si="0"/>
        <v>915051</v>
      </c>
    </row>
    <row r="55" spans="1:6" x14ac:dyDescent="0.25">
      <c r="A55" s="1" t="s">
        <v>52</v>
      </c>
      <c r="B55" s="7">
        <v>130877</v>
      </c>
      <c r="C55" s="7">
        <v>105502</v>
      </c>
      <c r="D55" s="7">
        <v>2161</v>
      </c>
      <c r="E55" s="7">
        <v>98264</v>
      </c>
      <c r="F55" s="7">
        <f t="shared" si="0"/>
        <v>336804</v>
      </c>
    </row>
    <row r="56" spans="1:6" x14ac:dyDescent="0.25">
      <c r="A56" s="1" t="s">
        <v>53</v>
      </c>
      <c r="B56" s="7">
        <v>228485</v>
      </c>
      <c r="C56" s="7">
        <v>227096</v>
      </c>
      <c r="D56" s="7">
        <v>4450</v>
      </c>
      <c r="E56" s="7">
        <v>182336</v>
      </c>
      <c r="F56" s="7">
        <f t="shared" si="0"/>
        <v>642367</v>
      </c>
    </row>
    <row r="57" spans="1:6" x14ac:dyDescent="0.25">
      <c r="A57" s="1" t="s">
        <v>54</v>
      </c>
      <c r="B57" s="7">
        <v>143349</v>
      </c>
      <c r="C57" s="7">
        <v>143026</v>
      </c>
      <c r="D57" s="7">
        <v>2033</v>
      </c>
      <c r="E57" s="7">
        <v>112365</v>
      </c>
      <c r="F57" s="7">
        <f t="shared" si="0"/>
        <v>400773</v>
      </c>
    </row>
    <row r="58" spans="1:6" x14ac:dyDescent="0.25">
      <c r="A58" s="1" t="s">
        <v>55</v>
      </c>
      <c r="B58" s="7">
        <v>18125</v>
      </c>
      <c r="C58" s="7">
        <v>19084</v>
      </c>
      <c r="D58" s="7">
        <v>203</v>
      </c>
      <c r="E58" s="7">
        <v>8866</v>
      </c>
      <c r="F58" s="7">
        <f t="shared" si="0"/>
        <v>46278</v>
      </c>
    </row>
    <row r="59" spans="1:6" x14ac:dyDescent="0.25">
      <c r="A59" s="1" t="s">
        <v>56</v>
      </c>
      <c r="B59" s="7">
        <v>75114</v>
      </c>
      <c r="C59" s="7">
        <v>24911</v>
      </c>
      <c r="D59" s="7">
        <v>1044</v>
      </c>
      <c r="E59" s="7">
        <v>26932</v>
      </c>
      <c r="F59" s="7">
        <f t="shared" si="0"/>
        <v>128001</v>
      </c>
    </row>
    <row r="60" spans="1:6" x14ac:dyDescent="0.25">
      <c r="A60" s="1" t="s">
        <v>57</v>
      </c>
      <c r="B60" s="7">
        <v>131242</v>
      </c>
      <c r="C60" s="7">
        <v>93231</v>
      </c>
      <c r="D60" s="7">
        <v>1771</v>
      </c>
      <c r="E60" s="7">
        <v>81028</v>
      </c>
      <c r="F60" s="7">
        <f t="shared" si="0"/>
        <v>307272</v>
      </c>
    </row>
    <row r="61" spans="1:6" x14ac:dyDescent="0.25">
      <c r="A61" s="1" t="s">
        <v>58</v>
      </c>
      <c r="B61" s="7">
        <v>108282</v>
      </c>
      <c r="C61" s="7">
        <v>96466</v>
      </c>
      <c r="D61" s="7">
        <v>1695</v>
      </c>
      <c r="E61" s="7">
        <v>80895</v>
      </c>
      <c r="F61" s="7">
        <f t="shared" si="0"/>
        <v>287338</v>
      </c>
    </row>
    <row r="62" spans="1:6" x14ac:dyDescent="0.25">
      <c r="A62" s="1" t="s">
        <v>59</v>
      </c>
      <c r="B62" s="7">
        <v>94708</v>
      </c>
      <c r="C62" s="7">
        <v>41827</v>
      </c>
      <c r="D62" s="7">
        <v>1296</v>
      </c>
      <c r="E62" s="7">
        <v>41320</v>
      </c>
      <c r="F62" s="7">
        <f t="shared" si="0"/>
        <v>179151</v>
      </c>
    </row>
    <row r="63" spans="1:6" x14ac:dyDescent="0.25">
      <c r="A63" s="1" t="s">
        <v>60</v>
      </c>
      <c r="B63" s="7">
        <v>62992</v>
      </c>
      <c r="C63" s="7">
        <v>77836</v>
      </c>
      <c r="D63" s="7">
        <v>848</v>
      </c>
      <c r="E63" s="7">
        <v>53834</v>
      </c>
      <c r="F63" s="7">
        <f t="shared" si="0"/>
        <v>195510</v>
      </c>
    </row>
    <row r="64" spans="1:6" x14ac:dyDescent="0.25">
      <c r="A64" s="1" t="s">
        <v>61</v>
      </c>
      <c r="B64" s="7">
        <v>49878</v>
      </c>
      <c r="C64" s="7">
        <v>23053</v>
      </c>
      <c r="D64" s="7">
        <v>326</v>
      </c>
      <c r="E64" s="7">
        <v>19378</v>
      </c>
      <c r="F64" s="7">
        <f t="shared" si="0"/>
        <v>92635</v>
      </c>
    </row>
    <row r="65" spans="1:6" x14ac:dyDescent="0.25">
      <c r="A65" s="1" t="s">
        <v>62</v>
      </c>
      <c r="B65" s="7">
        <v>11293</v>
      </c>
      <c r="C65" s="7">
        <v>9970</v>
      </c>
      <c r="D65" s="7">
        <v>148</v>
      </c>
      <c r="E65" s="7">
        <v>3835</v>
      </c>
      <c r="F65" s="7">
        <f t="shared" si="0"/>
        <v>25246</v>
      </c>
    </row>
    <row r="66" spans="1:6" x14ac:dyDescent="0.25">
      <c r="A66" s="1" t="s">
        <v>63</v>
      </c>
      <c r="B66" s="7">
        <v>4411</v>
      </c>
      <c r="C66" s="7">
        <v>6595</v>
      </c>
      <c r="D66" s="7">
        <v>51</v>
      </c>
      <c r="E66" s="7">
        <v>1206</v>
      </c>
      <c r="F66" s="7">
        <f t="shared" si="0"/>
        <v>12263</v>
      </c>
    </row>
    <row r="67" spans="1:6" x14ac:dyDescent="0.25">
      <c r="A67" s="1" t="s">
        <v>64</v>
      </c>
      <c r="B67" s="7">
        <v>3057</v>
      </c>
      <c r="C67" s="7">
        <v>3384</v>
      </c>
      <c r="D67" s="7">
        <v>20</v>
      </c>
      <c r="E67" s="7">
        <v>749</v>
      </c>
      <c r="F67" s="7">
        <f t="shared" si="0"/>
        <v>7210</v>
      </c>
    </row>
    <row r="68" spans="1:6" x14ac:dyDescent="0.25">
      <c r="A68" s="1" t="s">
        <v>65</v>
      </c>
      <c r="B68" s="7">
        <v>130460</v>
      </c>
      <c r="C68" s="7">
        <v>126239</v>
      </c>
      <c r="D68" s="7">
        <v>2118</v>
      </c>
      <c r="E68" s="7">
        <v>108637</v>
      </c>
      <c r="F68" s="7">
        <f t="shared" si="0"/>
        <v>367454</v>
      </c>
    </row>
    <row r="69" spans="1:6" x14ac:dyDescent="0.25">
      <c r="A69" s="1" t="s">
        <v>66</v>
      </c>
      <c r="B69" s="7">
        <v>8050</v>
      </c>
      <c r="C69" s="7">
        <v>8483</v>
      </c>
      <c r="D69" s="7">
        <v>95</v>
      </c>
      <c r="E69" s="7">
        <v>3399</v>
      </c>
      <c r="F69" s="7">
        <f t="shared" si="0"/>
        <v>20027</v>
      </c>
    </row>
    <row r="70" spans="1:6" x14ac:dyDescent="0.25">
      <c r="A70" s="1" t="s">
        <v>67</v>
      </c>
      <c r="B70" s="7">
        <v>28343</v>
      </c>
      <c r="C70" s="7">
        <v>9597</v>
      </c>
      <c r="D70" s="7">
        <v>315</v>
      </c>
      <c r="E70" s="7">
        <v>9646</v>
      </c>
      <c r="F70" s="7">
        <f t="shared" ref="F70:F71" si="1">SUM(B70:E70)</f>
        <v>47901</v>
      </c>
    </row>
    <row r="71" spans="1:6" ht="15.75" thickBot="1" x14ac:dyDescent="0.3">
      <c r="A71" s="1" t="s">
        <v>68</v>
      </c>
      <c r="B71" s="7">
        <v>7946</v>
      </c>
      <c r="C71" s="7">
        <v>5456</v>
      </c>
      <c r="D71" s="7">
        <v>63</v>
      </c>
      <c r="E71" s="7">
        <v>2174</v>
      </c>
      <c r="F71" s="7">
        <f t="shared" si="1"/>
        <v>15639</v>
      </c>
    </row>
    <row r="72" spans="1:6" ht="16.5" thickTop="1" thickBot="1" x14ac:dyDescent="0.3">
      <c r="A72" s="3" t="s">
        <v>1</v>
      </c>
      <c r="B72" s="8">
        <f>SUM(B5:B71)</f>
        <v>4550556</v>
      </c>
      <c r="C72" s="8">
        <f>SUM(C5:C71)</f>
        <v>4810909</v>
      </c>
      <c r="D72" s="8">
        <f>SUM(D5:D71)</f>
        <v>68884</v>
      </c>
      <c r="E72" s="8">
        <f>SUM(E5:E71)</f>
        <v>3462735</v>
      </c>
      <c r="F72" s="8">
        <f>SUM(F5:F71)</f>
        <v>12893084</v>
      </c>
    </row>
    <row r="73" spans="1:6" ht="15.75" thickTop="1" x14ac:dyDescent="0.25"/>
  </sheetData>
  <mergeCells count="3">
    <mergeCell ref="A2:F2"/>
    <mergeCell ref="A1:F1"/>
    <mergeCell ref="A3:F3"/>
  </mergeCells>
  <pageMargins left="0.25" right="0.25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>
      <selection activeCell="F5" sqref="F5"/>
    </sheetView>
  </sheetViews>
  <sheetFormatPr defaultColWidth="9.140625"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  <col min="7" max="16384" width="9.140625" style="2"/>
  </cols>
  <sheetData>
    <row r="1" spans="1:6" ht="18.75" customHeight="1" x14ac:dyDescent="0.3">
      <c r="A1" s="14" t="s">
        <v>76</v>
      </c>
      <c r="B1" s="15"/>
      <c r="C1" s="15"/>
      <c r="D1" s="15"/>
      <c r="E1" s="15"/>
      <c r="F1" s="16"/>
    </row>
    <row r="2" spans="1:6" x14ac:dyDescent="0.25">
      <c r="A2" s="17" t="s">
        <v>99</v>
      </c>
      <c r="B2" s="18"/>
      <c r="C2" s="18"/>
      <c r="D2" s="18"/>
      <c r="E2" s="18"/>
      <c r="F2" s="19"/>
    </row>
    <row r="3" spans="1:6" x14ac:dyDescent="0.25">
      <c r="A3" s="20" t="s">
        <v>73</v>
      </c>
      <c r="B3" s="21"/>
      <c r="C3" s="21"/>
      <c r="D3" s="21"/>
      <c r="E3" s="21"/>
      <c r="F3" s="22"/>
    </row>
    <row r="4" spans="1:6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7">
        <v>48903</v>
      </c>
      <c r="C5" s="7">
        <v>82372</v>
      </c>
      <c r="D5" s="7">
        <v>1242</v>
      </c>
      <c r="E5" s="7">
        <v>40597</v>
      </c>
      <c r="F5" s="7">
        <f>SUM(B5:E5)</f>
        <v>173114</v>
      </c>
    </row>
    <row r="6" spans="1:6" x14ac:dyDescent="0.25">
      <c r="A6" s="1" t="s">
        <v>3</v>
      </c>
      <c r="B6" s="7">
        <v>7888</v>
      </c>
      <c r="C6" s="7">
        <v>5653</v>
      </c>
      <c r="D6" s="7">
        <v>43</v>
      </c>
      <c r="E6" s="7">
        <v>1614</v>
      </c>
      <c r="F6" s="7">
        <f t="shared" ref="F6:F69" si="0">SUM(B6:E6)</f>
        <v>15198</v>
      </c>
    </row>
    <row r="7" spans="1:6" x14ac:dyDescent="0.25">
      <c r="A7" s="1" t="s">
        <v>4</v>
      </c>
      <c r="B7" s="7">
        <v>60856</v>
      </c>
      <c r="C7" s="7">
        <v>30532</v>
      </c>
      <c r="D7" s="7">
        <v>869</v>
      </c>
      <c r="E7" s="7">
        <v>25083</v>
      </c>
      <c r="F7" s="7">
        <f t="shared" si="0"/>
        <v>117340</v>
      </c>
    </row>
    <row r="8" spans="1:6" x14ac:dyDescent="0.25">
      <c r="A8" s="1" t="s">
        <v>5</v>
      </c>
      <c r="B8" s="7">
        <v>7485</v>
      </c>
      <c r="C8" s="7">
        <v>6151</v>
      </c>
      <c r="D8" s="7">
        <v>72</v>
      </c>
      <c r="E8" s="7">
        <v>2408</v>
      </c>
      <c r="F8" s="7">
        <f t="shared" si="0"/>
        <v>16116</v>
      </c>
    </row>
    <row r="9" spans="1:6" x14ac:dyDescent="0.25">
      <c r="A9" s="1" t="s">
        <v>6</v>
      </c>
      <c r="B9" s="7">
        <v>172319</v>
      </c>
      <c r="C9" s="7">
        <v>126739</v>
      </c>
      <c r="D9" s="7">
        <v>3238</v>
      </c>
      <c r="E9" s="7">
        <v>107201</v>
      </c>
      <c r="F9" s="7">
        <f t="shared" si="0"/>
        <v>409497</v>
      </c>
    </row>
    <row r="10" spans="1:6" x14ac:dyDescent="0.25">
      <c r="A10" s="1" t="s">
        <v>7</v>
      </c>
      <c r="B10" s="7">
        <v>253644</v>
      </c>
      <c r="C10" s="7">
        <v>593591</v>
      </c>
      <c r="D10" s="7">
        <v>4966</v>
      </c>
      <c r="E10" s="7">
        <v>331835</v>
      </c>
      <c r="F10" s="7">
        <f t="shared" si="0"/>
        <v>1184036</v>
      </c>
    </row>
    <row r="11" spans="1:6" x14ac:dyDescent="0.25">
      <c r="A11" s="1" t="s">
        <v>8</v>
      </c>
      <c r="B11" s="7">
        <v>2398</v>
      </c>
      <c r="C11" s="7">
        <v>5233</v>
      </c>
      <c r="D11" s="7">
        <v>27</v>
      </c>
      <c r="E11" s="7">
        <v>951</v>
      </c>
      <c r="F11" s="7">
        <f t="shared" si="0"/>
        <v>8609</v>
      </c>
    </row>
    <row r="12" spans="1:6" x14ac:dyDescent="0.25">
      <c r="A12" s="1" t="s">
        <v>9</v>
      </c>
      <c r="B12" s="7">
        <v>58363</v>
      </c>
      <c r="C12" s="7">
        <v>35923</v>
      </c>
      <c r="D12" s="7">
        <v>826</v>
      </c>
      <c r="E12" s="7">
        <v>35156</v>
      </c>
      <c r="F12" s="7">
        <f t="shared" si="0"/>
        <v>130268</v>
      </c>
    </row>
    <row r="13" spans="1:6" x14ac:dyDescent="0.25">
      <c r="A13" s="1" t="s">
        <v>10</v>
      </c>
      <c r="B13" s="7">
        <v>49836</v>
      </c>
      <c r="C13" s="7">
        <v>29301</v>
      </c>
      <c r="D13" s="7">
        <v>670</v>
      </c>
      <c r="E13" s="7">
        <v>26131</v>
      </c>
      <c r="F13" s="7">
        <f t="shared" si="0"/>
        <v>105938</v>
      </c>
    </row>
    <row r="14" spans="1:6" x14ac:dyDescent="0.25">
      <c r="A14" s="1" t="s">
        <v>11</v>
      </c>
      <c r="B14" s="7">
        <v>80673</v>
      </c>
      <c r="C14" s="7">
        <v>32757</v>
      </c>
      <c r="D14" s="7">
        <v>953</v>
      </c>
      <c r="E14" s="7">
        <v>35223</v>
      </c>
      <c r="F14" s="7">
        <f t="shared" si="0"/>
        <v>149606</v>
      </c>
    </row>
    <row r="15" spans="1:6" x14ac:dyDescent="0.25">
      <c r="A15" s="1" t="s">
        <v>12</v>
      </c>
      <c r="B15" s="7">
        <v>103859</v>
      </c>
      <c r="C15" s="7">
        <v>47435</v>
      </c>
      <c r="D15" s="7">
        <v>853</v>
      </c>
      <c r="E15" s="7">
        <v>50838</v>
      </c>
      <c r="F15" s="7">
        <f t="shared" si="0"/>
        <v>202985</v>
      </c>
    </row>
    <row r="16" spans="1:6" x14ac:dyDescent="0.25">
      <c r="A16" s="1" t="s">
        <v>13</v>
      </c>
      <c r="B16" s="7">
        <v>17421</v>
      </c>
      <c r="C16" s="7">
        <v>14351</v>
      </c>
      <c r="D16" s="7">
        <v>225</v>
      </c>
      <c r="E16" s="7">
        <v>6932</v>
      </c>
      <c r="F16" s="7">
        <f t="shared" si="0"/>
        <v>38929</v>
      </c>
    </row>
    <row r="17" spans="1:6" x14ac:dyDescent="0.25">
      <c r="A17" s="1" t="s">
        <v>14</v>
      </c>
      <c r="B17" s="7">
        <v>5392</v>
      </c>
      <c r="C17" s="7">
        <v>7346</v>
      </c>
      <c r="D17" s="7">
        <v>44</v>
      </c>
      <c r="E17" s="7">
        <v>3655</v>
      </c>
      <c r="F17" s="7">
        <f t="shared" si="0"/>
        <v>16437</v>
      </c>
    </row>
    <row r="18" spans="1:6" x14ac:dyDescent="0.25">
      <c r="A18" s="1" t="s">
        <v>15</v>
      </c>
      <c r="B18" s="7">
        <v>3666</v>
      </c>
      <c r="C18" s="7">
        <v>4303</v>
      </c>
      <c r="D18" s="7">
        <v>32</v>
      </c>
      <c r="E18" s="7">
        <v>1496</v>
      </c>
      <c r="F18" s="7">
        <f t="shared" si="0"/>
        <v>9497</v>
      </c>
    </row>
    <row r="19" spans="1:6" x14ac:dyDescent="0.25">
      <c r="A19" s="1" t="s">
        <v>16</v>
      </c>
      <c r="B19" s="7">
        <v>216719</v>
      </c>
      <c r="C19" s="7">
        <v>236308</v>
      </c>
      <c r="D19" s="7">
        <v>3927</v>
      </c>
      <c r="E19" s="7">
        <v>125319</v>
      </c>
      <c r="F19" s="7">
        <f t="shared" si="0"/>
        <v>582273</v>
      </c>
    </row>
    <row r="20" spans="1:6" x14ac:dyDescent="0.25">
      <c r="A20" s="1" t="s">
        <v>17</v>
      </c>
      <c r="B20" s="7">
        <v>92502</v>
      </c>
      <c r="C20" s="7">
        <v>70040</v>
      </c>
      <c r="D20" s="7">
        <v>1335</v>
      </c>
      <c r="E20" s="7">
        <v>41790</v>
      </c>
      <c r="F20" s="7">
        <f t="shared" si="0"/>
        <v>205667</v>
      </c>
    </row>
    <row r="21" spans="1:6" x14ac:dyDescent="0.25">
      <c r="A21" s="1" t="s">
        <v>18</v>
      </c>
      <c r="B21" s="7">
        <v>32414</v>
      </c>
      <c r="C21" s="7">
        <v>24754</v>
      </c>
      <c r="D21" s="7">
        <v>385</v>
      </c>
      <c r="E21" s="7">
        <v>22268</v>
      </c>
      <c r="F21" s="7">
        <f t="shared" si="0"/>
        <v>79821</v>
      </c>
    </row>
    <row r="22" spans="1:6" x14ac:dyDescent="0.25">
      <c r="A22" s="1" t="s">
        <v>19</v>
      </c>
      <c r="B22" s="7">
        <v>2457</v>
      </c>
      <c r="C22" s="7">
        <v>4126</v>
      </c>
      <c r="D22" s="7">
        <v>88</v>
      </c>
      <c r="E22" s="7">
        <v>987</v>
      </c>
      <c r="F22" s="7">
        <f t="shared" si="0"/>
        <v>7658</v>
      </c>
    </row>
    <row r="23" spans="1:6" x14ac:dyDescent="0.25">
      <c r="A23" s="1" t="s">
        <v>20</v>
      </c>
      <c r="B23" s="7">
        <v>4634</v>
      </c>
      <c r="C23" s="7">
        <v>22225</v>
      </c>
      <c r="D23" s="7">
        <v>69</v>
      </c>
      <c r="E23" s="7">
        <v>2741</v>
      </c>
      <c r="F23" s="7">
        <f t="shared" si="0"/>
        <v>29669</v>
      </c>
    </row>
    <row r="24" spans="1:6" x14ac:dyDescent="0.25">
      <c r="A24" s="1" t="s">
        <v>21</v>
      </c>
      <c r="B24" s="7">
        <v>6277</v>
      </c>
      <c r="C24" s="7">
        <v>3406</v>
      </c>
      <c r="D24" s="7">
        <v>59</v>
      </c>
      <c r="E24" s="7">
        <v>1750</v>
      </c>
      <c r="F24" s="7">
        <f t="shared" si="0"/>
        <v>11492</v>
      </c>
    </row>
    <row r="25" spans="1:6" x14ac:dyDescent="0.25">
      <c r="A25" s="1" t="s">
        <v>22</v>
      </c>
      <c r="B25" s="7">
        <v>2565</v>
      </c>
      <c r="C25" s="7">
        <v>2886</v>
      </c>
      <c r="D25" s="7">
        <v>31</v>
      </c>
      <c r="E25" s="7">
        <v>1196</v>
      </c>
      <c r="F25" s="7">
        <f t="shared" si="0"/>
        <v>6678</v>
      </c>
    </row>
    <row r="26" spans="1:6" x14ac:dyDescent="0.25">
      <c r="A26" s="1" t="s">
        <v>23</v>
      </c>
      <c r="B26" s="7">
        <v>4679</v>
      </c>
      <c r="C26" s="7">
        <v>3974</v>
      </c>
      <c r="D26" s="7">
        <v>65</v>
      </c>
      <c r="E26" s="7">
        <v>1167</v>
      </c>
      <c r="F26" s="7">
        <f t="shared" si="0"/>
        <v>9885</v>
      </c>
    </row>
    <row r="27" spans="1:6" x14ac:dyDescent="0.25">
      <c r="A27" s="1" t="s">
        <v>24</v>
      </c>
      <c r="B27" s="7">
        <v>2320</v>
      </c>
      <c r="C27" s="7">
        <v>4360</v>
      </c>
      <c r="D27" s="7">
        <v>24</v>
      </c>
      <c r="E27" s="7">
        <v>939</v>
      </c>
      <c r="F27" s="7">
        <f t="shared" si="0"/>
        <v>7643</v>
      </c>
    </row>
    <row r="28" spans="1:6" x14ac:dyDescent="0.25">
      <c r="A28" s="1" t="s">
        <v>25</v>
      </c>
      <c r="B28" s="7">
        <v>5113</v>
      </c>
      <c r="C28" s="7">
        <v>4605</v>
      </c>
      <c r="D28" s="7">
        <v>125</v>
      </c>
      <c r="E28" s="7">
        <v>2118</v>
      </c>
      <c r="F28" s="7">
        <f t="shared" si="0"/>
        <v>11961</v>
      </c>
    </row>
    <row r="29" spans="1:6" x14ac:dyDescent="0.25">
      <c r="A29" s="1" t="s">
        <v>26</v>
      </c>
      <c r="B29" s="7">
        <v>6180</v>
      </c>
      <c r="C29" s="7">
        <v>7875</v>
      </c>
      <c r="D29" s="7">
        <v>62</v>
      </c>
      <c r="E29" s="7">
        <v>3232</v>
      </c>
      <c r="F29" s="7">
        <f t="shared" si="0"/>
        <v>17349</v>
      </c>
    </row>
    <row r="30" spans="1:6" x14ac:dyDescent="0.25">
      <c r="A30" s="1" t="s">
        <v>27</v>
      </c>
      <c r="B30" s="7">
        <v>53584</v>
      </c>
      <c r="C30" s="7">
        <v>41865</v>
      </c>
      <c r="D30" s="7">
        <v>925</v>
      </c>
      <c r="E30" s="7">
        <v>34632</v>
      </c>
      <c r="F30" s="7">
        <f t="shared" si="0"/>
        <v>131006</v>
      </c>
    </row>
    <row r="31" spans="1:6" x14ac:dyDescent="0.25">
      <c r="A31" s="1" t="s">
        <v>28</v>
      </c>
      <c r="B31" s="7">
        <v>26558</v>
      </c>
      <c r="C31" s="7">
        <v>18059</v>
      </c>
      <c r="D31" s="7">
        <v>198</v>
      </c>
      <c r="E31" s="7">
        <v>13263</v>
      </c>
      <c r="F31" s="7">
        <f t="shared" si="0"/>
        <v>58078</v>
      </c>
    </row>
    <row r="32" spans="1:6" x14ac:dyDescent="0.25">
      <c r="A32" s="1" t="s">
        <v>29</v>
      </c>
      <c r="B32" s="7">
        <v>261632</v>
      </c>
      <c r="C32" s="7">
        <v>320682</v>
      </c>
      <c r="D32" s="7">
        <v>5129</v>
      </c>
      <c r="E32" s="7">
        <v>236746</v>
      </c>
      <c r="F32" s="7">
        <f t="shared" si="0"/>
        <v>824189</v>
      </c>
    </row>
    <row r="33" spans="1:6" x14ac:dyDescent="0.25">
      <c r="A33" s="1" t="s">
        <v>30</v>
      </c>
      <c r="B33" s="7">
        <v>5934</v>
      </c>
      <c r="C33" s="7">
        <v>3395</v>
      </c>
      <c r="D33" s="7">
        <v>23</v>
      </c>
      <c r="E33" s="7">
        <v>1143</v>
      </c>
      <c r="F33" s="7">
        <f t="shared" si="0"/>
        <v>10495</v>
      </c>
    </row>
    <row r="34" spans="1:6" x14ac:dyDescent="0.25">
      <c r="A34" s="1" t="s">
        <v>31</v>
      </c>
      <c r="B34" s="7">
        <v>50815</v>
      </c>
      <c r="C34" s="7">
        <v>29662</v>
      </c>
      <c r="D34" s="7">
        <v>657</v>
      </c>
      <c r="E34" s="7">
        <v>28917</v>
      </c>
      <c r="F34" s="7">
        <f t="shared" si="0"/>
        <v>110051</v>
      </c>
    </row>
    <row r="35" spans="1:6" x14ac:dyDescent="0.25">
      <c r="A35" s="1" t="s">
        <v>32</v>
      </c>
      <c r="B35" s="7">
        <v>9911</v>
      </c>
      <c r="C35" s="7">
        <v>14571</v>
      </c>
      <c r="D35" s="7">
        <v>67</v>
      </c>
      <c r="E35" s="7">
        <v>2869</v>
      </c>
      <c r="F35" s="7">
        <f t="shared" si="0"/>
        <v>27418</v>
      </c>
    </row>
    <row r="36" spans="1:6" x14ac:dyDescent="0.25">
      <c r="A36" s="1" t="s">
        <v>33</v>
      </c>
      <c r="B36" s="7">
        <v>2873</v>
      </c>
      <c r="C36" s="7">
        <v>5562</v>
      </c>
      <c r="D36" s="7">
        <v>26</v>
      </c>
      <c r="E36" s="7">
        <v>1084</v>
      </c>
      <c r="F36" s="7">
        <f t="shared" si="0"/>
        <v>9545</v>
      </c>
    </row>
    <row r="37" spans="1:6" x14ac:dyDescent="0.25">
      <c r="A37" s="1" t="s">
        <v>34</v>
      </c>
      <c r="B37" s="7">
        <v>1550</v>
      </c>
      <c r="C37" s="7">
        <v>2437</v>
      </c>
      <c r="D37" s="7">
        <v>11</v>
      </c>
      <c r="E37" s="7">
        <v>299</v>
      </c>
      <c r="F37" s="7">
        <f t="shared" si="0"/>
        <v>4297</v>
      </c>
    </row>
    <row r="38" spans="1:6" x14ac:dyDescent="0.25">
      <c r="A38" s="1" t="s">
        <v>35</v>
      </c>
      <c r="B38" s="7">
        <v>99534</v>
      </c>
      <c r="C38" s="7">
        <v>69379</v>
      </c>
      <c r="D38" s="7">
        <v>960</v>
      </c>
      <c r="E38" s="7">
        <v>56638</v>
      </c>
      <c r="F38" s="7">
        <f t="shared" si="0"/>
        <v>226511</v>
      </c>
    </row>
    <row r="39" spans="1:6" x14ac:dyDescent="0.25">
      <c r="A39" s="1" t="s">
        <v>36</v>
      </c>
      <c r="B39" s="7">
        <v>188336</v>
      </c>
      <c r="C39" s="7">
        <v>117902</v>
      </c>
      <c r="D39" s="7">
        <v>2029</v>
      </c>
      <c r="E39" s="7">
        <v>128740</v>
      </c>
      <c r="F39" s="7">
        <f t="shared" si="0"/>
        <v>437007</v>
      </c>
    </row>
    <row r="40" spans="1:6" x14ac:dyDescent="0.25">
      <c r="A40" s="1" t="s">
        <v>37</v>
      </c>
      <c r="B40" s="7">
        <v>57161</v>
      </c>
      <c r="C40" s="7">
        <v>108006</v>
      </c>
      <c r="D40" s="7">
        <v>1202</v>
      </c>
      <c r="E40" s="7">
        <v>39745</v>
      </c>
      <c r="F40" s="7">
        <f t="shared" si="0"/>
        <v>206114</v>
      </c>
    </row>
    <row r="41" spans="1:6" x14ac:dyDescent="0.25">
      <c r="A41" s="1" t="s">
        <v>38</v>
      </c>
      <c r="B41" s="7">
        <v>12629</v>
      </c>
      <c r="C41" s="7">
        <v>9232</v>
      </c>
      <c r="D41" s="7">
        <v>416</v>
      </c>
      <c r="E41" s="7">
        <v>4921</v>
      </c>
      <c r="F41" s="7">
        <f t="shared" si="0"/>
        <v>27198</v>
      </c>
    </row>
    <row r="42" spans="1:6" x14ac:dyDescent="0.25">
      <c r="A42" s="1" t="s">
        <v>39</v>
      </c>
      <c r="B42" s="7">
        <v>768</v>
      </c>
      <c r="C42" s="7">
        <v>3177</v>
      </c>
      <c r="D42" s="7">
        <v>5</v>
      </c>
      <c r="E42" s="7">
        <v>353</v>
      </c>
      <c r="F42" s="7">
        <f t="shared" si="0"/>
        <v>4303</v>
      </c>
    </row>
    <row r="43" spans="1:6" x14ac:dyDescent="0.25">
      <c r="A43" s="1" t="s">
        <v>40</v>
      </c>
      <c r="B43" s="7">
        <v>3371</v>
      </c>
      <c r="C43" s="7">
        <v>7013</v>
      </c>
      <c r="D43" s="7">
        <v>35</v>
      </c>
      <c r="E43" s="7">
        <v>1283</v>
      </c>
      <c r="F43" s="7">
        <f t="shared" si="0"/>
        <v>11702</v>
      </c>
    </row>
    <row r="44" spans="1:6" x14ac:dyDescent="0.25">
      <c r="A44" s="1" t="s">
        <v>41</v>
      </c>
      <c r="B44" s="7">
        <v>102013</v>
      </c>
      <c r="C44" s="7">
        <v>71655</v>
      </c>
      <c r="D44" s="7">
        <v>1247</v>
      </c>
      <c r="E44" s="7">
        <v>60505</v>
      </c>
      <c r="F44" s="7">
        <f t="shared" si="0"/>
        <v>235420</v>
      </c>
    </row>
    <row r="45" spans="1:6" x14ac:dyDescent="0.25">
      <c r="A45" s="1" t="s">
        <v>42</v>
      </c>
      <c r="B45" s="7">
        <v>103713</v>
      </c>
      <c r="C45" s="7">
        <v>77574</v>
      </c>
      <c r="D45" s="7">
        <v>1189</v>
      </c>
      <c r="E45" s="7">
        <v>52065</v>
      </c>
      <c r="F45" s="7">
        <f t="shared" si="0"/>
        <v>234541</v>
      </c>
    </row>
    <row r="46" spans="1:6" x14ac:dyDescent="0.25">
      <c r="A46" s="1" t="s">
        <v>43</v>
      </c>
      <c r="B46" s="7">
        <v>55598</v>
      </c>
      <c r="C46" s="7">
        <v>27973</v>
      </c>
      <c r="D46" s="7">
        <v>692</v>
      </c>
      <c r="E46" s="7">
        <v>27541</v>
      </c>
      <c r="F46" s="7">
        <f t="shared" si="0"/>
        <v>111804</v>
      </c>
    </row>
    <row r="47" spans="1:6" x14ac:dyDescent="0.25">
      <c r="A47" s="1" t="s">
        <v>44</v>
      </c>
      <c r="B47" s="7">
        <v>366839</v>
      </c>
      <c r="C47" s="7">
        <v>579043</v>
      </c>
      <c r="D47" s="7">
        <v>4608</v>
      </c>
      <c r="E47" s="7">
        <v>428045</v>
      </c>
      <c r="F47" s="7">
        <f t="shared" si="0"/>
        <v>1378535</v>
      </c>
    </row>
    <row r="48" spans="1:6" x14ac:dyDescent="0.25">
      <c r="A48" s="1" t="s">
        <v>45</v>
      </c>
      <c r="B48" s="7">
        <v>21465</v>
      </c>
      <c r="C48" s="7">
        <v>17546</v>
      </c>
      <c r="D48" s="7">
        <v>487</v>
      </c>
      <c r="E48" s="7">
        <v>15441</v>
      </c>
      <c r="F48" s="7">
        <f t="shared" si="0"/>
        <v>54939</v>
      </c>
    </row>
    <row r="49" spans="1:6" x14ac:dyDescent="0.25">
      <c r="A49" s="1" t="s">
        <v>46</v>
      </c>
      <c r="B49" s="7">
        <v>37166</v>
      </c>
      <c r="C49" s="7">
        <v>14189</v>
      </c>
      <c r="D49" s="7">
        <v>470</v>
      </c>
      <c r="E49" s="7">
        <v>12924</v>
      </c>
      <c r="F49" s="7">
        <f t="shared" si="0"/>
        <v>64749</v>
      </c>
    </row>
    <row r="50" spans="1:6" x14ac:dyDescent="0.25">
      <c r="A50" s="1" t="s">
        <v>47</v>
      </c>
      <c r="B50" s="7">
        <v>75679</v>
      </c>
      <c r="C50" s="7">
        <v>24457</v>
      </c>
      <c r="D50" s="7">
        <v>1091</v>
      </c>
      <c r="E50" s="7">
        <v>29032</v>
      </c>
      <c r="F50" s="7">
        <f t="shared" si="0"/>
        <v>130259</v>
      </c>
    </row>
    <row r="51" spans="1:6" x14ac:dyDescent="0.25">
      <c r="A51" s="1" t="s">
        <v>48</v>
      </c>
      <c r="B51" s="7">
        <v>8635</v>
      </c>
      <c r="C51" s="7">
        <v>7340</v>
      </c>
      <c r="D51" s="7">
        <v>109</v>
      </c>
      <c r="E51" s="7">
        <v>3881</v>
      </c>
      <c r="F51" s="7">
        <f t="shared" si="0"/>
        <v>19965</v>
      </c>
    </row>
    <row r="52" spans="1:6" x14ac:dyDescent="0.25">
      <c r="A52" s="1" t="s">
        <v>49</v>
      </c>
      <c r="B52" s="7">
        <v>216507</v>
      </c>
      <c r="C52" s="7">
        <v>340936</v>
      </c>
      <c r="D52" s="7">
        <v>4619</v>
      </c>
      <c r="E52" s="7">
        <v>247300</v>
      </c>
      <c r="F52" s="7">
        <f t="shared" si="0"/>
        <v>809362</v>
      </c>
    </row>
    <row r="53" spans="1:6" x14ac:dyDescent="0.25">
      <c r="A53" s="1" t="s">
        <v>50</v>
      </c>
      <c r="B53" s="7">
        <v>47503</v>
      </c>
      <c r="C53" s="7">
        <v>87847</v>
      </c>
      <c r="D53" s="7">
        <v>728</v>
      </c>
      <c r="E53" s="7">
        <v>69956</v>
      </c>
      <c r="F53" s="7">
        <f t="shared" si="0"/>
        <v>206034</v>
      </c>
    </row>
    <row r="54" spans="1:6" x14ac:dyDescent="0.25">
      <c r="A54" s="1" t="s">
        <v>51</v>
      </c>
      <c r="B54" s="7">
        <v>259316</v>
      </c>
      <c r="C54" s="7">
        <v>386113</v>
      </c>
      <c r="D54" s="7">
        <v>5513</v>
      </c>
      <c r="E54" s="7">
        <v>266041</v>
      </c>
      <c r="F54" s="7">
        <f t="shared" si="0"/>
        <v>916983</v>
      </c>
    </row>
    <row r="55" spans="1:6" x14ac:dyDescent="0.25">
      <c r="A55" s="1" t="s">
        <v>52</v>
      </c>
      <c r="B55" s="7">
        <v>131336</v>
      </c>
      <c r="C55" s="7">
        <v>105832</v>
      </c>
      <c r="D55" s="7">
        <v>2286</v>
      </c>
      <c r="E55" s="7">
        <v>98827</v>
      </c>
      <c r="F55" s="7">
        <f t="shared" si="0"/>
        <v>338281</v>
      </c>
    </row>
    <row r="56" spans="1:6" x14ac:dyDescent="0.25">
      <c r="A56" s="1" t="s">
        <v>53</v>
      </c>
      <c r="B56" s="7">
        <v>228866</v>
      </c>
      <c r="C56" s="7">
        <v>227720</v>
      </c>
      <c r="D56" s="7">
        <v>4623</v>
      </c>
      <c r="E56" s="7">
        <v>183244</v>
      </c>
      <c r="F56" s="7">
        <f t="shared" si="0"/>
        <v>644453</v>
      </c>
    </row>
    <row r="57" spans="1:6" x14ac:dyDescent="0.25">
      <c r="A57" s="1" t="s">
        <v>54</v>
      </c>
      <c r="B57" s="7">
        <v>143600</v>
      </c>
      <c r="C57" s="7">
        <v>143350</v>
      </c>
      <c r="D57" s="7">
        <v>2167</v>
      </c>
      <c r="E57" s="7">
        <v>113081</v>
      </c>
      <c r="F57" s="7">
        <f t="shared" si="0"/>
        <v>402198</v>
      </c>
    </row>
    <row r="58" spans="1:6" x14ac:dyDescent="0.25">
      <c r="A58" s="1" t="s">
        <v>55</v>
      </c>
      <c r="B58" s="7">
        <v>18243</v>
      </c>
      <c r="C58" s="7">
        <v>19088</v>
      </c>
      <c r="D58" s="7">
        <v>211</v>
      </c>
      <c r="E58" s="7">
        <v>8981</v>
      </c>
      <c r="F58" s="7">
        <f t="shared" si="0"/>
        <v>46523</v>
      </c>
    </row>
    <row r="59" spans="1:6" x14ac:dyDescent="0.25">
      <c r="A59" s="1" t="s">
        <v>56</v>
      </c>
      <c r="B59" s="7">
        <v>75441</v>
      </c>
      <c r="C59" s="7">
        <v>24973</v>
      </c>
      <c r="D59" s="7">
        <v>1131</v>
      </c>
      <c r="E59" s="7">
        <v>27057</v>
      </c>
      <c r="F59" s="7">
        <f t="shared" si="0"/>
        <v>128602</v>
      </c>
    </row>
    <row r="60" spans="1:6" x14ac:dyDescent="0.25">
      <c r="A60" s="1" t="s">
        <v>57</v>
      </c>
      <c r="B60" s="7">
        <v>131530</v>
      </c>
      <c r="C60" s="7">
        <v>93584</v>
      </c>
      <c r="D60" s="7">
        <v>1848</v>
      </c>
      <c r="E60" s="7">
        <v>81400</v>
      </c>
      <c r="F60" s="7">
        <f t="shared" si="0"/>
        <v>308362</v>
      </c>
    </row>
    <row r="61" spans="1:6" x14ac:dyDescent="0.25">
      <c r="A61" s="1" t="s">
        <v>58</v>
      </c>
      <c r="B61" s="7">
        <v>107887</v>
      </c>
      <c r="C61" s="7">
        <v>96262</v>
      </c>
      <c r="D61" s="7">
        <v>1737</v>
      </c>
      <c r="E61" s="7">
        <v>80730</v>
      </c>
      <c r="F61" s="7">
        <f t="shared" si="0"/>
        <v>286616</v>
      </c>
    </row>
    <row r="62" spans="1:6" x14ac:dyDescent="0.25">
      <c r="A62" s="1" t="s">
        <v>59</v>
      </c>
      <c r="B62" s="7">
        <v>94592</v>
      </c>
      <c r="C62" s="7">
        <v>41858</v>
      </c>
      <c r="D62" s="7">
        <v>1341</v>
      </c>
      <c r="E62" s="7">
        <v>41309</v>
      </c>
      <c r="F62" s="7">
        <f t="shared" si="0"/>
        <v>179100</v>
      </c>
    </row>
    <row r="63" spans="1:6" x14ac:dyDescent="0.25">
      <c r="A63" s="1" t="s">
        <v>60</v>
      </c>
      <c r="B63" s="7">
        <v>63130</v>
      </c>
      <c r="C63" s="7">
        <v>78077</v>
      </c>
      <c r="D63" s="7">
        <v>901</v>
      </c>
      <c r="E63" s="7">
        <v>54100</v>
      </c>
      <c r="F63" s="7">
        <f t="shared" si="0"/>
        <v>196208</v>
      </c>
    </row>
    <row r="64" spans="1:6" x14ac:dyDescent="0.25">
      <c r="A64" s="1" t="s">
        <v>61</v>
      </c>
      <c r="B64" s="7">
        <v>50063</v>
      </c>
      <c r="C64" s="7">
        <v>23096</v>
      </c>
      <c r="D64" s="7">
        <v>338</v>
      </c>
      <c r="E64" s="7">
        <v>19442</v>
      </c>
      <c r="F64" s="7">
        <f t="shared" si="0"/>
        <v>92939</v>
      </c>
    </row>
    <row r="65" spans="1:6" x14ac:dyDescent="0.25">
      <c r="A65" s="1" t="s">
        <v>62</v>
      </c>
      <c r="B65" s="7">
        <v>11356</v>
      </c>
      <c r="C65" s="7">
        <v>9932</v>
      </c>
      <c r="D65" s="7">
        <v>160</v>
      </c>
      <c r="E65" s="7">
        <v>3858</v>
      </c>
      <c r="F65" s="7">
        <f t="shared" si="0"/>
        <v>25306</v>
      </c>
    </row>
    <row r="66" spans="1:6" x14ac:dyDescent="0.25">
      <c r="A66" s="1" t="s">
        <v>63</v>
      </c>
      <c r="B66" s="7">
        <v>4415</v>
      </c>
      <c r="C66" s="7">
        <v>6582</v>
      </c>
      <c r="D66" s="7">
        <v>57</v>
      </c>
      <c r="E66" s="7">
        <v>1212</v>
      </c>
      <c r="F66" s="7">
        <f t="shared" si="0"/>
        <v>12266</v>
      </c>
    </row>
    <row r="67" spans="1:6" x14ac:dyDescent="0.25">
      <c r="A67" s="1" t="s">
        <v>64</v>
      </c>
      <c r="B67" s="7">
        <v>3078</v>
      </c>
      <c r="C67" s="7">
        <v>3379</v>
      </c>
      <c r="D67" s="7">
        <v>20</v>
      </c>
      <c r="E67" s="7">
        <v>745</v>
      </c>
      <c r="F67" s="7">
        <f t="shared" si="0"/>
        <v>7222</v>
      </c>
    </row>
    <row r="68" spans="1:6" x14ac:dyDescent="0.25">
      <c r="A68" s="1" t="s">
        <v>65</v>
      </c>
      <c r="B68" s="7">
        <v>130682</v>
      </c>
      <c r="C68" s="7">
        <v>126247</v>
      </c>
      <c r="D68" s="7">
        <v>2187</v>
      </c>
      <c r="E68" s="7">
        <v>108920</v>
      </c>
      <c r="F68" s="7">
        <f t="shared" si="0"/>
        <v>368036</v>
      </c>
    </row>
    <row r="69" spans="1:6" x14ac:dyDescent="0.25">
      <c r="A69" s="1" t="s">
        <v>66</v>
      </c>
      <c r="B69" s="7">
        <v>8089</v>
      </c>
      <c r="C69" s="7">
        <v>8454</v>
      </c>
      <c r="D69" s="7">
        <v>96</v>
      </c>
      <c r="E69" s="7">
        <v>3413</v>
      </c>
      <c r="F69" s="7">
        <f t="shared" si="0"/>
        <v>20052</v>
      </c>
    </row>
    <row r="70" spans="1:6" x14ac:dyDescent="0.25">
      <c r="A70" s="1" t="s">
        <v>67</v>
      </c>
      <c r="B70" s="7">
        <v>28463</v>
      </c>
      <c r="C70" s="7">
        <v>9619</v>
      </c>
      <c r="D70" s="7">
        <v>332</v>
      </c>
      <c r="E70" s="7">
        <v>9662</v>
      </c>
      <c r="F70" s="7">
        <f t="shared" ref="F70:F71" si="1">SUM(B70:E70)</f>
        <v>48076</v>
      </c>
    </row>
    <row r="71" spans="1:6" ht="15.75" thickBot="1" x14ac:dyDescent="0.3">
      <c r="A71" s="1" t="s">
        <v>68</v>
      </c>
      <c r="B71" s="7">
        <v>7977</v>
      </c>
      <c r="C71" s="7">
        <v>5455</v>
      </c>
      <c r="D71" s="7">
        <v>65</v>
      </c>
      <c r="E71" s="7">
        <v>2194</v>
      </c>
      <c r="F71" s="7">
        <f t="shared" si="1"/>
        <v>15691</v>
      </c>
    </row>
    <row r="72" spans="1:6" ht="16.5" thickTop="1" thickBot="1" x14ac:dyDescent="0.3">
      <c r="A72" s="3" t="s">
        <v>1</v>
      </c>
      <c r="B72" s="9">
        <f>SUM(B5:B71)</f>
        <v>4556401</v>
      </c>
      <c r="C72" s="9">
        <f>SUM(C5:C71)</f>
        <v>4815369</v>
      </c>
      <c r="D72" s="9">
        <f>SUM(D5:D71)</f>
        <v>72166</v>
      </c>
      <c r="E72" s="9">
        <f>SUM(E5:E71)</f>
        <v>3474166</v>
      </c>
      <c r="F72" s="9">
        <f>SUM(F5:F71)</f>
        <v>12918102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opLeftCell="A33" workbookViewId="0">
      <selection activeCell="C14" sqref="C14"/>
    </sheetView>
  </sheetViews>
  <sheetFormatPr defaultColWidth="15.7109375"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customHeight="1" x14ac:dyDescent="0.3">
      <c r="A1" s="14" t="s">
        <v>77</v>
      </c>
      <c r="B1" s="15"/>
      <c r="C1" s="15"/>
      <c r="D1" s="15"/>
      <c r="E1" s="15"/>
      <c r="F1" s="16"/>
    </row>
    <row r="2" spans="1:6" ht="15" customHeight="1" x14ac:dyDescent="0.25">
      <c r="A2" s="17" t="s">
        <v>100</v>
      </c>
      <c r="B2" s="18"/>
      <c r="C2" s="18"/>
      <c r="D2" s="18"/>
      <c r="E2" s="18"/>
      <c r="F2" s="19"/>
    </row>
    <row r="3" spans="1:6" ht="15" customHeight="1" x14ac:dyDescent="0.25">
      <c r="A3" s="20" t="s">
        <v>73</v>
      </c>
      <c r="B3" s="21"/>
      <c r="C3" s="21"/>
      <c r="D3" s="21"/>
      <c r="E3" s="21"/>
      <c r="F3" s="22"/>
    </row>
    <row r="4" spans="1:6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7">
        <v>48938</v>
      </c>
      <c r="C5" s="7">
        <v>82501</v>
      </c>
      <c r="D5" s="7">
        <v>1278</v>
      </c>
      <c r="E5" s="7">
        <v>40779</v>
      </c>
      <c r="F5" s="10">
        <f>SUM(B5:E5)</f>
        <v>173496</v>
      </c>
    </row>
    <row r="6" spans="1:6" x14ac:dyDescent="0.25">
      <c r="A6" s="1" t="s">
        <v>3</v>
      </c>
      <c r="B6" s="7">
        <v>7878</v>
      </c>
      <c r="C6" s="7">
        <v>5635</v>
      </c>
      <c r="D6" s="7">
        <v>43</v>
      </c>
      <c r="E6" s="7">
        <v>1619</v>
      </c>
      <c r="F6" s="10">
        <f t="shared" ref="F6:F69" si="0">SUM(B6:E6)</f>
        <v>15175</v>
      </c>
    </row>
    <row r="7" spans="1:6" x14ac:dyDescent="0.25">
      <c r="A7" s="1" t="s">
        <v>4</v>
      </c>
      <c r="B7" s="7">
        <v>61058</v>
      </c>
      <c r="C7" s="7">
        <v>30532</v>
      </c>
      <c r="D7" s="7">
        <v>909</v>
      </c>
      <c r="E7" s="7">
        <v>25240</v>
      </c>
      <c r="F7" s="10">
        <f t="shared" si="0"/>
        <v>117739</v>
      </c>
    </row>
    <row r="8" spans="1:6" x14ac:dyDescent="0.25">
      <c r="A8" s="1" t="s">
        <v>5</v>
      </c>
      <c r="B8" s="7">
        <v>7500</v>
      </c>
      <c r="C8" s="7">
        <v>6143</v>
      </c>
      <c r="D8" s="7">
        <v>71</v>
      </c>
      <c r="E8" s="7">
        <v>2423</v>
      </c>
      <c r="F8" s="10">
        <f t="shared" si="0"/>
        <v>16137</v>
      </c>
    </row>
    <row r="9" spans="1:6" x14ac:dyDescent="0.25">
      <c r="A9" s="1" t="s">
        <v>6</v>
      </c>
      <c r="B9" s="7">
        <v>171626</v>
      </c>
      <c r="C9" s="7">
        <v>126444</v>
      </c>
      <c r="D9" s="7">
        <v>3232</v>
      </c>
      <c r="E9" s="7">
        <v>106873</v>
      </c>
      <c r="F9" s="10">
        <f t="shared" si="0"/>
        <v>408175</v>
      </c>
    </row>
    <row r="10" spans="1:6" x14ac:dyDescent="0.25">
      <c r="A10" s="1" t="s">
        <v>7</v>
      </c>
      <c r="B10" s="7">
        <v>248914</v>
      </c>
      <c r="C10" s="7">
        <v>580487</v>
      </c>
      <c r="D10" s="7">
        <v>5123</v>
      </c>
      <c r="E10" s="7">
        <v>324711</v>
      </c>
      <c r="F10" s="10">
        <f t="shared" si="0"/>
        <v>1159235</v>
      </c>
    </row>
    <row r="11" spans="1:6" x14ac:dyDescent="0.25">
      <c r="A11" s="1" t="s">
        <v>8</v>
      </c>
      <c r="B11" s="7">
        <v>2408</v>
      </c>
      <c r="C11" s="7">
        <v>5210</v>
      </c>
      <c r="D11" s="7">
        <v>29</v>
      </c>
      <c r="E11" s="7">
        <v>954</v>
      </c>
      <c r="F11" s="10">
        <f t="shared" si="0"/>
        <v>8601</v>
      </c>
    </row>
    <row r="12" spans="1:6" x14ac:dyDescent="0.25">
      <c r="A12" s="1" t="s">
        <v>9</v>
      </c>
      <c r="B12" s="7">
        <v>58632</v>
      </c>
      <c r="C12" s="7">
        <v>35998</v>
      </c>
      <c r="D12" s="7">
        <v>868</v>
      </c>
      <c r="E12" s="7">
        <v>35408</v>
      </c>
      <c r="F12" s="10">
        <f t="shared" si="0"/>
        <v>130906</v>
      </c>
    </row>
    <row r="13" spans="1:6" x14ac:dyDescent="0.25">
      <c r="A13" s="1" t="s">
        <v>10</v>
      </c>
      <c r="B13" s="7">
        <v>49989</v>
      </c>
      <c r="C13" s="7">
        <v>29328</v>
      </c>
      <c r="D13" s="7">
        <v>684</v>
      </c>
      <c r="E13" s="7">
        <v>26250</v>
      </c>
      <c r="F13" s="10">
        <f t="shared" si="0"/>
        <v>106251</v>
      </c>
    </row>
    <row r="14" spans="1:6" x14ac:dyDescent="0.25">
      <c r="A14" s="1" t="s">
        <v>11</v>
      </c>
      <c r="B14" s="7">
        <v>80847</v>
      </c>
      <c r="C14" s="7">
        <v>32919</v>
      </c>
      <c r="D14" s="7">
        <v>997</v>
      </c>
      <c r="E14" s="7">
        <v>35412</v>
      </c>
      <c r="F14" s="10">
        <f t="shared" si="0"/>
        <v>150175</v>
      </c>
    </row>
    <row r="15" spans="1:6" x14ac:dyDescent="0.25">
      <c r="A15" s="1" t="s">
        <v>12</v>
      </c>
      <c r="B15" s="7">
        <v>104372</v>
      </c>
      <c r="C15" s="7">
        <v>47829</v>
      </c>
      <c r="D15" s="7">
        <v>903</v>
      </c>
      <c r="E15" s="7">
        <v>51265</v>
      </c>
      <c r="F15" s="10">
        <f t="shared" si="0"/>
        <v>204369</v>
      </c>
    </row>
    <row r="16" spans="1:6" x14ac:dyDescent="0.25">
      <c r="A16" s="1" t="s">
        <v>13</v>
      </c>
      <c r="B16" s="7">
        <v>17505</v>
      </c>
      <c r="C16" s="7">
        <v>14354</v>
      </c>
      <c r="D16" s="7">
        <v>231</v>
      </c>
      <c r="E16" s="7">
        <v>6976</v>
      </c>
      <c r="F16" s="10">
        <f t="shared" si="0"/>
        <v>39066</v>
      </c>
    </row>
    <row r="17" spans="1:6" x14ac:dyDescent="0.25">
      <c r="A17" s="1" t="s">
        <v>14</v>
      </c>
      <c r="B17" s="7">
        <v>5406</v>
      </c>
      <c r="C17" s="7">
        <v>7314</v>
      </c>
      <c r="D17" s="7">
        <v>49</v>
      </c>
      <c r="E17" s="7">
        <v>3687</v>
      </c>
      <c r="F17" s="10">
        <f t="shared" si="0"/>
        <v>16456</v>
      </c>
    </row>
    <row r="18" spans="1:6" x14ac:dyDescent="0.25">
      <c r="A18" s="1" t="s">
        <v>15</v>
      </c>
      <c r="B18" s="7">
        <v>3689</v>
      </c>
      <c r="C18" s="7">
        <v>4282</v>
      </c>
      <c r="D18" s="7">
        <v>37</v>
      </c>
      <c r="E18" s="7">
        <v>1503</v>
      </c>
      <c r="F18" s="10">
        <f t="shared" si="0"/>
        <v>9511</v>
      </c>
    </row>
    <row r="19" spans="1:6" x14ac:dyDescent="0.25">
      <c r="A19" s="1" t="s">
        <v>16</v>
      </c>
      <c r="B19" s="7">
        <v>216736</v>
      </c>
      <c r="C19" s="7">
        <v>236519</v>
      </c>
      <c r="D19" s="7">
        <v>4069</v>
      </c>
      <c r="E19" s="7">
        <v>125783</v>
      </c>
      <c r="F19" s="10">
        <f t="shared" si="0"/>
        <v>583107</v>
      </c>
    </row>
    <row r="20" spans="1:6" x14ac:dyDescent="0.25">
      <c r="A20" s="1" t="s">
        <v>17</v>
      </c>
      <c r="B20" s="7">
        <v>92384</v>
      </c>
      <c r="C20" s="7">
        <v>69935</v>
      </c>
      <c r="D20" s="7">
        <v>1351</v>
      </c>
      <c r="E20" s="7">
        <v>41833</v>
      </c>
      <c r="F20" s="10">
        <f t="shared" si="0"/>
        <v>205503</v>
      </c>
    </row>
    <row r="21" spans="1:6" x14ac:dyDescent="0.25">
      <c r="A21" s="1" t="s">
        <v>18</v>
      </c>
      <c r="B21" s="7">
        <v>32524</v>
      </c>
      <c r="C21" s="7">
        <v>24803</v>
      </c>
      <c r="D21" s="7">
        <v>404</v>
      </c>
      <c r="E21" s="7">
        <v>22398</v>
      </c>
      <c r="F21" s="10">
        <f t="shared" si="0"/>
        <v>80129</v>
      </c>
    </row>
    <row r="22" spans="1:6" x14ac:dyDescent="0.25">
      <c r="A22" s="1" t="s">
        <v>19</v>
      </c>
      <c r="B22" s="7">
        <v>2476</v>
      </c>
      <c r="C22" s="7">
        <v>4119</v>
      </c>
      <c r="D22" s="7">
        <v>91</v>
      </c>
      <c r="E22" s="7">
        <v>998</v>
      </c>
      <c r="F22" s="10">
        <f t="shared" si="0"/>
        <v>7684</v>
      </c>
    </row>
    <row r="23" spans="1:6" x14ac:dyDescent="0.25">
      <c r="A23" s="1" t="s">
        <v>20</v>
      </c>
      <c r="B23" s="7">
        <v>4637</v>
      </c>
      <c r="C23" s="7">
        <v>22202</v>
      </c>
      <c r="D23" s="7">
        <v>71</v>
      </c>
      <c r="E23" s="7">
        <v>2762</v>
      </c>
      <c r="F23" s="10">
        <f t="shared" si="0"/>
        <v>29672</v>
      </c>
    </row>
    <row r="24" spans="1:6" x14ac:dyDescent="0.25">
      <c r="A24" s="1" t="s">
        <v>21</v>
      </c>
      <c r="B24" s="7">
        <v>6291</v>
      </c>
      <c r="C24" s="7">
        <v>3404</v>
      </c>
      <c r="D24" s="7">
        <v>60</v>
      </c>
      <c r="E24" s="7">
        <v>1758</v>
      </c>
      <c r="F24" s="10">
        <f t="shared" si="0"/>
        <v>11513</v>
      </c>
    </row>
    <row r="25" spans="1:6" x14ac:dyDescent="0.25">
      <c r="A25" s="1" t="s">
        <v>22</v>
      </c>
      <c r="B25" s="7">
        <v>2590</v>
      </c>
      <c r="C25" s="7">
        <v>2856</v>
      </c>
      <c r="D25" s="7">
        <v>30</v>
      </c>
      <c r="E25" s="7">
        <v>1205</v>
      </c>
      <c r="F25" s="10">
        <f t="shared" si="0"/>
        <v>6681</v>
      </c>
    </row>
    <row r="26" spans="1:6" x14ac:dyDescent="0.25">
      <c r="A26" s="1" t="s">
        <v>23</v>
      </c>
      <c r="B26" s="7">
        <v>4718</v>
      </c>
      <c r="C26" s="7">
        <v>3976</v>
      </c>
      <c r="D26" s="7">
        <v>69</v>
      </c>
      <c r="E26" s="7">
        <v>1182</v>
      </c>
      <c r="F26" s="10">
        <f t="shared" si="0"/>
        <v>9945</v>
      </c>
    </row>
    <row r="27" spans="1:6" x14ac:dyDescent="0.25">
      <c r="A27" s="1" t="s">
        <v>24</v>
      </c>
      <c r="B27" s="7">
        <v>2334</v>
      </c>
      <c r="C27" s="7">
        <v>4342</v>
      </c>
      <c r="D27" s="7">
        <v>24</v>
      </c>
      <c r="E27" s="7">
        <v>945</v>
      </c>
      <c r="F27" s="10">
        <f t="shared" si="0"/>
        <v>7645</v>
      </c>
    </row>
    <row r="28" spans="1:6" x14ac:dyDescent="0.25">
      <c r="A28" s="1" t="s">
        <v>25</v>
      </c>
      <c r="B28" s="7">
        <v>5121</v>
      </c>
      <c r="C28" s="7">
        <v>4588</v>
      </c>
      <c r="D28" s="7">
        <v>121</v>
      </c>
      <c r="E28" s="7">
        <v>2141</v>
      </c>
      <c r="F28" s="10">
        <f t="shared" si="0"/>
        <v>11971</v>
      </c>
    </row>
    <row r="29" spans="1:6" x14ac:dyDescent="0.25">
      <c r="A29" s="1" t="s">
        <v>26</v>
      </c>
      <c r="B29" s="7">
        <v>6216</v>
      </c>
      <c r="C29" s="7">
        <v>7884</v>
      </c>
      <c r="D29" s="7">
        <v>64</v>
      </c>
      <c r="E29" s="7">
        <v>3265</v>
      </c>
      <c r="F29" s="10">
        <f t="shared" si="0"/>
        <v>17429</v>
      </c>
    </row>
    <row r="30" spans="1:6" x14ac:dyDescent="0.25">
      <c r="A30" s="1" t="s">
        <v>27</v>
      </c>
      <c r="B30" s="7">
        <v>53298</v>
      </c>
      <c r="C30" s="7">
        <v>41584</v>
      </c>
      <c r="D30" s="7">
        <v>946</v>
      </c>
      <c r="E30" s="7">
        <v>34379</v>
      </c>
      <c r="F30" s="10">
        <f t="shared" si="0"/>
        <v>130207</v>
      </c>
    </row>
    <row r="31" spans="1:6" x14ac:dyDescent="0.25">
      <c r="A31" s="1" t="s">
        <v>28</v>
      </c>
      <c r="B31" s="7">
        <v>26498</v>
      </c>
      <c r="C31" s="7">
        <v>17928</v>
      </c>
      <c r="D31" s="7">
        <v>195</v>
      </c>
      <c r="E31" s="7">
        <v>13277</v>
      </c>
      <c r="F31" s="10">
        <f t="shared" si="0"/>
        <v>57898</v>
      </c>
    </row>
    <row r="32" spans="1:6" x14ac:dyDescent="0.25">
      <c r="A32" s="1" t="s">
        <v>29</v>
      </c>
      <c r="B32" s="7">
        <v>261697</v>
      </c>
      <c r="C32" s="7">
        <v>320374</v>
      </c>
      <c r="D32" s="7">
        <v>5233</v>
      </c>
      <c r="E32" s="7">
        <v>237223</v>
      </c>
      <c r="F32" s="10">
        <f t="shared" si="0"/>
        <v>824527</v>
      </c>
    </row>
    <row r="33" spans="1:6" x14ac:dyDescent="0.25">
      <c r="A33" s="1" t="s">
        <v>30</v>
      </c>
      <c r="B33" s="7">
        <v>5969</v>
      </c>
      <c r="C33" s="7">
        <v>3384</v>
      </c>
      <c r="D33" s="7">
        <v>26</v>
      </c>
      <c r="E33" s="7">
        <v>1147</v>
      </c>
      <c r="F33" s="10">
        <f t="shared" si="0"/>
        <v>10526</v>
      </c>
    </row>
    <row r="34" spans="1:6" x14ac:dyDescent="0.25">
      <c r="A34" s="1" t="s">
        <v>31</v>
      </c>
      <c r="B34" s="7">
        <v>50941</v>
      </c>
      <c r="C34" s="7">
        <v>29737</v>
      </c>
      <c r="D34" s="7">
        <v>677</v>
      </c>
      <c r="E34" s="7">
        <v>29041</v>
      </c>
      <c r="F34" s="10">
        <f t="shared" si="0"/>
        <v>110396</v>
      </c>
    </row>
    <row r="35" spans="1:6" x14ac:dyDescent="0.25">
      <c r="A35" s="1" t="s">
        <v>32</v>
      </c>
      <c r="B35" s="7">
        <v>9951</v>
      </c>
      <c r="C35" s="7">
        <v>14589</v>
      </c>
      <c r="D35" s="7">
        <v>66</v>
      </c>
      <c r="E35" s="7">
        <v>2890</v>
      </c>
      <c r="F35" s="10">
        <f t="shared" si="0"/>
        <v>27496</v>
      </c>
    </row>
    <row r="36" spans="1:6" x14ac:dyDescent="0.25">
      <c r="A36" s="1" t="s">
        <v>33</v>
      </c>
      <c r="B36" s="7">
        <v>2904</v>
      </c>
      <c r="C36" s="7">
        <v>5558</v>
      </c>
      <c r="D36" s="7">
        <v>31</v>
      </c>
      <c r="E36" s="7">
        <v>1078</v>
      </c>
      <c r="F36" s="10">
        <f t="shared" si="0"/>
        <v>9571</v>
      </c>
    </row>
    <row r="37" spans="1:6" x14ac:dyDescent="0.25">
      <c r="A37" s="1" t="s">
        <v>34</v>
      </c>
      <c r="B37" s="7">
        <v>1555</v>
      </c>
      <c r="C37" s="7">
        <v>2434</v>
      </c>
      <c r="D37" s="7">
        <v>11</v>
      </c>
      <c r="E37" s="7">
        <v>300</v>
      </c>
      <c r="F37" s="10">
        <f t="shared" si="0"/>
        <v>4300</v>
      </c>
    </row>
    <row r="38" spans="1:6" x14ac:dyDescent="0.25">
      <c r="A38" s="1" t="s">
        <v>35</v>
      </c>
      <c r="B38" s="7">
        <v>99847</v>
      </c>
      <c r="C38" s="7">
        <v>69538</v>
      </c>
      <c r="D38" s="7">
        <v>977</v>
      </c>
      <c r="E38" s="7">
        <v>57001</v>
      </c>
      <c r="F38" s="10">
        <f t="shared" si="0"/>
        <v>227363</v>
      </c>
    </row>
    <row r="39" spans="1:6" x14ac:dyDescent="0.25">
      <c r="A39" s="1" t="s">
        <v>36</v>
      </c>
      <c r="B39" s="7">
        <v>187924</v>
      </c>
      <c r="C39" s="7">
        <v>117753</v>
      </c>
      <c r="D39" s="7">
        <v>2082</v>
      </c>
      <c r="E39" s="7">
        <v>128819</v>
      </c>
      <c r="F39" s="10">
        <f t="shared" si="0"/>
        <v>436578</v>
      </c>
    </row>
    <row r="40" spans="1:6" x14ac:dyDescent="0.25">
      <c r="A40" s="1" t="s">
        <v>37</v>
      </c>
      <c r="B40" s="7">
        <v>57210</v>
      </c>
      <c r="C40" s="7">
        <v>108093</v>
      </c>
      <c r="D40" s="7">
        <v>1227</v>
      </c>
      <c r="E40" s="7">
        <v>39879</v>
      </c>
      <c r="F40" s="10">
        <f t="shared" si="0"/>
        <v>206409</v>
      </c>
    </row>
    <row r="41" spans="1:6" x14ac:dyDescent="0.25">
      <c r="A41" s="1" t="s">
        <v>38</v>
      </c>
      <c r="B41" s="7">
        <v>12667</v>
      </c>
      <c r="C41" s="7">
        <v>9242</v>
      </c>
      <c r="D41" s="7">
        <v>420</v>
      </c>
      <c r="E41" s="7">
        <v>4948</v>
      </c>
      <c r="F41" s="10">
        <f t="shared" si="0"/>
        <v>27277</v>
      </c>
    </row>
    <row r="42" spans="1:6" x14ac:dyDescent="0.25">
      <c r="A42" s="1" t="s">
        <v>39</v>
      </c>
      <c r="B42" s="7">
        <v>775</v>
      </c>
      <c r="C42" s="7">
        <v>3164</v>
      </c>
      <c r="D42" s="7">
        <v>5</v>
      </c>
      <c r="E42" s="7">
        <v>355</v>
      </c>
      <c r="F42" s="10">
        <f t="shared" si="0"/>
        <v>4299</v>
      </c>
    </row>
    <row r="43" spans="1:6" x14ac:dyDescent="0.25">
      <c r="A43" s="1" t="s">
        <v>40</v>
      </c>
      <c r="B43" s="7">
        <v>3387</v>
      </c>
      <c r="C43" s="7">
        <v>7009</v>
      </c>
      <c r="D43" s="7">
        <v>36</v>
      </c>
      <c r="E43" s="7">
        <v>1301</v>
      </c>
      <c r="F43" s="10">
        <f t="shared" si="0"/>
        <v>11733</v>
      </c>
    </row>
    <row r="44" spans="1:6" x14ac:dyDescent="0.25">
      <c r="A44" s="1" t="s">
        <v>41</v>
      </c>
      <c r="B44" s="7">
        <v>102222</v>
      </c>
      <c r="C44" s="7">
        <v>71861</v>
      </c>
      <c r="D44" s="7">
        <v>1306</v>
      </c>
      <c r="E44" s="7">
        <v>60829</v>
      </c>
      <c r="F44" s="10">
        <f t="shared" si="0"/>
        <v>236218</v>
      </c>
    </row>
    <row r="45" spans="1:6" x14ac:dyDescent="0.25">
      <c r="A45" s="1" t="s">
        <v>42</v>
      </c>
      <c r="B45" s="7">
        <v>104052</v>
      </c>
      <c r="C45" s="7">
        <v>77720</v>
      </c>
      <c r="D45" s="7">
        <v>1158</v>
      </c>
      <c r="E45" s="7">
        <v>52435</v>
      </c>
      <c r="F45" s="10">
        <f t="shared" si="0"/>
        <v>235365</v>
      </c>
    </row>
    <row r="46" spans="1:6" x14ac:dyDescent="0.25">
      <c r="A46" s="1" t="s">
        <v>43</v>
      </c>
      <c r="B46" s="7">
        <v>55651</v>
      </c>
      <c r="C46" s="7">
        <v>28036</v>
      </c>
      <c r="D46" s="7">
        <v>722</v>
      </c>
      <c r="E46" s="7">
        <v>27639</v>
      </c>
      <c r="F46" s="10">
        <f t="shared" si="0"/>
        <v>112048</v>
      </c>
    </row>
    <row r="47" spans="1:6" x14ac:dyDescent="0.25">
      <c r="A47" s="1" t="s">
        <v>44</v>
      </c>
      <c r="B47" s="7">
        <v>366913</v>
      </c>
      <c r="C47" s="7">
        <v>579759</v>
      </c>
      <c r="D47" s="7">
        <v>4888</v>
      </c>
      <c r="E47" s="7">
        <v>429395</v>
      </c>
      <c r="F47" s="10">
        <f t="shared" si="0"/>
        <v>1380955</v>
      </c>
    </row>
    <row r="48" spans="1:6" x14ac:dyDescent="0.25">
      <c r="A48" s="1" t="s">
        <v>45</v>
      </c>
      <c r="B48" s="7">
        <v>21126</v>
      </c>
      <c r="C48" s="7">
        <v>17327</v>
      </c>
      <c r="D48" s="7">
        <v>493</v>
      </c>
      <c r="E48" s="7">
        <v>15133</v>
      </c>
      <c r="F48" s="10">
        <f t="shared" si="0"/>
        <v>54079</v>
      </c>
    </row>
    <row r="49" spans="1:6" x14ac:dyDescent="0.25">
      <c r="A49" s="1" t="s">
        <v>46</v>
      </c>
      <c r="B49" s="7">
        <v>37056</v>
      </c>
      <c r="C49" s="7">
        <v>14119</v>
      </c>
      <c r="D49" s="7">
        <v>475</v>
      </c>
      <c r="E49" s="7">
        <v>12857</v>
      </c>
      <c r="F49" s="10">
        <f t="shared" si="0"/>
        <v>64507</v>
      </c>
    </row>
    <row r="50" spans="1:6" x14ac:dyDescent="0.25">
      <c r="A50" s="1" t="s">
        <v>47</v>
      </c>
      <c r="B50" s="7">
        <v>75928</v>
      </c>
      <c r="C50" s="7">
        <v>24593</v>
      </c>
      <c r="D50" s="7">
        <v>1126</v>
      </c>
      <c r="E50" s="7">
        <v>29290</v>
      </c>
      <c r="F50" s="10">
        <f t="shared" si="0"/>
        <v>130937</v>
      </c>
    </row>
    <row r="51" spans="1:6" x14ac:dyDescent="0.25">
      <c r="A51" s="1" t="s">
        <v>48</v>
      </c>
      <c r="B51" s="7">
        <v>8667</v>
      </c>
      <c r="C51" s="7">
        <v>7361</v>
      </c>
      <c r="D51" s="7">
        <v>108</v>
      </c>
      <c r="E51" s="7">
        <v>3935</v>
      </c>
      <c r="F51" s="10">
        <f t="shared" si="0"/>
        <v>20071</v>
      </c>
    </row>
    <row r="52" spans="1:6" x14ac:dyDescent="0.25">
      <c r="A52" s="1" t="s">
        <v>49</v>
      </c>
      <c r="B52" s="7">
        <v>217101</v>
      </c>
      <c r="C52" s="7">
        <v>342239</v>
      </c>
      <c r="D52" s="7">
        <v>4814</v>
      </c>
      <c r="E52" s="7">
        <v>249247</v>
      </c>
      <c r="F52" s="10">
        <f t="shared" si="0"/>
        <v>813401</v>
      </c>
    </row>
    <row r="53" spans="1:6" x14ac:dyDescent="0.25">
      <c r="A53" s="1" t="s">
        <v>50</v>
      </c>
      <c r="B53" s="7">
        <v>47651</v>
      </c>
      <c r="C53" s="7">
        <v>88206</v>
      </c>
      <c r="D53" s="7">
        <v>744</v>
      </c>
      <c r="E53" s="7">
        <v>70720</v>
      </c>
      <c r="F53" s="10">
        <f t="shared" si="0"/>
        <v>207321</v>
      </c>
    </row>
    <row r="54" spans="1:6" x14ac:dyDescent="0.25">
      <c r="A54" s="1" t="s">
        <v>51</v>
      </c>
      <c r="B54" s="7">
        <v>259741</v>
      </c>
      <c r="C54" s="7">
        <v>386962</v>
      </c>
      <c r="D54" s="7">
        <v>5731</v>
      </c>
      <c r="E54" s="7">
        <v>267044</v>
      </c>
      <c r="F54" s="10">
        <f t="shared" si="0"/>
        <v>919478</v>
      </c>
    </row>
    <row r="55" spans="1:6" x14ac:dyDescent="0.25">
      <c r="A55" s="1" t="s">
        <v>52</v>
      </c>
      <c r="B55" s="7">
        <v>131343</v>
      </c>
      <c r="C55" s="7">
        <v>105691</v>
      </c>
      <c r="D55" s="7">
        <v>2352</v>
      </c>
      <c r="E55" s="7">
        <v>98904</v>
      </c>
      <c r="F55" s="10">
        <f t="shared" si="0"/>
        <v>338290</v>
      </c>
    </row>
    <row r="56" spans="1:6" x14ac:dyDescent="0.25">
      <c r="A56" s="1" t="s">
        <v>53</v>
      </c>
      <c r="B56" s="7">
        <v>229068</v>
      </c>
      <c r="C56" s="7">
        <v>228069</v>
      </c>
      <c r="D56" s="7">
        <v>4732</v>
      </c>
      <c r="E56" s="7">
        <v>184047</v>
      </c>
      <c r="F56" s="10">
        <f t="shared" si="0"/>
        <v>645916</v>
      </c>
    </row>
    <row r="57" spans="1:6" x14ac:dyDescent="0.25">
      <c r="A57" s="1" t="s">
        <v>54</v>
      </c>
      <c r="B57" s="7">
        <v>142846</v>
      </c>
      <c r="C57" s="7">
        <v>142775</v>
      </c>
      <c r="D57" s="7">
        <v>2236</v>
      </c>
      <c r="E57" s="7">
        <v>113069</v>
      </c>
      <c r="F57" s="10">
        <f t="shared" si="0"/>
        <v>400926</v>
      </c>
    </row>
    <row r="58" spans="1:6" x14ac:dyDescent="0.25">
      <c r="A58" s="1" t="s">
        <v>55</v>
      </c>
      <c r="B58" s="7">
        <v>18332</v>
      </c>
      <c r="C58" s="7">
        <v>19070</v>
      </c>
      <c r="D58" s="7">
        <v>224</v>
      </c>
      <c r="E58" s="7">
        <v>9035</v>
      </c>
      <c r="F58" s="10">
        <f t="shared" si="0"/>
        <v>46661</v>
      </c>
    </row>
    <row r="59" spans="1:6" x14ac:dyDescent="0.25">
      <c r="A59" s="1" t="s">
        <v>56</v>
      </c>
      <c r="B59" s="7">
        <v>75644</v>
      </c>
      <c r="C59" s="7">
        <v>25024</v>
      </c>
      <c r="D59" s="7">
        <v>1170</v>
      </c>
      <c r="E59" s="7">
        <v>27215</v>
      </c>
      <c r="F59" s="10">
        <f t="shared" si="0"/>
        <v>129053</v>
      </c>
    </row>
    <row r="60" spans="1:6" x14ac:dyDescent="0.25">
      <c r="A60" s="1" t="s">
        <v>57</v>
      </c>
      <c r="B60" s="7">
        <v>131804</v>
      </c>
      <c r="C60" s="7">
        <v>93885</v>
      </c>
      <c r="D60" s="7">
        <v>1906</v>
      </c>
      <c r="E60" s="7">
        <v>81725</v>
      </c>
      <c r="F60" s="10">
        <f t="shared" si="0"/>
        <v>309320</v>
      </c>
    </row>
    <row r="61" spans="1:6" x14ac:dyDescent="0.25">
      <c r="A61" s="1" t="s">
        <v>58</v>
      </c>
      <c r="B61" s="7">
        <v>107141</v>
      </c>
      <c r="C61" s="7">
        <v>95725</v>
      </c>
      <c r="D61" s="7">
        <v>1790</v>
      </c>
      <c r="E61" s="7">
        <v>80351</v>
      </c>
      <c r="F61" s="10">
        <f t="shared" si="0"/>
        <v>285007</v>
      </c>
    </row>
    <row r="62" spans="1:6" x14ac:dyDescent="0.25">
      <c r="A62" s="1" t="s">
        <v>59</v>
      </c>
      <c r="B62" s="7">
        <v>94905</v>
      </c>
      <c r="C62" s="7">
        <v>42042</v>
      </c>
      <c r="D62" s="7">
        <v>1407</v>
      </c>
      <c r="E62" s="7">
        <v>41627</v>
      </c>
      <c r="F62" s="10">
        <f t="shared" si="0"/>
        <v>179981</v>
      </c>
    </row>
    <row r="63" spans="1:6" x14ac:dyDescent="0.25">
      <c r="A63" s="1" t="s">
        <v>60</v>
      </c>
      <c r="B63" s="7">
        <v>63355</v>
      </c>
      <c r="C63" s="7">
        <v>78305</v>
      </c>
      <c r="D63" s="7">
        <v>945</v>
      </c>
      <c r="E63" s="7">
        <v>54402</v>
      </c>
      <c r="F63" s="10">
        <f t="shared" si="0"/>
        <v>197007</v>
      </c>
    </row>
    <row r="64" spans="1:6" x14ac:dyDescent="0.25">
      <c r="A64" s="1" t="s">
        <v>61</v>
      </c>
      <c r="B64" s="7">
        <v>50222</v>
      </c>
      <c r="C64" s="7">
        <v>23171</v>
      </c>
      <c r="D64" s="7">
        <v>345</v>
      </c>
      <c r="E64" s="7">
        <v>19533</v>
      </c>
      <c r="F64" s="10">
        <f t="shared" si="0"/>
        <v>93271</v>
      </c>
    </row>
    <row r="65" spans="1:6" x14ac:dyDescent="0.25">
      <c r="A65" s="1" t="s">
        <v>62</v>
      </c>
      <c r="B65" s="7">
        <v>11456</v>
      </c>
      <c r="C65" s="7">
        <v>9918</v>
      </c>
      <c r="D65" s="7">
        <v>170</v>
      </c>
      <c r="E65" s="7">
        <v>3878</v>
      </c>
      <c r="F65" s="10">
        <f t="shared" si="0"/>
        <v>25422</v>
      </c>
    </row>
    <row r="66" spans="1:6" x14ac:dyDescent="0.25">
      <c r="A66" s="1" t="s">
        <v>63</v>
      </c>
      <c r="B66" s="7">
        <v>4406</v>
      </c>
      <c r="C66" s="7">
        <v>6559</v>
      </c>
      <c r="D66" s="7">
        <v>59</v>
      </c>
      <c r="E66" s="7">
        <v>1216</v>
      </c>
      <c r="F66" s="10">
        <f t="shared" si="0"/>
        <v>12240</v>
      </c>
    </row>
    <row r="67" spans="1:6" x14ac:dyDescent="0.25">
      <c r="A67" s="1" t="s">
        <v>64</v>
      </c>
      <c r="B67" s="7">
        <v>3086</v>
      </c>
      <c r="C67" s="7">
        <v>3376</v>
      </c>
      <c r="D67" s="7">
        <v>20</v>
      </c>
      <c r="E67" s="7">
        <v>752</v>
      </c>
      <c r="F67" s="10">
        <f t="shared" si="0"/>
        <v>7234</v>
      </c>
    </row>
    <row r="68" spans="1:6" x14ac:dyDescent="0.25">
      <c r="A68" s="1" t="s">
        <v>65</v>
      </c>
      <c r="B68" s="7">
        <v>130974</v>
      </c>
      <c r="C68" s="7">
        <v>126415</v>
      </c>
      <c r="D68" s="7">
        <v>2267</v>
      </c>
      <c r="E68" s="7">
        <v>109316</v>
      </c>
      <c r="F68" s="10">
        <f t="shared" si="0"/>
        <v>368972</v>
      </c>
    </row>
    <row r="69" spans="1:6" x14ac:dyDescent="0.25">
      <c r="A69" s="1" t="s">
        <v>66</v>
      </c>
      <c r="B69" s="7">
        <v>8134</v>
      </c>
      <c r="C69" s="7">
        <v>8451</v>
      </c>
      <c r="D69" s="7">
        <v>99</v>
      </c>
      <c r="E69" s="7">
        <v>3416</v>
      </c>
      <c r="F69" s="10">
        <f t="shared" si="0"/>
        <v>20100</v>
      </c>
    </row>
    <row r="70" spans="1:6" x14ac:dyDescent="0.25">
      <c r="A70" s="1" t="s">
        <v>67</v>
      </c>
      <c r="B70" s="7">
        <v>28591</v>
      </c>
      <c r="C70" s="7">
        <v>9631</v>
      </c>
      <c r="D70" s="7">
        <v>347</v>
      </c>
      <c r="E70" s="7">
        <v>9709</v>
      </c>
      <c r="F70" s="10">
        <f t="shared" ref="F70:F71" si="1">SUM(B70:E70)</f>
        <v>48278</v>
      </c>
    </row>
    <row r="71" spans="1:6" ht="15.75" thickBot="1" x14ac:dyDescent="0.3">
      <c r="A71" s="1" t="s">
        <v>68</v>
      </c>
      <c r="B71" s="7">
        <v>8004</v>
      </c>
      <c r="C71" s="7">
        <v>5454</v>
      </c>
      <c r="D71" s="7">
        <v>69</v>
      </c>
      <c r="E71" s="7">
        <v>2194</v>
      </c>
      <c r="F71" s="10">
        <f t="shared" si="1"/>
        <v>15721</v>
      </c>
    </row>
    <row r="72" spans="1:6" ht="16.5" thickTop="1" thickBot="1" x14ac:dyDescent="0.3">
      <c r="A72" s="3" t="s">
        <v>1</v>
      </c>
      <c r="B72" s="8">
        <f>SUM(B5:B71)</f>
        <v>4554831</v>
      </c>
      <c r="C72" s="8">
        <f>SUM(C5:C71)</f>
        <v>4805735</v>
      </c>
      <c r="D72" s="8">
        <f>SUM(D5:D71)</f>
        <v>74443</v>
      </c>
      <c r="E72" s="8">
        <f>SUM(E5:E71)</f>
        <v>3477921</v>
      </c>
      <c r="F72" s="8">
        <f>SUM(F5:F71)</f>
        <v>12912930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>
      <selection activeCell="D20" sqref="D20"/>
    </sheetView>
  </sheetViews>
  <sheetFormatPr defaultColWidth="15.7109375"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customHeight="1" x14ac:dyDescent="0.3">
      <c r="A1" s="14" t="s">
        <v>78</v>
      </c>
      <c r="B1" s="15"/>
      <c r="C1" s="15"/>
      <c r="D1" s="15"/>
      <c r="E1" s="15"/>
      <c r="F1" s="16"/>
    </row>
    <row r="2" spans="1:6" ht="15" customHeight="1" x14ac:dyDescent="0.25">
      <c r="A2" s="17" t="s">
        <v>101</v>
      </c>
      <c r="B2" s="18"/>
      <c r="C2" s="18"/>
      <c r="D2" s="18"/>
      <c r="E2" s="18"/>
      <c r="F2" s="19"/>
    </row>
    <row r="3" spans="1:6" ht="15" customHeight="1" x14ac:dyDescent="0.25">
      <c r="A3" s="20" t="s">
        <v>73</v>
      </c>
      <c r="B3" s="21"/>
      <c r="C3" s="21"/>
      <c r="D3" s="21"/>
      <c r="E3" s="21"/>
      <c r="F3" s="22"/>
    </row>
    <row r="4" spans="1:6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7">
        <v>48978</v>
      </c>
      <c r="C5" s="7">
        <v>82568</v>
      </c>
      <c r="D5" s="7">
        <v>1304</v>
      </c>
      <c r="E5" s="7">
        <v>40923</v>
      </c>
      <c r="F5" s="10">
        <f>SUM(B5:E5)</f>
        <v>173773</v>
      </c>
    </row>
    <row r="6" spans="1:6" x14ac:dyDescent="0.25">
      <c r="A6" s="1" t="s">
        <v>3</v>
      </c>
      <c r="B6" s="7">
        <v>7871</v>
      </c>
      <c r="C6" s="7">
        <v>5604</v>
      </c>
      <c r="D6" s="7">
        <v>45</v>
      </c>
      <c r="E6" s="7">
        <v>1623</v>
      </c>
      <c r="F6" s="10">
        <f t="shared" ref="F6:F69" si="0">SUM(B6:E6)</f>
        <v>15143</v>
      </c>
    </row>
    <row r="7" spans="1:6" x14ac:dyDescent="0.25">
      <c r="A7" s="1" t="s">
        <v>4</v>
      </c>
      <c r="B7" s="7">
        <v>61170</v>
      </c>
      <c r="C7" s="7">
        <v>30549</v>
      </c>
      <c r="D7" s="7">
        <v>940</v>
      </c>
      <c r="E7" s="7">
        <v>25337</v>
      </c>
      <c r="F7" s="10">
        <f t="shared" si="0"/>
        <v>117996</v>
      </c>
    </row>
    <row r="8" spans="1:6" x14ac:dyDescent="0.25">
      <c r="A8" s="1" t="s">
        <v>5</v>
      </c>
      <c r="B8" s="7">
        <v>7517</v>
      </c>
      <c r="C8" s="7">
        <v>6147</v>
      </c>
      <c r="D8" s="7">
        <v>75</v>
      </c>
      <c r="E8" s="7">
        <v>2433</v>
      </c>
      <c r="F8" s="10">
        <f t="shared" si="0"/>
        <v>16172</v>
      </c>
    </row>
    <row r="9" spans="1:6" x14ac:dyDescent="0.25">
      <c r="A9" s="1" t="s">
        <v>6</v>
      </c>
      <c r="B9" s="7">
        <v>172127</v>
      </c>
      <c r="C9" s="7">
        <v>126907</v>
      </c>
      <c r="D9" s="7">
        <v>3365</v>
      </c>
      <c r="E9" s="7">
        <v>107364</v>
      </c>
      <c r="F9" s="10">
        <f t="shared" si="0"/>
        <v>409763</v>
      </c>
    </row>
    <row r="10" spans="1:6" x14ac:dyDescent="0.25">
      <c r="A10" s="1" t="s">
        <v>7</v>
      </c>
      <c r="B10" s="7">
        <v>244810</v>
      </c>
      <c r="C10" s="7">
        <v>569462</v>
      </c>
      <c r="D10" s="7">
        <v>5244</v>
      </c>
      <c r="E10" s="7">
        <v>318755</v>
      </c>
      <c r="F10" s="10">
        <f t="shared" si="0"/>
        <v>1138271</v>
      </c>
    </row>
    <row r="11" spans="1:6" x14ac:dyDescent="0.25">
      <c r="A11" s="1" t="s">
        <v>8</v>
      </c>
      <c r="B11" s="7">
        <v>2417</v>
      </c>
      <c r="C11" s="7">
        <v>5202</v>
      </c>
      <c r="D11" s="7">
        <v>29</v>
      </c>
      <c r="E11" s="7">
        <v>953</v>
      </c>
      <c r="F11" s="10">
        <f t="shared" si="0"/>
        <v>8601</v>
      </c>
    </row>
    <row r="12" spans="1:6" x14ac:dyDescent="0.25">
      <c r="A12" s="1" t="s">
        <v>9</v>
      </c>
      <c r="B12" s="7">
        <v>58866</v>
      </c>
      <c r="C12" s="7">
        <v>36012</v>
      </c>
      <c r="D12" s="7">
        <v>893</v>
      </c>
      <c r="E12" s="7">
        <v>35505</v>
      </c>
      <c r="F12" s="10">
        <f t="shared" si="0"/>
        <v>131276</v>
      </c>
    </row>
    <row r="13" spans="1:6" x14ac:dyDescent="0.25">
      <c r="A13" s="1" t="s">
        <v>10</v>
      </c>
      <c r="B13" s="7">
        <v>50234</v>
      </c>
      <c r="C13" s="7">
        <v>29358</v>
      </c>
      <c r="D13" s="7">
        <v>704</v>
      </c>
      <c r="E13" s="7">
        <v>26311</v>
      </c>
      <c r="F13" s="10">
        <f t="shared" si="0"/>
        <v>106607</v>
      </c>
    </row>
    <row r="14" spans="1:6" x14ac:dyDescent="0.25">
      <c r="A14" s="1" t="s">
        <v>11</v>
      </c>
      <c r="B14" s="7">
        <v>80814</v>
      </c>
      <c r="C14" s="7">
        <v>32921</v>
      </c>
      <c r="D14" s="7">
        <v>1012</v>
      </c>
      <c r="E14" s="7">
        <v>35511</v>
      </c>
      <c r="F14" s="10">
        <f t="shared" si="0"/>
        <v>150258</v>
      </c>
    </row>
    <row r="15" spans="1:6" x14ac:dyDescent="0.25">
      <c r="A15" s="1" t="s">
        <v>12</v>
      </c>
      <c r="B15" s="7">
        <v>104795</v>
      </c>
      <c r="C15" s="7">
        <v>48112</v>
      </c>
      <c r="D15" s="7">
        <v>925</v>
      </c>
      <c r="E15" s="7">
        <v>51588</v>
      </c>
      <c r="F15" s="10">
        <f t="shared" si="0"/>
        <v>205420</v>
      </c>
    </row>
    <row r="16" spans="1:6" x14ac:dyDescent="0.25">
      <c r="A16" s="1" t="s">
        <v>13</v>
      </c>
      <c r="B16" s="7">
        <v>17606</v>
      </c>
      <c r="C16" s="7">
        <v>14365</v>
      </c>
      <c r="D16" s="7">
        <v>238</v>
      </c>
      <c r="E16" s="7">
        <v>7034</v>
      </c>
      <c r="F16" s="10">
        <f t="shared" si="0"/>
        <v>39243</v>
      </c>
    </row>
    <row r="17" spans="1:6" x14ac:dyDescent="0.25">
      <c r="A17" s="1" t="s">
        <v>14</v>
      </c>
      <c r="B17" s="7">
        <v>5425</v>
      </c>
      <c r="C17" s="7">
        <v>7305</v>
      </c>
      <c r="D17" s="7">
        <v>49</v>
      </c>
      <c r="E17" s="7">
        <v>3719</v>
      </c>
      <c r="F17" s="10">
        <f t="shared" si="0"/>
        <v>16498</v>
      </c>
    </row>
    <row r="18" spans="1:6" x14ac:dyDescent="0.25">
      <c r="A18" s="1" t="s">
        <v>15</v>
      </c>
      <c r="B18" s="7">
        <v>3714</v>
      </c>
      <c r="C18" s="7">
        <v>4278</v>
      </c>
      <c r="D18" s="7">
        <v>38</v>
      </c>
      <c r="E18" s="7">
        <v>1514</v>
      </c>
      <c r="F18" s="10">
        <f t="shared" si="0"/>
        <v>9544</v>
      </c>
    </row>
    <row r="19" spans="1:6" x14ac:dyDescent="0.25">
      <c r="A19" s="1" t="s">
        <v>16</v>
      </c>
      <c r="B19" s="7">
        <v>217057</v>
      </c>
      <c r="C19" s="7">
        <v>237234</v>
      </c>
      <c r="D19" s="7">
        <v>4161</v>
      </c>
      <c r="E19" s="7">
        <v>126874</v>
      </c>
      <c r="F19" s="10">
        <f t="shared" si="0"/>
        <v>585326</v>
      </c>
    </row>
    <row r="20" spans="1:6" x14ac:dyDescent="0.25">
      <c r="A20" s="1" t="s">
        <v>17</v>
      </c>
      <c r="B20" s="7">
        <v>92627</v>
      </c>
      <c r="C20" s="7">
        <v>70036</v>
      </c>
      <c r="D20" s="7">
        <v>1402</v>
      </c>
      <c r="E20" s="7">
        <v>42114</v>
      </c>
      <c r="F20" s="10">
        <f t="shared" si="0"/>
        <v>206179</v>
      </c>
    </row>
    <row r="21" spans="1:6" x14ac:dyDescent="0.25">
      <c r="A21" s="1" t="s">
        <v>18</v>
      </c>
      <c r="B21" s="7">
        <v>32673</v>
      </c>
      <c r="C21" s="7">
        <v>24893</v>
      </c>
      <c r="D21" s="7">
        <v>410</v>
      </c>
      <c r="E21" s="7">
        <v>22513</v>
      </c>
      <c r="F21" s="10">
        <f t="shared" si="0"/>
        <v>80489</v>
      </c>
    </row>
    <row r="22" spans="1:6" x14ac:dyDescent="0.25">
      <c r="A22" s="1" t="s">
        <v>19</v>
      </c>
      <c r="B22" s="7">
        <v>2432</v>
      </c>
      <c r="C22" s="7">
        <v>4036</v>
      </c>
      <c r="D22" s="7">
        <v>90</v>
      </c>
      <c r="E22" s="7">
        <v>976</v>
      </c>
      <c r="F22" s="10">
        <f t="shared" si="0"/>
        <v>7534</v>
      </c>
    </row>
    <row r="23" spans="1:6" x14ac:dyDescent="0.25">
      <c r="A23" s="1" t="s">
        <v>20</v>
      </c>
      <c r="B23" s="7">
        <v>4673</v>
      </c>
      <c r="C23" s="7">
        <v>22285</v>
      </c>
      <c r="D23" s="7">
        <v>73</v>
      </c>
      <c r="E23" s="7">
        <v>2814</v>
      </c>
      <c r="F23" s="10">
        <f t="shared" si="0"/>
        <v>29845</v>
      </c>
    </row>
    <row r="24" spans="1:6" x14ac:dyDescent="0.25">
      <c r="A24" s="1" t="s">
        <v>21</v>
      </c>
      <c r="B24" s="7">
        <v>6298</v>
      </c>
      <c r="C24" s="7">
        <v>3399</v>
      </c>
      <c r="D24" s="7">
        <v>61</v>
      </c>
      <c r="E24" s="7">
        <v>1773</v>
      </c>
      <c r="F24" s="10">
        <f t="shared" si="0"/>
        <v>11531</v>
      </c>
    </row>
    <row r="25" spans="1:6" x14ac:dyDescent="0.25">
      <c r="A25" s="1" t="s">
        <v>22</v>
      </c>
      <c r="B25" s="7">
        <v>2603</v>
      </c>
      <c r="C25" s="7">
        <v>2848</v>
      </c>
      <c r="D25" s="7">
        <v>31</v>
      </c>
      <c r="E25" s="7">
        <v>1212</v>
      </c>
      <c r="F25" s="10">
        <f t="shared" si="0"/>
        <v>6694</v>
      </c>
    </row>
    <row r="26" spans="1:6" x14ac:dyDescent="0.25">
      <c r="A26" s="1" t="s">
        <v>23</v>
      </c>
      <c r="B26" s="7">
        <v>4746</v>
      </c>
      <c r="C26" s="7">
        <v>3978</v>
      </c>
      <c r="D26" s="7">
        <v>76</v>
      </c>
      <c r="E26" s="7">
        <v>1177</v>
      </c>
      <c r="F26" s="10">
        <f t="shared" si="0"/>
        <v>9977</v>
      </c>
    </row>
    <row r="27" spans="1:6" x14ac:dyDescent="0.25">
      <c r="A27" s="1" t="s">
        <v>24</v>
      </c>
      <c r="B27" s="7">
        <v>2336</v>
      </c>
      <c r="C27" s="7">
        <v>4333</v>
      </c>
      <c r="D27" s="7">
        <v>26</v>
      </c>
      <c r="E27" s="7">
        <v>949</v>
      </c>
      <c r="F27" s="10">
        <f t="shared" si="0"/>
        <v>7644</v>
      </c>
    </row>
    <row r="28" spans="1:6" x14ac:dyDescent="0.25">
      <c r="A28" s="1" t="s">
        <v>25</v>
      </c>
      <c r="B28" s="7">
        <v>5132</v>
      </c>
      <c r="C28" s="7">
        <v>4583</v>
      </c>
      <c r="D28" s="7">
        <v>122</v>
      </c>
      <c r="E28" s="7">
        <v>2168</v>
      </c>
      <c r="F28" s="10">
        <f t="shared" si="0"/>
        <v>12005</v>
      </c>
    </row>
    <row r="29" spans="1:6" x14ac:dyDescent="0.25">
      <c r="A29" s="1" t="s">
        <v>26</v>
      </c>
      <c r="B29" s="7">
        <v>6227</v>
      </c>
      <c r="C29" s="7">
        <v>7879</v>
      </c>
      <c r="D29" s="7">
        <v>61</v>
      </c>
      <c r="E29" s="7">
        <v>3287</v>
      </c>
      <c r="F29" s="10">
        <f t="shared" si="0"/>
        <v>17454</v>
      </c>
    </row>
    <row r="30" spans="1:6" x14ac:dyDescent="0.25">
      <c r="A30" s="1" t="s">
        <v>27</v>
      </c>
      <c r="B30" s="7">
        <v>53490</v>
      </c>
      <c r="C30" s="7">
        <v>41673</v>
      </c>
      <c r="D30" s="7">
        <v>989</v>
      </c>
      <c r="E30" s="7">
        <v>34519</v>
      </c>
      <c r="F30" s="10">
        <f t="shared" si="0"/>
        <v>130671</v>
      </c>
    </row>
    <row r="31" spans="1:6" x14ac:dyDescent="0.25">
      <c r="A31" s="1" t="s">
        <v>28</v>
      </c>
      <c r="B31" s="7">
        <v>26568</v>
      </c>
      <c r="C31" s="7">
        <v>17894</v>
      </c>
      <c r="D31" s="7">
        <v>208</v>
      </c>
      <c r="E31" s="7">
        <v>13316</v>
      </c>
      <c r="F31" s="10">
        <f t="shared" si="0"/>
        <v>57986</v>
      </c>
    </row>
    <row r="32" spans="1:6" x14ac:dyDescent="0.25">
      <c r="A32" s="1" t="s">
        <v>29</v>
      </c>
      <c r="B32" s="7">
        <v>262246</v>
      </c>
      <c r="C32" s="7">
        <v>321262</v>
      </c>
      <c r="D32" s="7">
        <v>5425</v>
      </c>
      <c r="E32" s="7">
        <v>238363</v>
      </c>
      <c r="F32" s="10">
        <f t="shared" si="0"/>
        <v>827296</v>
      </c>
    </row>
    <row r="33" spans="1:6" x14ac:dyDescent="0.25">
      <c r="A33" s="1" t="s">
        <v>30</v>
      </c>
      <c r="B33" s="7">
        <v>6002</v>
      </c>
      <c r="C33" s="7">
        <v>3376</v>
      </c>
      <c r="D33" s="7">
        <v>26</v>
      </c>
      <c r="E33" s="7">
        <v>1154</v>
      </c>
      <c r="F33" s="10">
        <f t="shared" si="0"/>
        <v>10558</v>
      </c>
    </row>
    <row r="34" spans="1:6" x14ac:dyDescent="0.25">
      <c r="A34" s="1" t="s">
        <v>31</v>
      </c>
      <c r="B34" s="7">
        <v>50923</v>
      </c>
      <c r="C34" s="7">
        <v>29714</v>
      </c>
      <c r="D34" s="7">
        <v>699</v>
      </c>
      <c r="E34" s="7">
        <v>29047</v>
      </c>
      <c r="F34" s="10">
        <f t="shared" si="0"/>
        <v>110383</v>
      </c>
    </row>
    <row r="35" spans="1:6" x14ac:dyDescent="0.25">
      <c r="A35" s="1" t="s">
        <v>32</v>
      </c>
      <c r="B35" s="7">
        <v>9994</v>
      </c>
      <c r="C35" s="7">
        <v>14555</v>
      </c>
      <c r="D35" s="7">
        <v>70</v>
      </c>
      <c r="E35" s="7">
        <v>2898</v>
      </c>
      <c r="F35" s="10">
        <f t="shared" si="0"/>
        <v>27517</v>
      </c>
    </row>
    <row r="36" spans="1:6" x14ac:dyDescent="0.25">
      <c r="A36" s="1" t="s">
        <v>33</v>
      </c>
      <c r="B36" s="7">
        <v>2954</v>
      </c>
      <c r="C36" s="7">
        <v>5550</v>
      </c>
      <c r="D36" s="7">
        <v>32</v>
      </c>
      <c r="E36" s="7">
        <v>1099</v>
      </c>
      <c r="F36" s="10">
        <f t="shared" si="0"/>
        <v>9635</v>
      </c>
    </row>
    <row r="37" spans="1:6" x14ac:dyDescent="0.25">
      <c r="A37" s="1" t="s">
        <v>34</v>
      </c>
      <c r="B37" s="7">
        <v>1565</v>
      </c>
      <c r="C37" s="7">
        <v>2423</v>
      </c>
      <c r="D37" s="7">
        <v>13</v>
      </c>
      <c r="E37" s="7">
        <v>300</v>
      </c>
      <c r="F37" s="10">
        <f t="shared" si="0"/>
        <v>4301</v>
      </c>
    </row>
    <row r="38" spans="1:6" x14ac:dyDescent="0.25">
      <c r="A38" s="1" t="s">
        <v>35</v>
      </c>
      <c r="B38" s="7">
        <v>100578</v>
      </c>
      <c r="C38" s="7">
        <v>70289</v>
      </c>
      <c r="D38" s="7">
        <v>1037</v>
      </c>
      <c r="E38" s="7">
        <v>57863</v>
      </c>
      <c r="F38" s="10">
        <f t="shared" si="0"/>
        <v>229767</v>
      </c>
    </row>
    <row r="39" spans="1:6" x14ac:dyDescent="0.25">
      <c r="A39" s="1" t="s">
        <v>36</v>
      </c>
      <c r="B39" s="7">
        <v>186362</v>
      </c>
      <c r="C39" s="7">
        <v>116924</v>
      </c>
      <c r="D39" s="7">
        <v>2149</v>
      </c>
      <c r="E39" s="7">
        <v>127896</v>
      </c>
      <c r="F39" s="10">
        <f t="shared" si="0"/>
        <v>433331</v>
      </c>
    </row>
    <row r="40" spans="1:6" x14ac:dyDescent="0.25">
      <c r="A40" s="1" t="s">
        <v>37</v>
      </c>
      <c r="B40" s="7">
        <v>56852</v>
      </c>
      <c r="C40" s="7">
        <v>107557</v>
      </c>
      <c r="D40" s="7">
        <v>1256</v>
      </c>
      <c r="E40" s="7">
        <v>39671</v>
      </c>
      <c r="F40" s="10">
        <f t="shared" si="0"/>
        <v>205336</v>
      </c>
    </row>
    <row r="41" spans="1:6" x14ac:dyDescent="0.25">
      <c r="A41" s="1" t="s">
        <v>38</v>
      </c>
      <c r="B41" s="7">
        <v>12708</v>
      </c>
      <c r="C41" s="7">
        <v>9257</v>
      </c>
      <c r="D41" s="7">
        <v>421</v>
      </c>
      <c r="E41" s="7">
        <v>4993</v>
      </c>
      <c r="F41" s="10">
        <f t="shared" si="0"/>
        <v>27379</v>
      </c>
    </row>
    <row r="42" spans="1:6" x14ac:dyDescent="0.25">
      <c r="A42" s="1" t="s">
        <v>39</v>
      </c>
      <c r="B42" s="7">
        <v>796</v>
      </c>
      <c r="C42" s="7">
        <v>3161</v>
      </c>
      <c r="D42" s="7">
        <v>3</v>
      </c>
      <c r="E42" s="7">
        <v>367</v>
      </c>
      <c r="F42" s="10">
        <f t="shared" si="0"/>
        <v>4327</v>
      </c>
    </row>
    <row r="43" spans="1:6" x14ac:dyDescent="0.25">
      <c r="A43" s="1" t="s">
        <v>40</v>
      </c>
      <c r="B43" s="7">
        <v>3411</v>
      </c>
      <c r="C43" s="7">
        <v>6996</v>
      </c>
      <c r="D43" s="7">
        <v>35</v>
      </c>
      <c r="E43" s="7">
        <v>1311</v>
      </c>
      <c r="F43" s="10">
        <f t="shared" si="0"/>
        <v>11753</v>
      </c>
    </row>
    <row r="44" spans="1:6" x14ac:dyDescent="0.25">
      <c r="A44" s="1" t="s">
        <v>41</v>
      </c>
      <c r="B44" s="7">
        <v>102514</v>
      </c>
      <c r="C44" s="7">
        <v>72124</v>
      </c>
      <c r="D44" s="7">
        <v>1380</v>
      </c>
      <c r="E44" s="7">
        <v>61181</v>
      </c>
      <c r="F44" s="10">
        <f t="shared" si="0"/>
        <v>237199</v>
      </c>
    </row>
    <row r="45" spans="1:6" x14ac:dyDescent="0.25">
      <c r="A45" s="1" t="s">
        <v>42</v>
      </c>
      <c r="B45" s="7">
        <v>104322</v>
      </c>
      <c r="C45" s="7">
        <v>77936</v>
      </c>
      <c r="D45" s="7">
        <v>1213</v>
      </c>
      <c r="E45" s="7">
        <v>52710</v>
      </c>
      <c r="F45" s="10">
        <f t="shared" si="0"/>
        <v>236181</v>
      </c>
    </row>
    <row r="46" spans="1:6" x14ac:dyDescent="0.25">
      <c r="A46" s="1" t="s">
        <v>43</v>
      </c>
      <c r="B46" s="7">
        <v>55744</v>
      </c>
      <c r="C46" s="7">
        <v>28073</v>
      </c>
      <c r="D46" s="7">
        <v>757</v>
      </c>
      <c r="E46" s="7">
        <v>27743</v>
      </c>
      <c r="F46" s="10">
        <f t="shared" si="0"/>
        <v>112317</v>
      </c>
    </row>
    <row r="47" spans="1:6" x14ac:dyDescent="0.25">
      <c r="A47" s="1" t="s">
        <v>44</v>
      </c>
      <c r="B47" s="7">
        <v>367137</v>
      </c>
      <c r="C47" s="7">
        <v>580529</v>
      </c>
      <c r="D47" s="7">
        <v>5048</v>
      </c>
      <c r="E47" s="7">
        <v>431057</v>
      </c>
      <c r="F47" s="10">
        <f t="shared" si="0"/>
        <v>1383771</v>
      </c>
    </row>
    <row r="48" spans="1:6" x14ac:dyDescent="0.25">
      <c r="A48" s="1" t="s">
        <v>45</v>
      </c>
      <c r="B48" s="7">
        <v>20556</v>
      </c>
      <c r="C48" s="7">
        <v>16966</v>
      </c>
      <c r="D48" s="7">
        <v>499</v>
      </c>
      <c r="E48" s="7">
        <v>14637</v>
      </c>
      <c r="F48" s="10">
        <f t="shared" si="0"/>
        <v>52658</v>
      </c>
    </row>
    <row r="49" spans="1:6" x14ac:dyDescent="0.25">
      <c r="A49" s="1" t="s">
        <v>46</v>
      </c>
      <c r="B49" s="7">
        <v>37162</v>
      </c>
      <c r="C49" s="7">
        <v>14150</v>
      </c>
      <c r="D49" s="7">
        <v>493</v>
      </c>
      <c r="E49" s="7">
        <v>12931</v>
      </c>
      <c r="F49" s="10">
        <f t="shared" si="0"/>
        <v>64736</v>
      </c>
    </row>
    <row r="50" spans="1:6" x14ac:dyDescent="0.25">
      <c r="A50" s="1" t="s">
        <v>47</v>
      </c>
      <c r="B50" s="7">
        <v>76146</v>
      </c>
      <c r="C50" s="7">
        <v>24641</v>
      </c>
      <c r="D50" s="7">
        <v>1157</v>
      </c>
      <c r="E50" s="7">
        <v>29516</v>
      </c>
      <c r="F50" s="10">
        <f t="shared" si="0"/>
        <v>131460</v>
      </c>
    </row>
    <row r="51" spans="1:6" x14ac:dyDescent="0.25">
      <c r="A51" s="1" t="s">
        <v>48</v>
      </c>
      <c r="B51" s="7">
        <v>8698</v>
      </c>
      <c r="C51" s="7">
        <v>7367</v>
      </c>
      <c r="D51" s="7">
        <v>114</v>
      </c>
      <c r="E51" s="7">
        <v>3951</v>
      </c>
      <c r="F51" s="10">
        <f t="shared" si="0"/>
        <v>20130</v>
      </c>
    </row>
    <row r="52" spans="1:6" x14ac:dyDescent="0.25">
      <c r="A52" s="1" t="s">
        <v>49</v>
      </c>
      <c r="B52" s="7">
        <v>214603</v>
      </c>
      <c r="C52" s="7">
        <v>338832</v>
      </c>
      <c r="D52" s="7">
        <v>4942</v>
      </c>
      <c r="E52" s="7">
        <v>246562</v>
      </c>
      <c r="F52" s="10">
        <f t="shared" si="0"/>
        <v>804939</v>
      </c>
    </row>
    <row r="53" spans="1:6" x14ac:dyDescent="0.25">
      <c r="A53" s="1" t="s">
        <v>50</v>
      </c>
      <c r="B53" s="7">
        <v>47558</v>
      </c>
      <c r="C53" s="7">
        <v>88304</v>
      </c>
      <c r="D53" s="7">
        <v>774</v>
      </c>
      <c r="E53" s="7">
        <v>70905</v>
      </c>
      <c r="F53" s="10">
        <f t="shared" si="0"/>
        <v>207541</v>
      </c>
    </row>
    <row r="54" spans="1:6" x14ac:dyDescent="0.25">
      <c r="A54" s="1" t="s">
        <v>51</v>
      </c>
      <c r="B54" s="7">
        <v>260386</v>
      </c>
      <c r="C54" s="7">
        <v>387637</v>
      </c>
      <c r="D54" s="7">
        <v>6058</v>
      </c>
      <c r="E54" s="7">
        <v>268017</v>
      </c>
      <c r="F54" s="10">
        <f t="shared" si="0"/>
        <v>922098</v>
      </c>
    </row>
    <row r="55" spans="1:6" x14ac:dyDescent="0.25">
      <c r="A55" s="1" t="s">
        <v>52</v>
      </c>
      <c r="B55" s="7">
        <v>132096</v>
      </c>
      <c r="C55" s="7">
        <v>106233</v>
      </c>
      <c r="D55" s="7">
        <v>2444</v>
      </c>
      <c r="E55" s="7">
        <v>99709</v>
      </c>
      <c r="F55" s="10">
        <f t="shared" si="0"/>
        <v>340482</v>
      </c>
    </row>
    <row r="56" spans="1:6" x14ac:dyDescent="0.25">
      <c r="A56" s="1" t="s">
        <v>53</v>
      </c>
      <c r="B56" s="7">
        <v>229080</v>
      </c>
      <c r="C56" s="7">
        <v>228287</v>
      </c>
      <c r="D56" s="7">
        <v>4903</v>
      </c>
      <c r="E56" s="7">
        <v>184531</v>
      </c>
      <c r="F56" s="10">
        <f t="shared" si="0"/>
        <v>646801</v>
      </c>
    </row>
    <row r="57" spans="1:6" x14ac:dyDescent="0.25">
      <c r="A57" s="1" t="s">
        <v>54</v>
      </c>
      <c r="B57" s="7">
        <v>143540</v>
      </c>
      <c r="C57" s="7">
        <v>143550</v>
      </c>
      <c r="D57" s="7">
        <v>2251</v>
      </c>
      <c r="E57" s="7">
        <v>114305</v>
      </c>
      <c r="F57" s="10">
        <f t="shared" si="0"/>
        <v>403646</v>
      </c>
    </row>
    <row r="58" spans="1:6" x14ac:dyDescent="0.25">
      <c r="A58" s="1" t="s">
        <v>55</v>
      </c>
      <c r="B58" s="7">
        <v>18384</v>
      </c>
      <c r="C58" s="7">
        <v>19039</v>
      </c>
      <c r="D58" s="7">
        <v>231</v>
      </c>
      <c r="E58" s="7">
        <v>9072</v>
      </c>
      <c r="F58" s="10">
        <f t="shared" si="0"/>
        <v>46726</v>
      </c>
    </row>
    <row r="59" spans="1:6" x14ac:dyDescent="0.25">
      <c r="A59" s="1" t="s">
        <v>56</v>
      </c>
      <c r="B59" s="7">
        <v>75903</v>
      </c>
      <c r="C59" s="7">
        <v>25073</v>
      </c>
      <c r="D59" s="7">
        <v>1219</v>
      </c>
      <c r="E59" s="7">
        <v>27389</v>
      </c>
      <c r="F59" s="10">
        <f t="shared" si="0"/>
        <v>129584</v>
      </c>
    </row>
    <row r="60" spans="1:6" x14ac:dyDescent="0.25">
      <c r="A60" s="1" t="s">
        <v>57</v>
      </c>
      <c r="B60" s="7">
        <v>132062</v>
      </c>
      <c r="C60" s="7">
        <v>94177</v>
      </c>
      <c r="D60" s="7">
        <v>1974</v>
      </c>
      <c r="E60" s="7">
        <v>82066</v>
      </c>
      <c r="F60" s="10">
        <f t="shared" si="0"/>
        <v>310279</v>
      </c>
    </row>
    <row r="61" spans="1:6" x14ac:dyDescent="0.25">
      <c r="A61" s="1" t="s">
        <v>58</v>
      </c>
      <c r="B61" s="7">
        <v>107842</v>
      </c>
      <c r="C61" s="7">
        <v>97082</v>
      </c>
      <c r="D61" s="7">
        <v>1864</v>
      </c>
      <c r="E61" s="7">
        <v>81650</v>
      </c>
      <c r="F61" s="10">
        <f t="shared" si="0"/>
        <v>288438</v>
      </c>
    </row>
    <row r="62" spans="1:6" x14ac:dyDescent="0.25">
      <c r="A62" s="1" t="s">
        <v>59</v>
      </c>
      <c r="B62" s="7">
        <v>94996</v>
      </c>
      <c r="C62" s="7">
        <v>42099</v>
      </c>
      <c r="D62" s="7">
        <v>1424</v>
      </c>
      <c r="E62" s="7">
        <v>41723</v>
      </c>
      <c r="F62" s="10">
        <f t="shared" si="0"/>
        <v>180242</v>
      </c>
    </row>
    <row r="63" spans="1:6" x14ac:dyDescent="0.25">
      <c r="A63" s="1" t="s">
        <v>60</v>
      </c>
      <c r="B63" s="7">
        <v>63633</v>
      </c>
      <c r="C63" s="7">
        <v>78629</v>
      </c>
      <c r="D63" s="7">
        <v>983</v>
      </c>
      <c r="E63" s="7">
        <v>54895</v>
      </c>
      <c r="F63" s="10">
        <f t="shared" si="0"/>
        <v>198140</v>
      </c>
    </row>
    <row r="64" spans="1:6" x14ac:dyDescent="0.25">
      <c r="A64" s="1" t="s">
        <v>61</v>
      </c>
      <c r="B64" s="7">
        <v>50464</v>
      </c>
      <c r="C64" s="7">
        <v>23256</v>
      </c>
      <c r="D64" s="7">
        <v>357</v>
      </c>
      <c r="E64" s="7">
        <v>19650</v>
      </c>
      <c r="F64" s="10">
        <f t="shared" si="0"/>
        <v>93727</v>
      </c>
    </row>
    <row r="65" spans="1:6" x14ac:dyDescent="0.25">
      <c r="A65" s="1" t="s">
        <v>62</v>
      </c>
      <c r="B65" s="7">
        <v>11500</v>
      </c>
      <c r="C65" s="7">
        <v>9893</v>
      </c>
      <c r="D65" s="7">
        <v>168</v>
      </c>
      <c r="E65" s="7">
        <v>3906</v>
      </c>
      <c r="F65" s="10">
        <f t="shared" si="0"/>
        <v>25467</v>
      </c>
    </row>
    <row r="66" spans="1:6" x14ac:dyDescent="0.25">
      <c r="A66" s="1" t="s">
        <v>63</v>
      </c>
      <c r="B66" s="7">
        <v>4321</v>
      </c>
      <c r="C66" s="7">
        <v>6409</v>
      </c>
      <c r="D66" s="7">
        <v>57</v>
      </c>
      <c r="E66" s="7">
        <v>1193</v>
      </c>
      <c r="F66" s="10">
        <f t="shared" si="0"/>
        <v>11980</v>
      </c>
    </row>
    <row r="67" spans="1:6" x14ac:dyDescent="0.25">
      <c r="A67" s="1" t="s">
        <v>64</v>
      </c>
      <c r="B67" s="7">
        <v>3078</v>
      </c>
      <c r="C67" s="7">
        <v>3370</v>
      </c>
      <c r="D67" s="7">
        <v>19</v>
      </c>
      <c r="E67" s="7">
        <v>748</v>
      </c>
      <c r="F67" s="10">
        <f t="shared" si="0"/>
        <v>7215</v>
      </c>
    </row>
    <row r="68" spans="1:6" x14ac:dyDescent="0.25">
      <c r="A68" s="1" t="s">
        <v>65</v>
      </c>
      <c r="B68" s="7">
        <v>131451</v>
      </c>
      <c r="C68" s="7">
        <v>126813</v>
      </c>
      <c r="D68" s="7">
        <v>2358</v>
      </c>
      <c r="E68" s="7">
        <v>110006</v>
      </c>
      <c r="F68" s="10">
        <f t="shared" si="0"/>
        <v>370628</v>
      </c>
    </row>
    <row r="69" spans="1:6" x14ac:dyDescent="0.25">
      <c r="A69" s="1" t="s">
        <v>66</v>
      </c>
      <c r="B69" s="7">
        <v>8231</v>
      </c>
      <c r="C69" s="7">
        <v>8483</v>
      </c>
      <c r="D69" s="7">
        <v>105</v>
      </c>
      <c r="E69" s="7">
        <v>3451</v>
      </c>
      <c r="F69" s="10">
        <f t="shared" si="0"/>
        <v>20270</v>
      </c>
    </row>
    <row r="70" spans="1:6" x14ac:dyDescent="0.25">
      <c r="A70" s="1" t="s">
        <v>67</v>
      </c>
      <c r="B70" s="7">
        <v>28734</v>
      </c>
      <c r="C70" s="7">
        <v>9653</v>
      </c>
      <c r="D70" s="7">
        <v>357</v>
      </c>
      <c r="E70" s="7">
        <v>9771</v>
      </c>
      <c r="F70" s="10">
        <f t="shared" ref="F70:F71" si="1">SUM(B70:E70)</f>
        <v>48515</v>
      </c>
    </row>
    <row r="71" spans="1:6" ht="15.75" thickBot="1" x14ac:dyDescent="0.3">
      <c r="A71" s="1" t="s">
        <v>68</v>
      </c>
      <c r="B71" s="7">
        <v>8035</v>
      </c>
      <c r="C71" s="7">
        <v>5443</v>
      </c>
      <c r="D71" s="7">
        <v>67</v>
      </c>
      <c r="E71" s="7">
        <v>2208</v>
      </c>
      <c r="F71" s="10">
        <f t="shared" si="1"/>
        <v>15753</v>
      </c>
    </row>
    <row r="72" spans="1:6" ht="16.5" thickTop="1" thickBot="1" x14ac:dyDescent="0.3">
      <c r="A72" s="3" t="s">
        <v>1</v>
      </c>
      <c r="B72" s="8">
        <f>SUM(B5:B71)</f>
        <v>4555773</v>
      </c>
      <c r="C72" s="8">
        <f>SUM(C5:C71)</f>
        <v>4798973</v>
      </c>
      <c r="D72" s="8">
        <f>SUM(D5:D71)</f>
        <v>76953</v>
      </c>
      <c r="E72" s="8">
        <f>SUM(E5:E71)</f>
        <v>3482707</v>
      </c>
      <c r="F72" s="8">
        <f>SUM(F5:F71)</f>
        <v>12914406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>
      <selection activeCell="B5" sqref="B5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customHeight="1" x14ac:dyDescent="0.3">
      <c r="A1" s="14" t="s">
        <v>79</v>
      </c>
      <c r="B1" s="15"/>
      <c r="C1" s="15"/>
      <c r="D1" s="15"/>
      <c r="E1" s="15"/>
      <c r="F1" s="16"/>
    </row>
    <row r="2" spans="1:6" x14ac:dyDescent="0.25">
      <c r="A2" s="17" t="s">
        <v>102</v>
      </c>
      <c r="B2" s="18"/>
      <c r="C2" s="18"/>
      <c r="D2" s="18"/>
      <c r="E2" s="18"/>
      <c r="F2" s="19"/>
    </row>
    <row r="3" spans="1:6" x14ac:dyDescent="0.25">
      <c r="A3" s="20" t="s">
        <v>73</v>
      </c>
      <c r="B3" s="21"/>
      <c r="C3" s="21"/>
      <c r="D3" s="21"/>
      <c r="E3" s="21"/>
      <c r="F3" s="22"/>
    </row>
    <row r="4" spans="1:6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7">
        <v>48956</v>
      </c>
      <c r="C5" s="7">
        <v>82658</v>
      </c>
      <c r="D5" s="7">
        <v>1336</v>
      </c>
      <c r="E5" s="7">
        <v>41043</v>
      </c>
      <c r="F5" s="10">
        <f>SUM(B5:E5)</f>
        <v>173993</v>
      </c>
    </row>
    <row r="6" spans="1:6" x14ac:dyDescent="0.25">
      <c r="A6" s="1" t="s">
        <v>3</v>
      </c>
      <c r="B6" s="7">
        <v>7868</v>
      </c>
      <c r="C6" s="7">
        <v>5563</v>
      </c>
      <c r="D6" s="7">
        <v>47</v>
      </c>
      <c r="E6" s="7">
        <v>1614</v>
      </c>
      <c r="F6" s="10">
        <f t="shared" ref="F6:F69" si="0">SUM(B6:E6)</f>
        <v>15092</v>
      </c>
    </row>
    <row r="7" spans="1:6" x14ac:dyDescent="0.25">
      <c r="A7" s="1" t="s">
        <v>4</v>
      </c>
      <c r="B7" s="7">
        <v>61345</v>
      </c>
      <c r="C7" s="7">
        <v>30535</v>
      </c>
      <c r="D7" s="7">
        <v>973</v>
      </c>
      <c r="E7" s="7">
        <v>25491</v>
      </c>
      <c r="F7" s="10">
        <f t="shared" si="0"/>
        <v>118344</v>
      </c>
    </row>
    <row r="8" spans="1:6" x14ac:dyDescent="0.25">
      <c r="A8" s="1" t="s">
        <v>5</v>
      </c>
      <c r="B8" s="7">
        <v>7523</v>
      </c>
      <c r="C8" s="7">
        <v>6128</v>
      </c>
      <c r="D8" s="7">
        <v>75</v>
      </c>
      <c r="E8" s="7">
        <v>2440</v>
      </c>
      <c r="F8" s="10">
        <f t="shared" si="0"/>
        <v>16166</v>
      </c>
    </row>
    <row r="9" spans="1:6" x14ac:dyDescent="0.25">
      <c r="A9" s="1" t="s">
        <v>6</v>
      </c>
      <c r="B9" s="7">
        <v>172700</v>
      </c>
      <c r="C9" s="7">
        <v>127141</v>
      </c>
      <c r="D9" s="7">
        <v>3484</v>
      </c>
      <c r="E9" s="7">
        <v>107866</v>
      </c>
      <c r="F9" s="10">
        <f t="shared" si="0"/>
        <v>411191</v>
      </c>
    </row>
    <row r="10" spans="1:6" x14ac:dyDescent="0.25">
      <c r="A10" s="1" t="s">
        <v>7</v>
      </c>
      <c r="B10" s="7">
        <v>245171</v>
      </c>
      <c r="C10" s="7">
        <v>570479</v>
      </c>
      <c r="D10" s="7">
        <v>5490</v>
      </c>
      <c r="E10" s="7">
        <v>320220</v>
      </c>
      <c r="F10" s="10">
        <f t="shared" si="0"/>
        <v>1141360</v>
      </c>
    </row>
    <row r="11" spans="1:6" x14ac:dyDescent="0.25">
      <c r="A11" s="1" t="s">
        <v>8</v>
      </c>
      <c r="B11" s="7">
        <v>2432</v>
      </c>
      <c r="C11" s="7">
        <v>5191</v>
      </c>
      <c r="D11" s="7">
        <v>27</v>
      </c>
      <c r="E11" s="7">
        <v>970</v>
      </c>
      <c r="F11" s="10">
        <f t="shared" si="0"/>
        <v>8620</v>
      </c>
    </row>
    <row r="12" spans="1:6" x14ac:dyDescent="0.25">
      <c r="A12" s="1" t="s">
        <v>9</v>
      </c>
      <c r="B12" s="7">
        <v>59086</v>
      </c>
      <c r="C12" s="7">
        <v>36073</v>
      </c>
      <c r="D12" s="7">
        <v>944</v>
      </c>
      <c r="E12" s="7">
        <v>35631</v>
      </c>
      <c r="F12" s="10">
        <f t="shared" si="0"/>
        <v>131734</v>
      </c>
    </row>
    <row r="13" spans="1:6" x14ac:dyDescent="0.25">
      <c r="A13" s="1" t="s">
        <v>10</v>
      </c>
      <c r="B13" s="7">
        <v>50442</v>
      </c>
      <c r="C13" s="7">
        <v>29378</v>
      </c>
      <c r="D13" s="7">
        <v>734</v>
      </c>
      <c r="E13" s="7">
        <v>26418</v>
      </c>
      <c r="F13" s="10">
        <f t="shared" si="0"/>
        <v>106972</v>
      </c>
    </row>
    <row r="14" spans="1:6" x14ac:dyDescent="0.25">
      <c r="A14" s="1" t="s">
        <v>11</v>
      </c>
      <c r="B14" s="7">
        <v>80781</v>
      </c>
      <c r="C14" s="7">
        <v>32932</v>
      </c>
      <c r="D14" s="7">
        <v>1040</v>
      </c>
      <c r="E14" s="7">
        <v>35481</v>
      </c>
      <c r="F14" s="10">
        <f t="shared" si="0"/>
        <v>150234</v>
      </c>
    </row>
    <row r="15" spans="1:6" x14ac:dyDescent="0.25">
      <c r="A15" s="1" t="s">
        <v>12</v>
      </c>
      <c r="B15" s="7">
        <v>105214</v>
      </c>
      <c r="C15" s="7">
        <v>48421</v>
      </c>
      <c r="D15" s="7">
        <v>965</v>
      </c>
      <c r="E15" s="7">
        <v>51838</v>
      </c>
      <c r="F15" s="10">
        <f t="shared" si="0"/>
        <v>206438</v>
      </c>
    </row>
    <row r="16" spans="1:6" x14ac:dyDescent="0.25">
      <c r="A16" s="1" t="s">
        <v>13</v>
      </c>
      <c r="B16" s="7">
        <v>17666</v>
      </c>
      <c r="C16" s="7">
        <v>14390</v>
      </c>
      <c r="D16" s="7">
        <v>240</v>
      </c>
      <c r="E16" s="7">
        <v>7063</v>
      </c>
      <c r="F16" s="10">
        <f t="shared" si="0"/>
        <v>39359</v>
      </c>
    </row>
    <row r="17" spans="1:6" x14ac:dyDescent="0.25">
      <c r="A17" s="1" t="s">
        <v>14</v>
      </c>
      <c r="B17" s="7">
        <v>5453</v>
      </c>
      <c r="C17" s="7">
        <v>7302</v>
      </c>
      <c r="D17" s="7">
        <v>50</v>
      </c>
      <c r="E17" s="7">
        <v>3745</v>
      </c>
      <c r="F17" s="10">
        <f t="shared" si="0"/>
        <v>16550</v>
      </c>
    </row>
    <row r="18" spans="1:6" x14ac:dyDescent="0.25">
      <c r="A18" s="1" t="s">
        <v>15</v>
      </c>
      <c r="B18" s="7">
        <v>3728</v>
      </c>
      <c r="C18" s="7">
        <v>4263</v>
      </c>
      <c r="D18" s="7">
        <v>38</v>
      </c>
      <c r="E18" s="7">
        <v>1521</v>
      </c>
      <c r="F18" s="10">
        <f t="shared" si="0"/>
        <v>9550</v>
      </c>
    </row>
    <row r="19" spans="1:6" x14ac:dyDescent="0.25">
      <c r="A19" s="1" t="s">
        <v>16</v>
      </c>
      <c r="B19" s="7">
        <v>216623</v>
      </c>
      <c r="C19" s="7">
        <v>236870</v>
      </c>
      <c r="D19" s="7">
        <v>4263</v>
      </c>
      <c r="E19" s="7">
        <v>127241</v>
      </c>
      <c r="F19" s="10">
        <f t="shared" si="0"/>
        <v>584997</v>
      </c>
    </row>
    <row r="20" spans="1:6" x14ac:dyDescent="0.25">
      <c r="A20" s="1" t="s">
        <v>17</v>
      </c>
      <c r="B20" s="7">
        <v>92871</v>
      </c>
      <c r="C20" s="7">
        <v>70205</v>
      </c>
      <c r="D20" s="7">
        <v>1453</v>
      </c>
      <c r="E20" s="7">
        <v>42408</v>
      </c>
      <c r="F20" s="10">
        <f t="shared" si="0"/>
        <v>206937</v>
      </c>
    </row>
    <row r="21" spans="1:6" x14ac:dyDescent="0.25">
      <c r="A21" s="1" t="s">
        <v>18</v>
      </c>
      <c r="B21" s="7">
        <v>32812</v>
      </c>
      <c r="C21" s="7">
        <v>24966</v>
      </c>
      <c r="D21" s="7">
        <v>427</v>
      </c>
      <c r="E21" s="7">
        <v>22591</v>
      </c>
      <c r="F21" s="10">
        <f t="shared" si="0"/>
        <v>80796</v>
      </c>
    </row>
    <row r="22" spans="1:6" x14ac:dyDescent="0.25">
      <c r="A22" s="1" t="s">
        <v>19</v>
      </c>
      <c r="B22" s="7">
        <v>2451</v>
      </c>
      <c r="C22" s="7">
        <v>4040</v>
      </c>
      <c r="D22" s="7">
        <v>89</v>
      </c>
      <c r="E22" s="7">
        <v>983</v>
      </c>
      <c r="F22" s="10">
        <f t="shared" si="0"/>
        <v>7563</v>
      </c>
    </row>
    <row r="23" spans="1:6" x14ac:dyDescent="0.25">
      <c r="A23" s="1" t="s">
        <v>20</v>
      </c>
      <c r="B23" s="7">
        <v>4694</v>
      </c>
      <c r="C23" s="7">
        <v>22251</v>
      </c>
      <c r="D23" s="7">
        <v>78</v>
      </c>
      <c r="E23" s="7">
        <v>2835</v>
      </c>
      <c r="F23" s="10">
        <f t="shared" si="0"/>
        <v>29858</v>
      </c>
    </row>
    <row r="24" spans="1:6" x14ac:dyDescent="0.25">
      <c r="A24" s="1" t="s">
        <v>21</v>
      </c>
      <c r="B24" s="7">
        <v>6310</v>
      </c>
      <c r="C24" s="7">
        <v>3397</v>
      </c>
      <c r="D24" s="7">
        <v>64</v>
      </c>
      <c r="E24" s="7">
        <v>1782</v>
      </c>
      <c r="F24" s="10">
        <f t="shared" si="0"/>
        <v>11553</v>
      </c>
    </row>
    <row r="25" spans="1:6" x14ac:dyDescent="0.25">
      <c r="A25" s="1" t="s">
        <v>22</v>
      </c>
      <c r="B25" s="7">
        <v>2609</v>
      </c>
      <c r="C25" s="7">
        <v>2842</v>
      </c>
      <c r="D25" s="7">
        <v>32</v>
      </c>
      <c r="E25" s="7">
        <v>1227</v>
      </c>
      <c r="F25" s="10">
        <f t="shared" si="0"/>
        <v>6710</v>
      </c>
    </row>
    <row r="26" spans="1:6" x14ac:dyDescent="0.25">
      <c r="A26" s="1" t="s">
        <v>23</v>
      </c>
      <c r="B26" s="7">
        <v>4762</v>
      </c>
      <c r="C26" s="7">
        <v>3964</v>
      </c>
      <c r="D26" s="7">
        <v>82</v>
      </c>
      <c r="E26" s="7">
        <v>1182</v>
      </c>
      <c r="F26" s="10">
        <f t="shared" si="0"/>
        <v>9990</v>
      </c>
    </row>
    <row r="27" spans="1:6" x14ac:dyDescent="0.25">
      <c r="A27" s="1" t="s">
        <v>24</v>
      </c>
      <c r="B27" s="7">
        <v>2333</v>
      </c>
      <c r="C27" s="7">
        <v>4309</v>
      </c>
      <c r="D27" s="7">
        <v>29</v>
      </c>
      <c r="E27" s="7">
        <v>953</v>
      </c>
      <c r="F27" s="10">
        <f t="shared" si="0"/>
        <v>7624</v>
      </c>
    </row>
    <row r="28" spans="1:6" x14ac:dyDescent="0.25">
      <c r="A28" s="1" t="s">
        <v>25</v>
      </c>
      <c r="B28" s="7">
        <v>5160</v>
      </c>
      <c r="C28" s="7">
        <v>4602</v>
      </c>
      <c r="D28" s="7">
        <v>121</v>
      </c>
      <c r="E28" s="7">
        <v>2204</v>
      </c>
      <c r="F28" s="10">
        <f t="shared" si="0"/>
        <v>12087</v>
      </c>
    </row>
    <row r="29" spans="1:6" x14ac:dyDescent="0.25">
      <c r="A29" s="1" t="s">
        <v>26</v>
      </c>
      <c r="B29" s="7">
        <v>6248</v>
      </c>
      <c r="C29" s="7">
        <v>7877</v>
      </c>
      <c r="D29" s="7">
        <v>70</v>
      </c>
      <c r="E29" s="7">
        <v>3314</v>
      </c>
      <c r="F29" s="10">
        <f t="shared" si="0"/>
        <v>17509</v>
      </c>
    </row>
    <row r="30" spans="1:6" x14ac:dyDescent="0.25">
      <c r="A30" s="1" t="s">
        <v>27</v>
      </c>
      <c r="B30" s="7">
        <v>53630</v>
      </c>
      <c r="C30" s="7">
        <v>41672</v>
      </c>
      <c r="D30" s="7">
        <v>1041</v>
      </c>
      <c r="E30" s="7">
        <v>34706</v>
      </c>
      <c r="F30" s="10">
        <f t="shared" si="0"/>
        <v>131049</v>
      </c>
    </row>
    <row r="31" spans="1:6" x14ac:dyDescent="0.25">
      <c r="A31" s="1" t="s">
        <v>28</v>
      </c>
      <c r="B31" s="7">
        <v>26614</v>
      </c>
      <c r="C31" s="7">
        <v>17820</v>
      </c>
      <c r="D31" s="7">
        <v>223</v>
      </c>
      <c r="E31" s="7">
        <v>13331</v>
      </c>
      <c r="F31" s="10">
        <f t="shared" si="0"/>
        <v>57988</v>
      </c>
    </row>
    <row r="32" spans="1:6" x14ac:dyDescent="0.25">
      <c r="A32" s="1" t="s">
        <v>29</v>
      </c>
      <c r="B32" s="7">
        <v>261963</v>
      </c>
      <c r="C32" s="7">
        <v>320485</v>
      </c>
      <c r="D32" s="7">
        <v>5590</v>
      </c>
      <c r="E32" s="7">
        <v>238190</v>
      </c>
      <c r="F32" s="10">
        <f t="shared" si="0"/>
        <v>826228</v>
      </c>
    </row>
    <row r="33" spans="1:6" x14ac:dyDescent="0.25">
      <c r="A33" s="1" t="s">
        <v>30</v>
      </c>
      <c r="B33" s="7">
        <v>6016</v>
      </c>
      <c r="C33" s="7">
        <v>3366</v>
      </c>
      <c r="D33" s="7">
        <v>26</v>
      </c>
      <c r="E33" s="7">
        <v>1158</v>
      </c>
      <c r="F33" s="10">
        <f t="shared" si="0"/>
        <v>10566</v>
      </c>
    </row>
    <row r="34" spans="1:6" x14ac:dyDescent="0.25">
      <c r="A34" s="1" t="s">
        <v>31</v>
      </c>
      <c r="B34" s="7">
        <v>51014</v>
      </c>
      <c r="C34" s="7">
        <v>29774</v>
      </c>
      <c r="D34" s="7">
        <v>717</v>
      </c>
      <c r="E34" s="7">
        <v>29051</v>
      </c>
      <c r="F34" s="10">
        <f t="shared" si="0"/>
        <v>110556</v>
      </c>
    </row>
    <row r="35" spans="1:6" x14ac:dyDescent="0.25">
      <c r="A35" s="1" t="s">
        <v>32</v>
      </c>
      <c r="B35" s="7">
        <v>10013</v>
      </c>
      <c r="C35" s="7">
        <v>14517</v>
      </c>
      <c r="D35" s="7">
        <v>70</v>
      </c>
      <c r="E35" s="7">
        <v>2908</v>
      </c>
      <c r="F35" s="10">
        <f t="shared" si="0"/>
        <v>27508</v>
      </c>
    </row>
    <row r="36" spans="1:6" x14ac:dyDescent="0.25">
      <c r="A36" s="1" t="s">
        <v>33</v>
      </c>
      <c r="B36" s="7">
        <v>2990</v>
      </c>
      <c r="C36" s="7">
        <v>5513</v>
      </c>
      <c r="D36" s="7">
        <v>32</v>
      </c>
      <c r="E36" s="7">
        <v>1107</v>
      </c>
      <c r="F36" s="10">
        <f t="shared" si="0"/>
        <v>9642</v>
      </c>
    </row>
    <row r="37" spans="1:6" x14ac:dyDescent="0.25">
      <c r="A37" s="1" t="s">
        <v>34</v>
      </c>
      <c r="B37" s="7">
        <v>1569</v>
      </c>
      <c r="C37" s="7">
        <v>2416</v>
      </c>
      <c r="D37" s="7">
        <v>12</v>
      </c>
      <c r="E37" s="7">
        <v>302</v>
      </c>
      <c r="F37" s="10">
        <f t="shared" si="0"/>
        <v>4299</v>
      </c>
    </row>
    <row r="38" spans="1:6" x14ac:dyDescent="0.25">
      <c r="A38" s="1" t="s">
        <v>35</v>
      </c>
      <c r="B38" s="7">
        <v>100166</v>
      </c>
      <c r="C38" s="7">
        <v>69760</v>
      </c>
      <c r="D38" s="7">
        <v>1058</v>
      </c>
      <c r="E38" s="7">
        <v>57475</v>
      </c>
      <c r="F38" s="10">
        <f t="shared" si="0"/>
        <v>228459</v>
      </c>
    </row>
    <row r="39" spans="1:6" x14ac:dyDescent="0.25">
      <c r="A39" s="1" t="s">
        <v>36</v>
      </c>
      <c r="B39" s="7">
        <v>185887</v>
      </c>
      <c r="C39" s="7">
        <v>116570</v>
      </c>
      <c r="D39" s="7">
        <v>2221</v>
      </c>
      <c r="E39" s="7">
        <v>127738</v>
      </c>
      <c r="F39" s="10">
        <f t="shared" si="0"/>
        <v>432416</v>
      </c>
    </row>
    <row r="40" spans="1:6" x14ac:dyDescent="0.25">
      <c r="A40" s="1" t="s">
        <v>37</v>
      </c>
      <c r="B40" s="7">
        <v>56908</v>
      </c>
      <c r="C40" s="7">
        <v>107730</v>
      </c>
      <c r="D40" s="7">
        <v>1311</v>
      </c>
      <c r="E40" s="7">
        <v>39949</v>
      </c>
      <c r="F40" s="10">
        <f t="shared" si="0"/>
        <v>205898</v>
      </c>
    </row>
    <row r="41" spans="1:6" x14ac:dyDescent="0.25">
      <c r="A41" s="1" t="s">
        <v>38</v>
      </c>
      <c r="B41" s="7">
        <v>12692</v>
      </c>
      <c r="C41" s="7">
        <v>9205</v>
      </c>
      <c r="D41" s="7">
        <v>424</v>
      </c>
      <c r="E41" s="7">
        <v>4981</v>
      </c>
      <c r="F41" s="10">
        <f t="shared" si="0"/>
        <v>27302</v>
      </c>
    </row>
    <row r="42" spans="1:6" x14ac:dyDescent="0.25">
      <c r="A42" s="1" t="s">
        <v>39</v>
      </c>
      <c r="B42" s="7">
        <v>805</v>
      </c>
      <c r="C42" s="7">
        <v>3151</v>
      </c>
      <c r="D42" s="7">
        <v>3</v>
      </c>
      <c r="E42" s="7">
        <v>373</v>
      </c>
      <c r="F42" s="10">
        <f t="shared" si="0"/>
        <v>4332</v>
      </c>
    </row>
    <row r="43" spans="1:6" x14ac:dyDescent="0.25">
      <c r="A43" s="1" t="s">
        <v>40</v>
      </c>
      <c r="B43" s="7">
        <v>3426</v>
      </c>
      <c r="C43" s="7">
        <v>6990</v>
      </c>
      <c r="D43" s="7">
        <v>36</v>
      </c>
      <c r="E43" s="7">
        <v>1314</v>
      </c>
      <c r="F43" s="10">
        <f t="shared" si="0"/>
        <v>11766</v>
      </c>
    </row>
    <row r="44" spans="1:6" x14ac:dyDescent="0.25">
      <c r="A44" s="1" t="s">
        <v>41</v>
      </c>
      <c r="B44" s="7">
        <v>102770</v>
      </c>
      <c r="C44" s="7">
        <v>72293</v>
      </c>
      <c r="D44" s="7">
        <v>1448</v>
      </c>
      <c r="E44" s="7">
        <v>61379</v>
      </c>
      <c r="F44" s="10">
        <f t="shared" si="0"/>
        <v>237890</v>
      </c>
    </row>
    <row r="45" spans="1:6" x14ac:dyDescent="0.25">
      <c r="A45" s="1" t="s">
        <v>42</v>
      </c>
      <c r="B45" s="7">
        <v>104590</v>
      </c>
      <c r="C45" s="7">
        <v>78027</v>
      </c>
      <c r="D45" s="7">
        <v>1253</v>
      </c>
      <c r="E45" s="7">
        <v>52914</v>
      </c>
      <c r="F45" s="10">
        <f t="shared" si="0"/>
        <v>236784</v>
      </c>
    </row>
    <row r="46" spans="1:6" x14ac:dyDescent="0.25">
      <c r="A46" s="1" t="s">
        <v>43</v>
      </c>
      <c r="B46" s="7">
        <v>55814</v>
      </c>
      <c r="C46" s="7">
        <v>28131</v>
      </c>
      <c r="D46" s="7">
        <v>790</v>
      </c>
      <c r="E46" s="7">
        <v>27805</v>
      </c>
      <c r="F46" s="10">
        <f t="shared" si="0"/>
        <v>112540</v>
      </c>
    </row>
    <row r="47" spans="1:6" x14ac:dyDescent="0.25">
      <c r="A47" s="1" t="s">
        <v>44</v>
      </c>
      <c r="B47" s="7">
        <v>367533</v>
      </c>
      <c r="C47" s="7">
        <v>581349</v>
      </c>
      <c r="D47" s="7">
        <v>5283</v>
      </c>
      <c r="E47" s="7">
        <v>433099</v>
      </c>
      <c r="F47" s="10">
        <f t="shared" si="0"/>
        <v>1387264</v>
      </c>
    </row>
    <row r="48" spans="1:6" x14ac:dyDescent="0.25">
      <c r="A48" s="1" t="s">
        <v>45</v>
      </c>
      <c r="B48" s="7">
        <v>20618</v>
      </c>
      <c r="C48" s="7">
        <v>16982</v>
      </c>
      <c r="D48" s="7">
        <v>509</v>
      </c>
      <c r="E48" s="7">
        <v>14683</v>
      </c>
      <c r="F48" s="10">
        <f t="shared" si="0"/>
        <v>52792</v>
      </c>
    </row>
    <row r="49" spans="1:6" x14ac:dyDescent="0.25">
      <c r="A49" s="1" t="s">
        <v>46</v>
      </c>
      <c r="B49" s="7">
        <v>37328</v>
      </c>
      <c r="C49" s="7">
        <v>14202</v>
      </c>
      <c r="D49" s="7">
        <v>517</v>
      </c>
      <c r="E49" s="7">
        <v>12978</v>
      </c>
      <c r="F49" s="10">
        <f t="shared" si="0"/>
        <v>65025</v>
      </c>
    </row>
    <row r="50" spans="1:6" x14ac:dyDescent="0.25">
      <c r="A50" s="1" t="s">
        <v>47</v>
      </c>
      <c r="B50" s="7">
        <v>76359</v>
      </c>
      <c r="C50" s="7">
        <v>24774</v>
      </c>
      <c r="D50" s="7">
        <v>1201</v>
      </c>
      <c r="E50" s="7">
        <v>29668</v>
      </c>
      <c r="F50" s="10">
        <f t="shared" si="0"/>
        <v>132002</v>
      </c>
    </row>
    <row r="51" spans="1:6" x14ac:dyDescent="0.25">
      <c r="A51" s="1" t="s">
        <v>48</v>
      </c>
      <c r="B51" s="7">
        <v>8719</v>
      </c>
      <c r="C51" s="7">
        <v>7347</v>
      </c>
      <c r="D51" s="7">
        <v>119</v>
      </c>
      <c r="E51" s="7">
        <v>3948</v>
      </c>
      <c r="F51" s="10">
        <f t="shared" si="0"/>
        <v>20133</v>
      </c>
    </row>
    <row r="52" spans="1:6" x14ac:dyDescent="0.25">
      <c r="A52" s="1" t="s">
        <v>49</v>
      </c>
      <c r="B52" s="7">
        <v>204897</v>
      </c>
      <c r="C52" s="7">
        <v>318202</v>
      </c>
      <c r="D52" s="7">
        <v>4860</v>
      </c>
      <c r="E52" s="7">
        <v>231008</v>
      </c>
      <c r="F52" s="10">
        <f t="shared" si="0"/>
        <v>758967</v>
      </c>
    </row>
    <row r="53" spans="1:6" x14ac:dyDescent="0.25">
      <c r="A53" s="1" t="s">
        <v>50</v>
      </c>
      <c r="B53" s="7">
        <v>47543</v>
      </c>
      <c r="C53" s="7">
        <v>88518</v>
      </c>
      <c r="D53" s="7">
        <v>792</v>
      </c>
      <c r="E53" s="7">
        <v>71156</v>
      </c>
      <c r="F53" s="10">
        <f t="shared" si="0"/>
        <v>208009</v>
      </c>
    </row>
    <row r="54" spans="1:6" x14ac:dyDescent="0.25">
      <c r="A54" s="1" t="s">
        <v>51</v>
      </c>
      <c r="B54" s="7">
        <v>257165</v>
      </c>
      <c r="C54" s="7">
        <v>382978</v>
      </c>
      <c r="D54" s="7">
        <v>6341</v>
      </c>
      <c r="E54" s="7">
        <v>264492</v>
      </c>
      <c r="F54" s="10">
        <f t="shared" si="0"/>
        <v>910976</v>
      </c>
    </row>
    <row r="55" spans="1:6" x14ac:dyDescent="0.25">
      <c r="A55" s="1" t="s">
        <v>52</v>
      </c>
      <c r="B55" s="7">
        <v>132499</v>
      </c>
      <c r="C55" s="7">
        <v>106516</v>
      </c>
      <c r="D55" s="7">
        <v>2533</v>
      </c>
      <c r="E55" s="7">
        <v>100092</v>
      </c>
      <c r="F55" s="10">
        <f t="shared" si="0"/>
        <v>341640</v>
      </c>
    </row>
    <row r="56" spans="1:6" x14ac:dyDescent="0.25">
      <c r="A56" s="1" t="s">
        <v>53</v>
      </c>
      <c r="B56" s="7">
        <v>229310</v>
      </c>
      <c r="C56" s="7">
        <v>228551</v>
      </c>
      <c r="D56" s="7">
        <v>5054</v>
      </c>
      <c r="E56" s="7">
        <v>184943</v>
      </c>
      <c r="F56" s="10">
        <f t="shared" si="0"/>
        <v>647858</v>
      </c>
    </row>
    <row r="57" spans="1:6" x14ac:dyDescent="0.25">
      <c r="A57" s="1" t="s">
        <v>54</v>
      </c>
      <c r="B57" s="7">
        <v>143565</v>
      </c>
      <c r="C57" s="7">
        <v>143244</v>
      </c>
      <c r="D57" s="7">
        <v>2340</v>
      </c>
      <c r="E57" s="7">
        <v>114504</v>
      </c>
      <c r="F57" s="10">
        <f t="shared" si="0"/>
        <v>403653</v>
      </c>
    </row>
    <row r="58" spans="1:6" x14ac:dyDescent="0.25">
      <c r="A58" s="1" t="s">
        <v>55</v>
      </c>
      <c r="B58" s="7">
        <v>18410</v>
      </c>
      <c r="C58" s="7">
        <v>19001</v>
      </c>
      <c r="D58" s="7">
        <v>235</v>
      </c>
      <c r="E58" s="7">
        <v>9107</v>
      </c>
      <c r="F58" s="10">
        <f t="shared" si="0"/>
        <v>46753</v>
      </c>
    </row>
    <row r="59" spans="1:6" x14ac:dyDescent="0.25">
      <c r="A59" s="1" t="s">
        <v>56</v>
      </c>
      <c r="B59" s="7">
        <v>75553</v>
      </c>
      <c r="C59" s="7">
        <v>24964</v>
      </c>
      <c r="D59" s="7">
        <v>1250</v>
      </c>
      <c r="E59" s="7">
        <v>27284</v>
      </c>
      <c r="F59" s="10">
        <f t="shared" si="0"/>
        <v>129051</v>
      </c>
    </row>
    <row r="60" spans="1:6" x14ac:dyDescent="0.25">
      <c r="A60" s="1" t="s">
        <v>57</v>
      </c>
      <c r="B60" s="7">
        <v>132333</v>
      </c>
      <c r="C60" s="7">
        <v>94403</v>
      </c>
      <c r="D60" s="7">
        <v>2040</v>
      </c>
      <c r="E60" s="7">
        <v>82376</v>
      </c>
      <c r="F60" s="10">
        <f t="shared" si="0"/>
        <v>311152</v>
      </c>
    </row>
    <row r="61" spans="1:6" x14ac:dyDescent="0.25">
      <c r="A61" s="1" t="s">
        <v>58</v>
      </c>
      <c r="B61" s="7">
        <v>108234</v>
      </c>
      <c r="C61" s="7">
        <v>97659</v>
      </c>
      <c r="D61" s="7">
        <v>1944</v>
      </c>
      <c r="E61" s="7">
        <v>82519</v>
      </c>
      <c r="F61" s="10">
        <f t="shared" si="0"/>
        <v>290356</v>
      </c>
    </row>
    <row r="62" spans="1:6" x14ac:dyDescent="0.25">
      <c r="A62" s="1" t="s">
        <v>59</v>
      </c>
      <c r="B62" s="7">
        <v>95397</v>
      </c>
      <c r="C62" s="7">
        <v>42353</v>
      </c>
      <c r="D62" s="7">
        <v>1489</v>
      </c>
      <c r="E62" s="7">
        <v>41907</v>
      </c>
      <c r="F62" s="10">
        <f t="shared" si="0"/>
        <v>181146</v>
      </c>
    </row>
    <row r="63" spans="1:6" x14ac:dyDescent="0.25">
      <c r="A63" s="1" t="s">
        <v>60</v>
      </c>
      <c r="B63" s="7">
        <v>63696</v>
      </c>
      <c r="C63" s="7">
        <v>78440</v>
      </c>
      <c r="D63" s="7">
        <v>1030</v>
      </c>
      <c r="E63" s="7">
        <v>54905</v>
      </c>
      <c r="F63" s="10">
        <f t="shared" si="0"/>
        <v>198071</v>
      </c>
    </row>
    <row r="64" spans="1:6" x14ac:dyDescent="0.25">
      <c r="A64" s="1" t="s">
        <v>61</v>
      </c>
      <c r="B64" s="7">
        <v>50658</v>
      </c>
      <c r="C64" s="7">
        <v>23354</v>
      </c>
      <c r="D64" s="7">
        <v>370</v>
      </c>
      <c r="E64" s="7">
        <v>19722</v>
      </c>
      <c r="F64" s="10">
        <f t="shared" si="0"/>
        <v>94104</v>
      </c>
    </row>
    <row r="65" spans="1:6" x14ac:dyDescent="0.25">
      <c r="A65" s="1" t="s">
        <v>62</v>
      </c>
      <c r="B65" s="7">
        <v>11544</v>
      </c>
      <c r="C65" s="7">
        <v>9875</v>
      </c>
      <c r="D65" s="7">
        <v>171</v>
      </c>
      <c r="E65" s="7">
        <v>3919</v>
      </c>
      <c r="F65" s="10">
        <f t="shared" si="0"/>
        <v>25509</v>
      </c>
    </row>
    <row r="66" spans="1:6" x14ac:dyDescent="0.25">
      <c r="A66" s="1" t="s">
        <v>63</v>
      </c>
      <c r="B66" s="7">
        <v>4323</v>
      </c>
      <c r="C66" s="7">
        <v>6364</v>
      </c>
      <c r="D66" s="7">
        <v>56</v>
      </c>
      <c r="E66" s="7">
        <v>1187</v>
      </c>
      <c r="F66" s="10">
        <f t="shared" si="0"/>
        <v>11930</v>
      </c>
    </row>
    <row r="67" spans="1:6" x14ac:dyDescent="0.25">
      <c r="A67" s="1" t="s">
        <v>64</v>
      </c>
      <c r="B67" s="7">
        <v>3089</v>
      </c>
      <c r="C67" s="7">
        <v>3348</v>
      </c>
      <c r="D67" s="7">
        <v>20</v>
      </c>
      <c r="E67" s="7">
        <v>748</v>
      </c>
      <c r="F67" s="10">
        <f t="shared" si="0"/>
        <v>7205</v>
      </c>
    </row>
    <row r="68" spans="1:6" x14ac:dyDescent="0.25">
      <c r="A68" s="1" t="s">
        <v>65</v>
      </c>
      <c r="B68" s="7">
        <v>131593</v>
      </c>
      <c r="C68" s="7">
        <v>126961</v>
      </c>
      <c r="D68" s="7">
        <v>2474</v>
      </c>
      <c r="E68" s="7">
        <v>110243</v>
      </c>
      <c r="F68" s="10">
        <f t="shared" si="0"/>
        <v>371271</v>
      </c>
    </row>
    <row r="69" spans="1:6" x14ac:dyDescent="0.25">
      <c r="A69" s="1" t="s">
        <v>66</v>
      </c>
      <c r="B69" s="7">
        <v>8260</v>
      </c>
      <c r="C69" s="7">
        <v>8485</v>
      </c>
      <c r="D69" s="7">
        <v>112</v>
      </c>
      <c r="E69" s="7">
        <v>3469</v>
      </c>
      <c r="F69" s="10">
        <f t="shared" si="0"/>
        <v>20326</v>
      </c>
    </row>
    <row r="70" spans="1:6" x14ac:dyDescent="0.25">
      <c r="A70" s="1" t="s">
        <v>67</v>
      </c>
      <c r="B70" s="7">
        <v>28922</v>
      </c>
      <c r="C70" s="7">
        <v>9658</v>
      </c>
      <c r="D70" s="7">
        <v>371</v>
      </c>
      <c r="E70" s="7">
        <v>9800</v>
      </c>
      <c r="F70" s="10">
        <f t="shared" ref="F70:F71" si="1">SUM(B70:E70)</f>
        <v>48751</v>
      </c>
    </row>
    <row r="71" spans="1:6" ht="15.75" thickBot="1" x14ac:dyDescent="0.3">
      <c r="A71" s="1" t="s">
        <v>68</v>
      </c>
      <c r="B71" s="7">
        <v>7982</v>
      </c>
      <c r="C71" s="7">
        <v>5367</v>
      </c>
      <c r="D71" s="7">
        <v>70</v>
      </c>
      <c r="E71" s="7">
        <v>2185</v>
      </c>
      <c r="F71" s="10">
        <f t="shared" si="1"/>
        <v>15604</v>
      </c>
    </row>
    <row r="72" spans="1:6" ht="16.5" thickTop="1" thickBot="1" x14ac:dyDescent="0.3">
      <c r="A72" s="3" t="s">
        <v>1</v>
      </c>
      <c r="B72" s="8">
        <f>SUM(B5:B71)</f>
        <v>4547635</v>
      </c>
      <c r="C72" s="8">
        <f>SUM(C5:C71)</f>
        <v>4776092</v>
      </c>
      <c r="D72" s="8">
        <f>SUM(D5:D71)</f>
        <v>79587</v>
      </c>
      <c r="E72" s="8">
        <f>SUM(E5:E71)</f>
        <v>3472684</v>
      </c>
      <c r="F72" s="8">
        <f>SUM(F5:F71)</f>
        <v>12875998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>
      <selection activeCell="H34" sqref="H34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customHeight="1" x14ac:dyDescent="0.3">
      <c r="A1" s="14" t="s">
        <v>80</v>
      </c>
      <c r="B1" s="15"/>
      <c r="C1" s="15"/>
      <c r="D1" s="15"/>
      <c r="E1" s="15"/>
      <c r="F1" s="16"/>
    </row>
    <row r="2" spans="1:6" x14ac:dyDescent="0.25">
      <c r="A2" s="17" t="s">
        <v>103</v>
      </c>
      <c r="B2" s="18"/>
      <c r="C2" s="18"/>
      <c r="D2" s="18"/>
      <c r="E2" s="18"/>
      <c r="F2" s="19"/>
    </row>
    <row r="3" spans="1:6" x14ac:dyDescent="0.25">
      <c r="A3" s="20" t="s">
        <v>73</v>
      </c>
      <c r="B3" s="21"/>
      <c r="C3" s="21"/>
      <c r="D3" s="21"/>
      <c r="E3" s="21"/>
      <c r="F3" s="22"/>
    </row>
    <row r="4" spans="1:6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7">
        <v>48955</v>
      </c>
      <c r="C5" s="7">
        <v>82777</v>
      </c>
      <c r="D5" s="7">
        <v>1364</v>
      </c>
      <c r="E5" s="7">
        <v>41223</v>
      </c>
      <c r="F5" s="10">
        <f>SUM(B5:E5)</f>
        <v>174319</v>
      </c>
    </row>
    <row r="6" spans="1:6" x14ac:dyDescent="0.25">
      <c r="A6" s="1" t="s">
        <v>3</v>
      </c>
      <c r="B6" s="7">
        <v>7750</v>
      </c>
      <c r="C6" s="7">
        <v>5358</v>
      </c>
      <c r="D6" s="7">
        <v>47</v>
      </c>
      <c r="E6" s="7">
        <v>1570</v>
      </c>
      <c r="F6" s="10">
        <f t="shared" ref="F6:F69" si="0">SUM(B6:E6)</f>
        <v>14725</v>
      </c>
    </row>
    <row r="7" spans="1:6" x14ac:dyDescent="0.25">
      <c r="A7" s="1" t="s">
        <v>4</v>
      </c>
      <c r="B7" s="7">
        <v>61564</v>
      </c>
      <c r="C7" s="7">
        <v>30553</v>
      </c>
      <c r="D7" s="7">
        <v>1002</v>
      </c>
      <c r="E7" s="7">
        <v>25620</v>
      </c>
      <c r="F7" s="10">
        <f t="shared" si="0"/>
        <v>118739</v>
      </c>
    </row>
    <row r="8" spans="1:6" x14ac:dyDescent="0.25">
      <c r="A8" s="1" t="s">
        <v>5</v>
      </c>
      <c r="B8" s="7">
        <v>7552</v>
      </c>
      <c r="C8" s="7">
        <v>6091</v>
      </c>
      <c r="D8" s="7">
        <v>75</v>
      </c>
      <c r="E8" s="7">
        <v>2459</v>
      </c>
      <c r="F8" s="10">
        <f t="shared" si="0"/>
        <v>16177</v>
      </c>
    </row>
    <row r="9" spans="1:6" x14ac:dyDescent="0.25">
      <c r="A9" s="1" t="s">
        <v>6</v>
      </c>
      <c r="B9" s="7">
        <v>173484</v>
      </c>
      <c r="C9" s="7">
        <v>127552</v>
      </c>
      <c r="D9" s="7">
        <v>3630</v>
      </c>
      <c r="E9" s="7">
        <v>108227</v>
      </c>
      <c r="F9" s="10">
        <f t="shared" si="0"/>
        <v>412893</v>
      </c>
    </row>
    <row r="10" spans="1:6" x14ac:dyDescent="0.25">
      <c r="A10" s="1" t="s">
        <v>7</v>
      </c>
      <c r="B10" s="7">
        <v>245785</v>
      </c>
      <c r="C10" s="7">
        <v>572654</v>
      </c>
      <c r="D10" s="7">
        <v>5743</v>
      </c>
      <c r="E10" s="7">
        <v>322122</v>
      </c>
      <c r="F10" s="10">
        <f t="shared" si="0"/>
        <v>1146304</v>
      </c>
    </row>
    <row r="11" spans="1:6" x14ac:dyDescent="0.25">
      <c r="A11" s="1" t="s">
        <v>8</v>
      </c>
      <c r="B11" s="7">
        <v>2454</v>
      </c>
      <c r="C11" s="7">
        <v>5164</v>
      </c>
      <c r="D11" s="7">
        <v>29</v>
      </c>
      <c r="E11" s="7">
        <v>977</v>
      </c>
      <c r="F11" s="10">
        <f t="shared" si="0"/>
        <v>8624</v>
      </c>
    </row>
    <row r="12" spans="1:6" x14ac:dyDescent="0.25">
      <c r="A12" s="1" t="s">
        <v>9</v>
      </c>
      <c r="B12" s="7">
        <v>59300</v>
      </c>
      <c r="C12" s="7">
        <v>36234</v>
      </c>
      <c r="D12" s="7">
        <v>994</v>
      </c>
      <c r="E12" s="7">
        <v>35697</v>
      </c>
      <c r="F12" s="10">
        <f t="shared" si="0"/>
        <v>132225</v>
      </c>
    </row>
    <row r="13" spans="1:6" x14ac:dyDescent="0.25">
      <c r="A13" s="1" t="s">
        <v>10</v>
      </c>
      <c r="B13" s="7">
        <v>50674</v>
      </c>
      <c r="C13" s="7">
        <v>29406</v>
      </c>
      <c r="D13" s="7">
        <v>762</v>
      </c>
      <c r="E13" s="7">
        <v>26480</v>
      </c>
      <c r="F13" s="10">
        <f t="shared" si="0"/>
        <v>107322</v>
      </c>
    </row>
    <row r="14" spans="1:6" x14ac:dyDescent="0.25">
      <c r="A14" s="1" t="s">
        <v>11</v>
      </c>
      <c r="B14" s="7">
        <v>80928</v>
      </c>
      <c r="C14" s="7">
        <v>33034</v>
      </c>
      <c r="D14" s="7">
        <v>1066</v>
      </c>
      <c r="E14" s="7">
        <v>35590</v>
      </c>
      <c r="F14" s="10">
        <f t="shared" si="0"/>
        <v>150618</v>
      </c>
    </row>
    <row r="15" spans="1:6" x14ac:dyDescent="0.25">
      <c r="A15" s="1" t="s">
        <v>12</v>
      </c>
      <c r="B15" s="7">
        <v>105615</v>
      </c>
      <c r="C15" s="7">
        <v>48696</v>
      </c>
      <c r="D15" s="7">
        <v>1018</v>
      </c>
      <c r="E15" s="7">
        <v>52076</v>
      </c>
      <c r="F15" s="10">
        <f t="shared" si="0"/>
        <v>207405</v>
      </c>
    </row>
    <row r="16" spans="1:6" x14ac:dyDescent="0.25">
      <c r="A16" s="1" t="s">
        <v>13</v>
      </c>
      <c r="B16" s="7">
        <v>17744</v>
      </c>
      <c r="C16" s="7">
        <v>14394</v>
      </c>
      <c r="D16" s="7">
        <v>248</v>
      </c>
      <c r="E16" s="7">
        <v>7098</v>
      </c>
      <c r="F16" s="10">
        <f t="shared" si="0"/>
        <v>39484</v>
      </c>
    </row>
    <row r="17" spans="1:6" x14ac:dyDescent="0.25">
      <c r="A17" s="1" t="s">
        <v>14</v>
      </c>
      <c r="B17" s="7">
        <v>5493</v>
      </c>
      <c r="C17" s="7">
        <v>7299</v>
      </c>
      <c r="D17" s="7">
        <v>49</v>
      </c>
      <c r="E17" s="7">
        <v>3755</v>
      </c>
      <c r="F17" s="10">
        <f t="shared" si="0"/>
        <v>16596</v>
      </c>
    </row>
    <row r="18" spans="1:6" x14ac:dyDescent="0.25">
      <c r="A18" s="1" t="s">
        <v>15</v>
      </c>
      <c r="B18" s="7">
        <v>3744</v>
      </c>
      <c r="C18" s="7">
        <v>4247</v>
      </c>
      <c r="D18" s="7">
        <v>39</v>
      </c>
      <c r="E18" s="7">
        <v>1525</v>
      </c>
      <c r="F18" s="10">
        <f t="shared" si="0"/>
        <v>9555</v>
      </c>
    </row>
    <row r="19" spans="1:6" x14ac:dyDescent="0.25">
      <c r="A19" s="1" t="s">
        <v>16</v>
      </c>
      <c r="B19" s="7">
        <v>217173</v>
      </c>
      <c r="C19" s="7">
        <v>238056</v>
      </c>
      <c r="D19" s="7">
        <v>4405</v>
      </c>
      <c r="E19" s="7">
        <v>128559</v>
      </c>
      <c r="F19" s="10">
        <f t="shared" si="0"/>
        <v>588193</v>
      </c>
    </row>
    <row r="20" spans="1:6" x14ac:dyDescent="0.25">
      <c r="A20" s="1" t="s">
        <v>17</v>
      </c>
      <c r="B20" s="7">
        <v>93187</v>
      </c>
      <c r="C20" s="7">
        <v>70467</v>
      </c>
      <c r="D20" s="7">
        <v>1506</v>
      </c>
      <c r="E20" s="7">
        <v>42631</v>
      </c>
      <c r="F20" s="10">
        <f t="shared" si="0"/>
        <v>207791</v>
      </c>
    </row>
    <row r="21" spans="1:6" x14ac:dyDescent="0.25">
      <c r="A21" s="1" t="s">
        <v>18</v>
      </c>
      <c r="B21" s="7">
        <v>32998</v>
      </c>
      <c r="C21" s="7">
        <v>25054</v>
      </c>
      <c r="D21" s="7">
        <v>447</v>
      </c>
      <c r="E21" s="7">
        <v>22605</v>
      </c>
      <c r="F21" s="10">
        <f t="shared" si="0"/>
        <v>81104</v>
      </c>
    </row>
    <row r="22" spans="1:6" x14ac:dyDescent="0.25">
      <c r="A22" s="1" t="s">
        <v>19</v>
      </c>
      <c r="B22" s="7">
        <v>2472</v>
      </c>
      <c r="C22" s="7">
        <v>4021</v>
      </c>
      <c r="D22" s="7">
        <v>93</v>
      </c>
      <c r="E22" s="7">
        <v>987</v>
      </c>
      <c r="F22" s="10">
        <f t="shared" si="0"/>
        <v>7573</v>
      </c>
    </row>
    <row r="23" spans="1:6" x14ac:dyDescent="0.25">
      <c r="A23" s="1" t="s">
        <v>20</v>
      </c>
      <c r="B23" s="7">
        <v>4635</v>
      </c>
      <c r="C23" s="7">
        <v>21926</v>
      </c>
      <c r="D23" s="7">
        <v>79</v>
      </c>
      <c r="E23" s="7">
        <v>2868</v>
      </c>
      <c r="F23" s="10">
        <f t="shared" si="0"/>
        <v>29508</v>
      </c>
    </row>
    <row r="24" spans="1:6" x14ac:dyDescent="0.25">
      <c r="A24" s="1" t="s">
        <v>21</v>
      </c>
      <c r="B24" s="7">
        <v>6332</v>
      </c>
      <c r="C24" s="7">
        <v>3392</v>
      </c>
      <c r="D24" s="7">
        <v>65</v>
      </c>
      <c r="E24" s="7">
        <v>1786</v>
      </c>
      <c r="F24" s="10">
        <f t="shared" si="0"/>
        <v>11575</v>
      </c>
    </row>
    <row r="25" spans="1:6" x14ac:dyDescent="0.25">
      <c r="A25" s="1" t="s">
        <v>22</v>
      </c>
      <c r="B25" s="7">
        <v>2619</v>
      </c>
      <c r="C25" s="7">
        <v>2836</v>
      </c>
      <c r="D25" s="7">
        <v>31</v>
      </c>
      <c r="E25" s="7">
        <v>1239</v>
      </c>
      <c r="F25" s="10">
        <f t="shared" si="0"/>
        <v>6725</v>
      </c>
    </row>
    <row r="26" spans="1:6" x14ac:dyDescent="0.25">
      <c r="A26" s="1" t="s">
        <v>23</v>
      </c>
      <c r="B26" s="7">
        <v>4795</v>
      </c>
      <c r="C26" s="7">
        <v>3962</v>
      </c>
      <c r="D26" s="7">
        <v>88</v>
      </c>
      <c r="E26" s="7">
        <v>1186</v>
      </c>
      <c r="F26" s="10">
        <f t="shared" si="0"/>
        <v>10031</v>
      </c>
    </row>
    <row r="27" spans="1:6" x14ac:dyDescent="0.25">
      <c r="A27" s="1" t="s">
        <v>24</v>
      </c>
      <c r="B27" s="7">
        <v>2356</v>
      </c>
      <c r="C27" s="7">
        <v>4296</v>
      </c>
      <c r="D27" s="7">
        <v>29</v>
      </c>
      <c r="E27" s="7">
        <v>948</v>
      </c>
      <c r="F27" s="10">
        <f t="shared" si="0"/>
        <v>7629</v>
      </c>
    </row>
    <row r="28" spans="1:6" x14ac:dyDescent="0.25">
      <c r="A28" s="1" t="s">
        <v>25</v>
      </c>
      <c r="B28" s="7">
        <v>5178</v>
      </c>
      <c r="C28" s="7">
        <v>4583</v>
      </c>
      <c r="D28" s="7">
        <v>117</v>
      </c>
      <c r="E28" s="7">
        <v>2216</v>
      </c>
      <c r="F28" s="10">
        <f t="shared" si="0"/>
        <v>12094</v>
      </c>
    </row>
    <row r="29" spans="1:6" x14ac:dyDescent="0.25">
      <c r="A29" s="1" t="s">
        <v>26</v>
      </c>
      <c r="B29" s="7">
        <v>6260</v>
      </c>
      <c r="C29" s="7">
        <v>7877</v>
      </c>
      <c r="D29" s="7">
        <v>74</v>
      </c>
      <c r="E29" s="7">
        <v>3333</v>
      </c>
      <c r="F29" s="10">
        <f t="shared" si="0"/>
        <v>17544</v>
      </c>
    </row>
    <row r="30" spans="1:6" x14ac:dyDescent="0.25">
      <c r="A30" s="1" t="s">
        <v>27</v>
      </c>
      <c r="B30" s="7">
        <v>53919</v>
      </c>
      <c r="C30" s="7">
        <v>41749</v>
      </c>
      <c r="D30" s="7">
        <v>1090</v>
      </c>
      <c r="E30" s="7">
        <v>34777</v>
      </c>
      <c r="F30" s="10">
        <f t="shared" si="0"/>
        <v>131535</v>
      </c>
    </row>
    <row r="31" spans="1:6" x14ac:dyDescent="0.25">
      <c r="A31" s="1" t="s">
        <v>28</v>
      </c>
      <c r="B31" s="7">
        <v>26661</v>
      </c>
      <c r="C31" s="7">
        <v>17783</v>
      </c>
      <c r="D31" s="7">
        <v>227</v>
      </c>
      <c r="E31" s="7">
        <v>13344</v>
      </c>
      <c r="F31" s="10">
        <f t="shared" si="0"/>
        <v>58015</v>
      </c>
    </row>
    <row r="32" spans="1:6" x14ac:dyDescent="0.25">
      <c r="A32" s="1" t="s">
        <v>29</v>
      </c>
      <c r="B32" s="7">
        <v>262829</v>
      </c>
      <c r="C32" s="7">
        <v>322254</v>
      </c>
      <c r="D32" s="7">
        <v>5811</v>
      </c>
      <c r="E32" s="7">
        <v>239650</v>
      </c>
      <c r="F32" s="10">
        <f t="shared" si="0"/>
        <v>830544</v>
      </c>
    </row>
    <row r="33" spans="1:6" x14ac:dyDescent="0.25">
      <c r="A33" s="1" t="s">
        <v>30</v>
      </c>
      <c r="B33" s="7">
        <v>6062</v>
      </c>
      <c r="C33" s="7">
        <v>3349</v>
      </c>
      <c r="D33" s="7">
        <v>27</v>
      </c>
      <c r="E33" s="7">
        <v>1172</v>
      </c>
      <c r="F33" s="10">
        <f t="shared" si="0"/>
        <v>10610</v>
      </c>
    </row>
    <row r="34" spans="1:6" x14ac:dyDescent="0.25">
      <c r="A34" s="1" t="s">
        <v>31</v>
      </c>
      <c r="B34" s="7">
        <v>51243</v>
      </c>
      <c r="C34" s="7">
        <v>29920</v>
      </c>
      <c r="D34" s="7">
        <v>752</v>
      </c>
      <c r="E34" s="7">
        <v>29078</v>
      </c>
      <c r="F34" s="10">
        <f t="shared" si="0"/>
        <v>110993</v>
      </c>
    </row>
    <row r="35" spans="1:6" x14ac:dyDescent="0.25">
      <c r="A35" s="1" t="s">
        <v>32</v>
      </c>
      <c r="B35" s="7">
        <v>10065</v>
      </c>
      <c r="C35" s="7">
        <v>14496</v>
      </c>
      <c r="D35" s="7">
        <v>73</v>
      </c>
      <c r="E35" s="7">
        <v>2926</v>
      </c>
      <c r="F35" s="10">
        <f t="shared" si="0"/>
        <v>27560</v>
      </c>
    </row>
    <row r="36" spans="1:6" x14ac:dyDescent="0.25">
      <c r="A36" s="1" t="s">
        <v>33</v>
      </c>
      <c r="B36" s="7">
        <v>3050</v>
      </c>
      <c r="C36" s="7">
        <v>5451</v>
      </c>
      <c r="D36" s="7">
        <v>35</v>
      </c>
      <c r="E36" s="7">
        <v>1115</v>
      </c>
      <c r="F36" s="10">
        <f t="shared" si="0"/>
        <v>9651</v>
      </c>
    </row>
    <row r="37" spans="1:6" x14ac:dyDescent="0.25">
      <c r="A37" s="1" t="s">
        <v>34</v>
      </c>
      <c r="B37" s="7">
        <v>1581</v>
      </c>
      <c r="C37" s="7">
        <v>2403</v>
      </c>
      <c r="D37" s="7">
        <v>12</v>
      </c>
      <c r="E37" s="7">
        <v>301</v>
      </c>
      <c r="F37" s="10">
        <f t="shared" si="0"/>
        <v>4297</v>
      </c>
    </row>
    <row r="38" spans="1:6" x14ac:dyDescent="0.25">
      <c r="A38" s="1" t="s">
        <v>35</v>
      </c>
      <c r="B38" s="7">
        <v>100617</v>
      </c>
      <c r="C38" s="7">
        <v>69993</v>
      </c>
      <c r="D38" s="7">
        <v>1098</v>
      </c>
      <c r="E38" s="7">
        <v>57751</v>
      </c>
      <c r="F38" s="10">
        <f t="shared" si="0"/>
        <v>229459</v>
      </c>
    </row>
    <row r="39" spans="1:6" x14ac:dyDescent="0.25">
      <c r="A39" s="1" t="s">
        <v>36</v>
      </c>
      <c r="B39" s="7">
        <v>186490</v>
      </c>
      <c r="C39" s="7">
        <v>116990</v>
      </c>
      <c r="D39" s="7">
        <v>2323</v>
      </c>
      <c r="E39" s="7">
        <v>128229</v>
      </c>
      <c r="F39" s="10">
        <f t="shared" si="0"/>
        <v>434032</v>
      </c>
    </row>
    <row r="40" spans="1:6" x14ac:dyDescent="0.25">
      <c r="A40" s="1" t="s">
        <v>37</v>
      </c>
      <c r="B40" s="7">
        <v>56724</v>
      </c>
      <c r="C40" s="7">
        <v>107686</v>
      </c>
      <c r="D40" s="7">
        <v>1367</v>
      </c>
      <c r="E40" s="7">
        <v>40029</v>
      </c>
      <c r="F40" s="10">
        <f t="shared" si="0"/>
        <v>205806</v>
      </c>
    </row>
    <row r="41" spans="1:6" x14ac:dyDescent="0.25">
      <c r="A41" s="1" t="s">
        <v>38</v>
      </c>
      <c r="B41" s="7">
        <v>12755</v>
      </c>
      <c r="C41" s="7">
        <v>9188</v>
      </c>
      <c r="D41" s="7">
        <v>433</v>
      </c>
      <c r="E41" s="7">
        <v>5006</v>
      </c>
      <c r="F41" s="10">
        <f t="shared" si="0"/>
        <v>27382</v>
      </c>
    </row>
    <row r="42" spans="1:6" x14ac:dyDescent="0.25">
      <c r="A42" s="1" t="s">
        <v>39</v>
      </c>
      <c r="B42" s="7">
        <v>820</v>
      </c>
      <c r="C42" s="7">
        <v>3137</v>
      </c>
      <c r="D42" s="7">
        <v>3</v>
      </c>
      <c r="E42" s="7">
        <v>381</v>
      </c>
      <c r="F42" s="10">
        <f t="shared" si="0"/>
        <v>4341</v>
      </c>
    </row>
    <row r="43" spans="1:6" x14ac:dyDescent="0.25">
      <c r="A43" s="1" t="s">
        <v>40</v>
      </c>
      <c r="B43" s="7">
        <v>3452</v>
      </c>
      <c r="C43" s="7">
        <v>6963</v>
      </c>
      <c r="D43" s="7">
        <v>37</v>
      </c>
      <c r="E43" s="7">
        <v>1320</v>
      </c>
      <c r="F43" s="10">
        <f t="shared" si="0"/>
        <v>11772</v>
      </c>
    </row>
    <row r="44" spans="1:6" x14ac:dyDescent="0.25">
      <c r="A44" s="1" t="s">
        <v>41</v>
      </c>
      <c r="B44" s="7">
        <v>103180</v>
      </c>
      <c r="C44" s="7">
        <v>72620</v>
      </c>
      <c r="D44" s="7">
        <v>1507</v>
      </c>
      <c r="E44" s="7">
        <v>61709</v>
      </c>
      <c r="F44" s="10">
        <f t="shared" si="0"/>
        <v>239016</v>
      </c>
    </row>
    <row r="45" spans="1:6" x14ac:dyDescent="0.25">
      <c r="A45" s="1" t="s">
        <v>42</v>
      </c>
      <c r="B45" s="7">
        <v>105025</v>
      </c>
      <c r="C45" s="7">
        <v>78283</v>
      </c>
      <c r="D45" s="7">
        <v>1290</v>
      </c>
      <c r="E45" s="7">
        <v>53184</v>
      </c>
      <c r="F45" s="10">
        <f t="shared" si="0"/>
        <v>237782</v>
      </c>
    </row>
    <row r="46" spans="1:6" x14ac:dyDescent="0.25">
      <c r="A46" s="1" t="s">
        <v>43</v>
      </c>
      <c r="B46" s="7">
        <v>55971</v>
      </c>
      <c r="C46" s="7">
        <v>28249</v>
      </c>
      <c r="D46" s="7">
        <v>833</v>
      </c>
      <c r="E46" s="7">
        <v>27806</v>
      </c>
      <c r="F46" s="10">
        <f t="shared" si="0"/>
        <v>112859</v>
      </c>
    </row>
    <row r="47" spans="1:6" x14ac:dyDescent="0.25">
      <c r="A47" s="1" t="s">
        <v>44</v>
      </c>
      <c r="B47" s="7">
        <v>368022</v>
      </c>
      <c r="C47" s="7">
        <v>582167</v>
      </c>
      <c r="D47" s="7">
        <v>5533</v>
      </c>
      <c r="E47" s="7">
        <v>434790</v>
      </c>
      <c r="F47" s="10">
        <f t="shared" si="0"/>
        <v>1390512</v>
      </c>
    </row>
    <row r="48" spans="1:6" x14ac:dyDescent="0.25">
      <c r="A48" s="1" t="s">
        <v>45</v>
      </c>
      <c r="B48" s="7">
        <v>20662</v>
      </c>
      <c r="C48" s="7">
        <v>17038</v>
      </c>
      <c r="D48" s="7">
        <v>519</v>
      </c>
      <c r="E48" s="7">
        <v>14677</v>
      </c>
      <c r="F48" s="10">
        <f t="shared" si="0"/>
        <v>52896</v>
      </c>
    </row>
    <row r="49" spans="1:6" x14ac:dyDescent="0.25">
      <c r="A49" s="1" t="s">
        <v>46</v>
      </c>
      <c r="B49" s="7">
        <v>37520</v>
      </c>
      <c r="C49" s="7">
        <v>14251</v>
      </c>
      <c r="D49" s="7">
        <v>543</v>
      </c>
      <c r="E49" s="7">
        <v>13062</v>
      </c>
      <c r="F49" s="10">
        <f t="shared" si="0"/>
        <v>65376</v>
      </c>
    </row>
    <row r="50" spans="1:6" x14ac:dyDescent="0.25">
      <c r="A50" s="1" t="s">
        <v>47</v>
      </c>
      <c r="B50" s="7">
        <v>76636</v>
      </c>
      <c r="C50" s="7">
        <v>24877</v>
      </c>
      <c r="D50" s="7">
        <v>1234</v>
      </c>
      <c r="E50" s="7">
        <v>29830</v>
      </c>
      <c r="F50" s="10">
        <f t="shared" si="0"/>
        <v>132577</v>
      </c>
    </row>
    <row r="51" spans="1:6" x14ac:dyDescent="0.25">
      <c r="A51" s="1" t="s">
        <v>48</v>
      </c>
      <c r="B51" s="7">
        <v>8734</v>
      </c>
      <c r="C51" s="7">
        <v>7340</v>
      </c>
      <c r="D51" s="7">
        <v>124</v>
      </c>
      <c r="E51" s="7">
        <v>3969</v>
      </c>
      <c r="F51" s="10">
        <f t="shared" si="0"/>
        <v>20167</v>
      </c>
    </row>
    <row r="52" spans="1:6" x14ac:dyDescent="0.25">
      <c r="A52" s="1" t="s">
        <v>49</v>
      </c>
      <c r="B52" s="7">
        <v>205646</v>
      </c>
      <c r="C52" s="7">
        <v>320491</v>
      </c>
      <c r="D52" s="7">
        <v>5032</v>
      </c>
      <c r="E52" s="7">
        <v>233004</v>
      </c>
      <c r="F52" s="10">
        <f t="shared" si="0"/>
        <v>764173</v>
      </c>
    </row>
    <row r="53" spans="1:6" x14ac:dyDescent="0.25">
      <c r="A53" s="1" t="s">
        <v>50</v>
      </c>
      <c r="B53" s="7">
        <v>47857</v>
      </c>
      <c r="C53" s="7">
        <v>89244</v>
      </c>
      <c r="D53" s="7">
        <v>828</v>
      </c>
      <c r="E53" s="7">
        <v>71789</v>
      </c>
      <c r="F53" s="10">
        <f t="shared" si="0"/>
        <v>209718</v>
      </c>
    </row>
    <row r="54" spans="1:6" x14ac:dyDescent="0.25">
      <c r="A54" s="1" t="s">
        <v>51</v>
      </c>
      <c r="B54" s="7">
        <v>257662</v>
      </c>
      <c r="C54" s="7">
        <v>383975</v>
      </c>
      <c r="D54" s="7">
        <v>6597</v>
      </c>
      <c r="E54" s="7">
        <v>265341</v>
      </c>
      <c r="F54" s="10">
        <f t="shared" si="0"/>
        <v>913575</v>
      </c>
    </row>
    <row r="55" spans="1:6" x14ac:dyDescent="0.25">
      <c r="A55" s="1" t="s">
        <v>52</v>
      </c>
      <c r="B55" s="7">
        <v>133208</v>
      </c>
      <c r="C55" s="7">
        <v>107025</v>
      </c>
      <c r="D55" s="7">
        <v>2671</v>
      </c>
      <c r="E55" s="7">
        <v>100522</v>
      </c>
      <c r="F55" s="10">
        <f t="shared" si="0"/>
        <v>343426</v>
      </c>
    </row>
    <row r="56" spans="1:6" x14ac:dyDescent="0.25">
      <c r="A56" s="1" t="s">
        <v>53</v>
      </c>
      <c r="B56" s="7">
        <v>229893</v>
      </c>
      <c r="C56" s="7">
        <v>229589</v>
      </c>
      <c r="D56" s="7">
        <v>5233</v>
      </c>
      <c r="E56" s="7">
        <v>185538</v>
      </c>
      <c r="F56" s="10">
        <f t="shared" si="0"/>
        <v>650253</v>
      </c>
    </row>
    <row r="57" spans="1:6" x14ac:dyDescent="0.25">
      <c r="A57" s="1" t="s">
        <v>54</v>
      </c>
      <c r="B57" s="7">
        <v>144078</v>
      </c>
      <c r="C57" s="7">
        <v>143558</v>
      </c>
      <c r="D57" s="7">
        <v>2433</v>
      </c>
      <c r="E57" s="7">
        <v>115121</v>
      </c>
      <c r="F57" s="10">
        <f t="shared" si="0"/>
        <v>405190</v>
      </c>
    </row>
    <row r="58" spans="1:6" x14ac:dyDescent="0.25">
      <c r="A58" s="1" t="s">
        <v>55</v>
      </c>
      <c r="B58" s="7">
        <v>18521</v>
      </c>
      <c r="C58" s="7">
        <v>18977</v>
      </c>
      <c r="D58" s="7">
        <v>248</v>
      </c>
      <c r="E58" s="7">
        <v>9132</v>
      </c>
      <c r="F58" s="10">
        <f t="shared" si="0"/>
        <v>46878</v>
      </c>
    </row>
    <row r="59" spans="1:6" x14ac:dyDescent="0.25">
      <c r="A59" s="1" t="s">
        <v>56</v>
      </c>
      <c r="B59" s="7">
        <v>75869</v>
      </c>
      <c r="C59" s="7">
        <v>25012</v>
      </c>
      <c r="D59" s="7">
        <v>1318</v>
      </c>
      <c r="E59" s="7">
        <v>27395</v>
      </c>
      <c r="F59" s="10">
        <f t="shared" si="0"/>
        <v>129594</v>
      </c>
    </row>
    <row r="60" spans="1:6" x14ac:dyDescent="0.25">
      <c r="A60" s="1" t="s">
        <v>57</v>
      </c>
      <c r="B60" s="7">
        <v>132765</v>
      </c>
      <c r="C60" s="7">
        <v>94840</v>
      </c>
      <c r="D60" s="7">
        <v>2093</v>
      </c>
      <c r="E60" s="7">
        <v>82482</v>
      </c>
      <c r="F60" s="10">
        <f t="shared" si="0"/>
        <v>312180</v>
      </c>
    </row>
    <row r="61" spans="1:6" x14ac:dyDescent="0.25">
      <c r="A61" s="1" t="s">
        <v>58</v>
      </c>
      <c r="B61" s="7">
        <v>108395</v>
      </c>
      <c r="C61" s="7">
        <v>98154</v>
      </c>
      <c r="D61" s="7">
        <v>2005</v>
      </c>
      <c r="E61" s="7">
        <v>83137</v>
      </c>
      <c r="F61" s="10">
        <f t="shared" si="0"/>
        <v>291691</v>
      </c>
    </row>
    <row r="62" spans="1:6" x14ac:dyDescent="0.25">
      <c r="A62" s="1" t="s">
        <v>59</v>
      </c>
      <c r="B62" s="7">
        <v>95902</v>
      </c>
      <c r="C62" s="7">
        <v>42685</v>
      </c>
      <c r="D62" s="7">
        <v>1547</v>
      </c>
      <c r="E62" s="7">
        <v>42058</v>
      </c>
      <c r="F62" s="10">
        <f t="shared" si="0"/>
        <v>182192</v>
      </c>
    </row>
    <row r="63" spans="1:6" x14ac:dyDescent="0.25">
      <c r="A63" s="1" t="s">
        <v>60</v>
      </c>
      <c r="B63" s="7">
        <v>63979</v>
      </c>
      <c r="C63" s="7">
        <v>78797</v>
      </c>
      <c r="D63" s="7">
        <v>1075</v>
      </c>
      <c r="E63" s="7">
        <v>55184</v>
      </c>
      <c r="F63" s="10">
        <f t="shared" si="0"/>
        <v>199035</v>
      </c>
    </row>
    <row r="64" spans="1:6" x14ac:dyDescent="0.25">
      <c r="A64" s="1" t="s">
        <v>61</v>
      </c>
      <c r="B64" s="7">
        <v>50956</v>
      </c>
      <c r="C64" s="7">
        <v>23520</v>
      </c>
      <c r="D64" s="7">
        <v>386</v>
      </c>
      <c r="E64" s="7">
        <v>19713</v>
      </c>
      <c r="F64" s="10">
        <f t="shared" si="0"/>
        <v>94575</v>
      </c>
    </row>
    <row r="65" spans="1:6" x14ac:dyDescent="0.25">
      <c r="A65" s="1" t="s">
        <v>62</v>
      </c>
      <c r="B65" s="7">
        <v>11609</v>
      </c>
      <c r="C65" s="7">
        <v>9838</v>
      </c>
      <c r="D65" s="7">
        <v>176</v>
      </c>
      <c r="E65" s="7">
        <v>3922</v>
      </c>
      <c r="F65" s="10">
        <f t="shared" si="0"/>
        <v>25545</v>
      </c>
    </row>
    <row r="66" spans="1:6" x14ac:dyDescent="0.25">
      <c r="A66" s="1" t="s">
        <v>63</v>
      </c>
      <c r="B66" s="7">
        <v>4341</v>
      </c>
      <c r="C66" s="7">
        <v>6341</v>
      </c>
      <c r="D66" s="7">
        <v>58</v>
      </c>
      <c r="E66" s="7">
        <v>1189</v>
      </c>
      <c r="F66" s="10">
        <f t="shared" si="0"/>
        <v>11929</v>
      </c>
    </row>
    <row r="67" spans="1:6" x14ac:dyDescent="0.25">
      <c r="A67" s="1" t="s">
        <v>64</v>
      </c>
      <c r="B67" s="7">
        <v>3102</v>
      </c>
      <c r="C67" s="7">
        <v>3371</v>
      </c>
      <c r="D67" s="7">
        <v>20</v>
      </c>
      <c r="E67" s="7">
        <v>738</v>
      </c>
      <c r="F67" s="10">
        <f t="shared" si="0"/>
        <v>7231</v>
      </c>
    </row>
    <row r="68" spans="1:6" x14ac:dyDescent="0.25">
      <c r="A68" s="1" t="s">
        <v>65</v>
      </c>
      <c r="B68" s="7">
        <v>132185</v>
      </c>
      <c r="C68" s="7">
        <v>127597</v>
      </c>
      <c r="D68" s="7">
        <v>2567</v>
      </c>
      <c r="E68" s="7">
        <v>110812</v>
      </c>
      <c r="F68" s="10">
        <f t="shared" si="0"/>
        <v>373161</v>
      </c>
    </row>
    <row r="69" spans="1:6" x14ac:dyDescent="0.25">
      <c r="A69" s="1" t="s">
        <v>66</v>
      </c>
      <c r="B69" s="7">
        <v>8320</v>
      </c>
      <c r="C69" s="7">
        <v>8467</v>
      </c>
      <c r="D69" s="7">
        <v>118</v>
      </c>
      <c r="E69" s="7">
        <v>3480</v>
      </c>
      <c r="F69" s="10">
        <f t="shared" si="0"/>
        <v>20385</v>
      </c>
    </row>
    <row r="70" spans="1:6" x14ac:dyDescent="0.25">
      <c r="A70" s="1" t="s">
        <v>67</v>
      </c>
      <c r="B70" s="7">
        <v>29151</v>
      </c>
      <c r="C70" s="7">
        <v>9640</v>
      </c>
      <c r="D70" s="7">
        <v>388</v>
      </c>
      <c r="E70" s="7">
        <v>9812</v>
      </c>
      <c r="F70" s="10">
        <f t="shared" ref="F70:F71" si="1">SUM(B70:E70)</f>
        <v>48991</v>
      </c>
    </row>
    <row r="71" spans="1:6" ht="15.75" thickBot="1" x14ac:dyDescent="0.3">
      <c r="A71" s="1" t="s">
        <v>68</v>
      </c>
      <c r="B71" s="7">
        <v>8029</v>
      </c>
      <c r="C71" s="7">
        <v>5362</v>
      </c>
      <c r="D71" s="7">
        <v>73</v>
      </c>
      <c r="E71" s="7">
        <v>2197</v>
      </c>
      <c r="F71" s="10">
        <f t="shared" si="1"/>
        <v>15661</v>
      </c>
    </row>
    <row r="72" spans="1:6" ht="16.5" thickTop="1" thickBot="1" x14ac:dyDescent="0.3">
      <c r="A72" s="3" t="s">
        <v>1</v>
      </c>
      <c r="B72" s="8">
        <f>SUM(B5:B71)</f>
        <v>4562533</v>
      </c>
      <c r="C72" s="8">
        <f>SUM(C5:C71)</f>
        <v>4792599</v>
      </c>
      <c r="D72" s="8">
        <f>SUM(D5:D71)</f>
        <v>82737</v>
      </c>
      <c r="E72" s="8">
        <f>SUM(E5:E71)</f>
        <v>3489449</v>
      </c>
      <c r="F72" s="8">
        <f>SUM(F5:F71)</f>
        <v>12927318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opLeftCell="A33" workbookViewId="0">
      <selection activeCell="D28" sqref="D28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customHeight="1" x14ac:dyDescent="0.3">
      <c r="A1" s="14" t="s">
        <v>81</v>
      </c>
      <c r="B1" s="15"/>
      <c r="C1" s="15"/>
      <c r="D1" s="15"/>
      <c r="E1" s="15"/>
      <c r="F1" s="16"/>
    </row>
    <row r="2" spans="1:6" x14ac:dyDescent="0.25">
      <c r="A2" s="17" t="s">
        <v>104</v>
      </c>
      <c r="B2" s="18"/>
      <c r="C2" s="18"/>
      <c r="D2" s="18"/>
      <c r="E2" s="18"/>
      <c r="F2" s="19"/>
    </row>
    <row r="3" spans="1:6" x14ac:dyDescent="0.25">
      <c r="A3" s="20" t="s">
        <v>73</v>
      </c>
      <c r="B3" s="21"/>
      <c r="C3" s="21"/>
      <c r="D3" s="21"/>
      <c r="E3" s="21"/>
      <c r="F3" s="22"/>
    </row>
    <row r="4" spans="1:6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7">
        <v>49081</v>
      </c>
      <c r="C5" s="7">
        <v>83309</v>
      </c>
      <c r="D5" s="7">
        <v>1397</v>
      </c>
      <c r="E5" s="7">
        <v>40965</v>
      </c>
      <c r="F5" s="10">
        <f>SUM(B5:E5)</f>
        <v>174752</v>
      </c>
    </row>
    <row r="6" spans="1:6" x14ac:dyDescent="0.25">
      <c r="A6" s="1" t="s">
        <v>3</v>
      </c>
      <c r="B6" s="7">
        <v>7892</v>
      </c>
      <c r="C6" s="7">
        <v>5301</v>
      </c>
      <c r="D6" s="7">
        <v>47</v>
      </c>
      <c r="E6" s="7">
        <v>1578</v>
      </c>
      <c r="F6" s="10">
        <f t="shared" ref="F6:F69" si="0">SUM(B6:E6)</f>
        <v>14818</v>
      </c>
    </row>
    <row r="7" spans="1:6" x14ac:dyDescent="0.25">
      <c r="A7" s="1" t="s">
        <v>4</v>
      </c>
      <c r="B7" s="7">
        <v>61959</v>
      </c>
      <c r="C7" s="7">
        <v>30758</v>
      </c>
      <c r="D7" s="7">
        <v>1036</v>
      </c>
      <c r="E7" s="7">
        <v>25666</v>
      </c>
      <c r="F7" s="10">
        <f t="shared" si="0"/>
        <v>119419</v>
      </c>
    </row>
    <row r="8" spans="1:6" x14ac:dyDescent="0.25">
      <c r="A8" s="1" t="s">
        <v>5</v>
      </c>
      <c r="B8" s="7">
        <v>7619</v>
      </c>
      <c r="C8" s="7">
        <v>6028</v>
      </c>
      <c r="D8" s="7">
        <v>77</v>
      </c>
      <c r="E8" s="7">
        <v>2463</v>
      </c>
      <c r="F8" s="10">
        <f t="shared" si="0"/>
        <v>16187</v>
      </c>
    </row>
    <row r="9" spans="1:6" x14ac:dyDescent="0.25">
      <c r="A9" s="1" t="s">
        <v>6</v>
      </c>
      <c r="B9" s="7">
        <v>174724</v>
      </c>
      <c r="C9" s="7">
        <v>128925</v>
      </c>
      <c r="D9" s="7">
        <v>3813</v>
      </c>
      <c r="E9" s="7">
        <v>108140</v>
      </c>
      <c r="F9" s="10">
        <f t="shared" si="0"/>
        <v>415602</v>
      </c>
    </row>
    <row r="10" spans="1:6" x14ac:dyDescent="0.25">
      <c r="A10" s="1" t="s">
        <v>7</v>
      </c>
      <c r="B10" s="7">
        <v>247129</v>
      </c>
      <c r="C10" s="7">
        <v>577395</v>
      </c>
      <c r="D10" s="7">
        <v>6088</v>
      </c>
      <c r="E10" s="7">
        <v>322657</v>
      </c>
      <c r="F10" s="10">
        <f t="shared" si="0"/>
        <v>1153269</v>
      </c>
    </row>
    <row r="11" spans="1:6" x14ac:dyDescent="0.25">
      <c r="A11" s="1" t="s">
        <v>8</v>
      </c>
      <c r="B11" s="7">
        <v>2520</v>
      </c>
      <c r="C11" s="7">
        <v>5112</v>
      </c>
      <c r="D11" s="7">
        <v>29</v>
      </c>
      <c r="E11" s="7">
        <v>978</v>
      </c>
      <c r="F11" s="10">
        <f t="shared" si="0"/>
        <v>8639</v>
      </c>
    </row>
    <row r="12" spans="1:6" x14ac:dyDescent="0.25">
      <c r="A12" s="1" t="s">
        <v>9</v>
      </c>
      <c r="B12" s="7">
        <v>59784</v>
      </c>
      <c r="C12" s="7">
        <v>36470</v>
      </c>
      <c r="D12" s="7">
        <v>1059</v>
      </c>
      <c r="E12" s="7">
        <v>35661</v>
      </c>
      <c r="F12" s="10">
        <f t="shared" si="0"/>
        <v>132974</v>
      </c>
    </row>
    <row r="13" spans="1:6" x14ac:dyDescent="0.25">
      <c r="A13" s="1" t="s">
        <v>10</v>
      </c>
      <c r="B13" s="7">
        <v>51178</v>
      </c>
      <c r="C13" s="7">
        <v>29548</v>
      </c>
      <c r="D13" s="7">
        <v>790</v>
      </c>
      <c r="E13" s="7">
        <v>26385</v>
      </c>
      <c r="F13" s="10">
        <f t="shared" si="0"/>
        <v>107901</v>
      </c>
    </row>
    <row r="14" spans="1:6" x14ac:dyDescent="0.25">
      <c r="A14" s="1" t="s">
        <v>11</v>
      </c>
      <c r="B14" s="7">
        <v>81303</v>
      </c>
      <c r="C14" s="7">
        <v>33420</v>
      </c>
      <c r="D14" s="7">
        <v>1112</v>
      </c>
      <c r="E14" s="7">
        <v>35583</v>
      </c>
      <c r="F14" s="10">
        <f t="shared" si="0"/>
        <v>151418</v>
      </c>
    </row>
    <row r="15" spans="1:6" x14ac:dyDescent="0.25">
      <c r="A15" s="1" t="s">
        <v>12</v>
      </c>
      <c r="B15" s="7">
        <v>106244</v>
      </c>
      <c r="C15" s="7">
        <v>49392</v>
      </c>
      <c r="D15" s="7">
        <v>1074</v>
      </c>
      <c r="E15" s="7">
        <v>52265</v>
      </c>
      <c r="F15" s="10">
        <f t="shared" si="0"/>
        <v>208975</v>
      </c>
    </row>
    <row r="16" spans="1:6" x14ac:dyDescent="0.25">
      <c r="A16" s="1" t="s">
        <v>13</v>
      </c>
      <c r="B16" s="7">
        <v>18019</v>
      </c>
      <c r="C16" s="7">
        <v>14370</v>
      </c>
      <c r="D16" s="7">
        <v>261</v>
      </c>
      <c r="E16" s="7">
        <v>7132</v>
      </c>
      <c r="F16" s="10">
        <f t="shared" si="0"/>
        <v>39782</v>
      </c>
    </row>
    <row r="17" spans="1:6" x14ac:dyDescent="0.25">
      <c r="A17" s="1" t="s">
        <v>14</v>
      </c>
      <c r="B17" s="7">
        <v>5553</v>
      </c>
      <c r="C17" s="7">
        <v>7270</v>
      </c>
      <c r="D17" s="7">
        <v>52</v>
      </c>
      <c r="E17" s="7">
        <v>3769</v>
      </c>
      <c r="F17" s="10">
        <f t="shared" si="0"/>
        <v>16644</v>
      </c>
    </row>
    <row r="18" spans="1:6" x14ac:dyDescent="0.25">
      <c r="A18" s="1" t="s">
        <v>15</v>
      </c>
      <c r="B18" s="7">
        <v>3790</v>
      </c>
      <c r="C18" s="7">
        <v>4203</v>
      </c>
      <c r="D18" s="7">
        <v>39</v>
      </c>
      <c r="E18" s="7">
        <v>1528</v>
      </c>
      <c r="F18" s="10">
        <f t="shared" si="0"/>
        <v>9560</v>
      </c>
    </row>
    <row r="19" spans="1:6" x14ac:dyDescent="0.25">
      <c r="A19" s="1" t="s">
        <v>16</v>
      </c>
      <c r="B19" s="7">
        <v>218063</v>
      </c>
      <c r="C19" s="7">
        <v>240785</v>
      </c>
      <c r="D19" s="7">
        <v>4627</v>
      </c>
      <c r="E19" s="7">
        <v>129035</v>
      </c>
      <c r="F19" s="10">
        <f t="shared" si="0"/>
        <v>592510</v>
      </c>
    </row>
    <row r="20" spans="1:6" x14ac:dyDescent="0.25">
      <c r="A20" s="1" t="s">
        <v>17</v>
      </c>
      <c r="B20" s="7">
        <v>93881</v>
      </c>
      <c r="C20" s="7">
        <v>70913</v>
      </c>
      <c r="D20" s="7">
        <v>1570</v>
      </c>
      <c r="E20" s="7">
        <v>42869</v>
      </c>
      <c r="F20" s="10">
        <f t="shared" si="0"/>
        <v>209233</v>
      </c>
    </row>
    <row r="21" spans="1:6" x14ac:dyDescent="0.25">
      <c r="A21" s="1" t="s">
        <v>18</v>
      </c>
      <c r="B21" s="7">
        <v>33330</v>
      </c>
      <c r="C21" s="7">
        <v>25286</v>
      </c>
      <c r="D21" s="7">
        <v>461</v>
      </c>
      <c r="E21" s="7">
        <v>22474</v>
      </c>
      <c r="F21" s="10">
        <f t="shared" si="0"/>
        <v>81551</v>
      </c>
    </row>
    <row r="22" spans="1:6" x14ac:dyDescent="0.25">
      <c r="A22" s="1" t="s">
        <v>19</v>
      </c>
      <c r="B22" s="7">
        <v>2512</v>
      </c>
      <c r="C22" s="7">
        <v>4034</v>
      </c>
      <c r="D22" s="7">
        <v>102</v>
      </c>
      <c r="E22" s="7">
        <v>992</v>
      </c>
      <c r="F22" s="10">
        <f t="shared" si="0"/>
        <v>7640</v>
      </c>
    </row>
    <row r="23" spans="1:6" x14ac:dyDescent="0.25">
      <c r="A23" s="1" t="s">
        <v>20</v>
      </c>
      <c r="B23" s="7">
        <v>4695</v>
      </c>
      <c r="C23" s="7">
        <v>21967</v>
      </c>
      <c r="D23" s="7">
        <v>89</v>
      </c>
      <c r="E23" s="7">
        <v>2893</v>
      </c>
      <c r="F23" s="10">
        <f t="shared" si="0"/>
        <v>29644</v>
      </c>
    </row>
    <row r="24" spans="1:6" x14ac:dyDescent="0.25">
      <c r="A24" s="1" t="s">
        <v>21</v>
      </c>
      <c r="B24" s="7">
        <v>6400</v>
      </c>
      <c r="C24" s="7">
        <v>3364</v>
      </c>
      <c r="D24" s="7">
        <v>66</v>
      </c>
      <c r="E24" s="7">
        <v>1792</v>
      </c>
      <c r="F24" s="10">
        <f t="shared" si="0"/>
        <v>11622</v>
      </c>
    </row>
    <row r="25" spans="1:6" x14ac:dyDescent="0.25">
      <c r="A25" s="1" t="s">
        <v>22</v>
      </c>
      <c r="B25" s="7">
        <v>2664</v>
      </c>
      <c r="C25" s="7">
        <v>2812</v>
      </c>
      <c r="D25" s="7">
        <v>34</v>
      </c>
      <c r="E25" s="7">
        <v>1243</v>
      </c>
      <c r="F25" s="10">
        <f t="shared" si="0"/>
        <v>6753</v>
      </c>
    </row>
    <row r="26" spans="1:6" x14ac:dyDescent="0.25">
      <c r="A26" s="1" t="s">
        <v>23</v>
      </c>
      <c r="B26" s="7">
        <v>4831</v>
      </c>
      <c r="C26" s="7">
        <v>3966</v>
      </c>
      <c r="D26" s="7">
        <v>97</v>
      </c>
      <c r="E26" s="7">
        <v>1191</v>
      </c>
      <c r="F26" s="10">
        <f t="shared" si="0"/>
        <v>10085</v>
      </c>
    </row>
    <row r="27" spans="1:6" x14ac:dyDescent="0.25">
      <c r="A27" s="1" t="s">
        <v>24</v>
      </c>
      <c r="B27" s="7">
        <v>2418</v>
      </c>
      <c r="C27" s="7">
        <v>4257</v>
      </c>
      <c r="D27" s="7">
        <v>36</v>
      </c>
      <c r="E27" s="7">
        <v>950</v>
      </c>
      <c r="F27" s="10">
        <f t="shared" si="0"/>
        <v>7661</v>
      </c>
    </row>
    <row r="28" spans="1:6" x14ac:dyDescent="0.25">
      <c r="A28" s="1" t="s">
        <v>25</v>
      </c>
      <c r="B28" s="7">
        <v>5283</v>
      </c>
      <c r="C28" s="7">
        <v>4521</v>
      </c>
      <c r="D28" s="7">
        <v>40</v>
      </c>
      <c r="E28" s="7">
        <v>2285</v>
      </c>
      <c r="F28" s="10">
        <f t="shared" si="0"/>
        <v>12129</v>
      </c>
    </row>
    <row r="29" spans="1:6" x14ac:dyDescent="0.25">
      <c r="A29" s="1" t="s">
        <v>26</v>
      </c>
      <c r="B29" s="7">
        <v>6304</v>
      </c>
      <c r="C29" s="7">
        <v>7854</v>
      </c>
      <c r="D29" s="7">
        <v>79</v>
      </c>
      <c r="E29" s="7">
        <v>3336</v>
      </c>
      <c r="F29" s="10">
        <f t="shared" si="0"/>
        <v>17573</v>
      </c>
    </row>
    <row r="30" spans="1:6" x14ac:dyDescent="0.25">
      <c r="A30" s="1" t="s">
        <v>27</v>
      </c>
      <c r="B30" s="7">
        <v>54452</v>
      </c>
      <c r="C30" s="7">
        <v>41988</v>
      </c>
      <c r="D30" s="7">
        <v>1131</v>
      </c>
      <c r="E30" s="7">
        <v>34702</v>
      </c>
      <c r="F30" s="10">
        <f t="shared" si="0"/>
        <v>132273</v>
      </c>
    </row>
    <row r="31" spans="1:6" x14ac:dyDescent="0.25">
      <c r="A31" s="1" t="s">
        <v>28</v>
      </c>
      <c r="B31" s="7">
        <v>26905</v>
      </c>
      <c r="C31" s="7">
        <v>17843</v>
      </c>
      <c r="D31" s="7">
        <v>235</v>
      </c>
      <c r="E31" s="7">
        <v>13393</v>
      </c>
      <c r="F31" s="10">
        <f t="shared" si="0"/>
        <v>58376</v>
      </c>
    </row>
    <row r="32" spans="1:6" x14ac:dyDescent="0.25">
      <c r="A32" s="1" t="s">
        <v>29</v>
      </c>
      <c r="B32" s="7">
        <v>265239</v>
      </c>
      <c r="C32" s="7">
        <v>326555</v>
      </c>
      <c r="D32" s="7">
        <v>6090</v>
      </c>
      <c r="E32" s="7">
        <v>240330</v>
      </c>
      <c r="F32" s="10">
        <f t="shared" si="0"/>
        <v>838214</v>
      </c>
    </row>
    <row r="33" spans="1:6" x14ac:dyDescent="0.25">
      <c r="A33" s="1" t="s">
        <v>30</v>
      </c>
      <c r="B33" s="7">
        <v>6120</v>
      </c>
      <c r="C33" s="7">
        <v>3308</v>
      </c>
      <c r="D33" s="7">
        <v>27</v>
      </c>
      <c r="E33" s="7">
        <v>1183</v>
      </c>
      <c r="F33" s="10">
        <f t="shared" si="0"/>
        <v>10638</v>
      </c>
    </row>
    <row r="34" spans="1:6" x14ac:dyDescent="0.25">
      <c r="A34" s="1" t="s">
        <v>31</v>
      </c>
      <c r="B34" s="7">
        <v>51558</v>
      </c>
      <c r="C34" s="7">
        <v>30371</v>
      </c>
      <c r="D34" s="7">
        <v>791</v>
      </c>
      <c r="E34" s="7">
        <v>28911</v>
      </c>
      <c r="F34" s="10">
        <f t="shared" si="0"/>
        <v>111631</v>
      </c>
    </row>
    <row r="35" spans="1:6" x14ac:dyDescent="0.25">
      <c r="A35" s="1" t="s">
        <v>32</v>
      </c>
      <c r="B35" s="7">
        <v>10193</v>
      </c>
      <c r="C35" s="7">
        <v>14454</v>
      </c>
      <c r="D35" s="7">
        <v>73</v>
      </c>
      <c r="E35" s="7">
        <v>2967</v>
      </c>
      <c r="F35" s="10">
        <f t="shared" si="0"/>
        <v>27687</v>
      </c>
    </row>
    <row r="36" spans="1:6" x14ac:dyDescent="0.25">
      <c r="A36" s="1" t="s">
        <v>33</v>
      </c>
      <c r="B36" s="7">
        <v>3163</v>
      </c>
      <c r="C36" s="7">
        <v>5410</v>
      </c>
      <c r="D36" s="7">
        <v>35</v>
      </c>
      <c r="E36" s="7">
        <v>1109</v>
      </c>
      <c r="F36" s="10">
        <f t="shared" si="0"/>
        <v>9717</v>
      </c>
    </row>
    <row r="37" spans="1:6" x14ac:dyDescent="0.25">
      <c r="A37" s="1" t="s">
        <v>34</v>
      </c>
      <c r="B37" s="7">
        <v>1627</v>
      </c>
      <c r="C37" s="7">
        <v>2371</v>
      </c>
      <c r="D37" s="7">
        <v>12</v>
      </c>
      <c r="E37" s="7">
        <v>300</v>
      </c>
      <c r="F37" s="10">
        <f t="shared" si="0"/>
        <v>4310</v>
      </c>
    </row>
    <row r="38" spans="1:6" x14ac:dyDescent="0.25">
      <c r="A38" s="1" t="s">
        <v>35</v>
      </c>
      <c r="B38" s="7">
        <v>101548</v>
      </c>
      <c r="C38" s="7">
        <v>70836</v>
      </c>
      <c r="D38" s="7">
        <v>1155</v>
      </c>
      <c r="E38" s="7">
        <v>57975</v>
      </c>
      <c r="F38" s="10">
        <f t="shared" si="0"/>
        <v>231514</v>
      </c>
    </row>
    <row r="39" spans="1:6" x14ac:dyDescent="0.25">
      <c r="A39" s="1" t="s">
        <v>36</v>
      </c>
      <c r="B39" s="7">
        <v>187765</v>
      </c>
      <c r="C39" s="7">
        <v>118315</v>
      </c>
      <c r="D39" s="7">
        <v>2448</v>
      </c>
      <c r="E39" s="7">
        <v>128529</v>
      </c>
      <c r="F39" s="10">
        <f t="shared" si="0"/>
        <v>437057</v>
      </c>
    </row>
    <row r="40" spans="1:6" x14ac:dyDescent="0.25">
      <c r="A40" s="1" t="s">
        <v>37</v>
      </c>
      <c r="B40" s="7">
        <v>56978</v>
      </c>
      <c r="C40" s="7">
        <v>108307</v>
      </c>
      <c r="D40" s="7">
        <v>1424</v>
      </c>
      <c r="E40" s="7">
        <v>40046</v>
      </c>
      <c r="F40" s="10">
        <f t="shared" si="0"/>
        <v>206755</v>
      </c>
    </row>
    <row r="41" spans="1:6" x14ac:dyDescent="0.25">
      <c r="A41" s="1" t="s">
        <v>38</v>
      </c>
      <c r="B41" s="7">
        <v>12892</v>
      </c>
      <c r="C41" s="7">
        <v>9218</v>
      </c>
      <c r="D41" s="7">
        <v>439</v>
      </c>
      <c r="E41" s="7">
        <v>5022</v>
      </c>
      <c r="F41" s="10">
        <f t="shared" si="0"/>
        <v>27571</v>
      </c>
    </row>
    <row r="42" spans="1:6" x14ac:dyDescent="0.25">
      <c r="A42" s="1" t="s">
        <v>39</v>
      </c>
      <c r="B42" s="7">
        <v>851</v>
      </c>
      <c r="C42" s="7">
        <v>3114</v>
      </c>
      <c r="D42" s="7">
        <v>3</v>
      </c>
      <c r="E42" s="7">
        <v>390</v>
      </c>
      <c r="F42" s="10">
        <f t="shared" si="0"/>
        <v>4358</v>
      </c>
    </row>
    <row r="43" spans="1:6" x14ac:dyDescent="0.25">
      <c r="A43" s="1" t="s">
        <v>40</v>
      </c>
      <c r="B43" s="7">
        <v>3503</v>
      </c>
      <c r="C43" s="7">
        <v>6929</v>
      </c>
      <c r="D43" s="7">
        <v>38</v>
      </c>
      <c r="E43" s="7">
        <v>1327</v>
      </c>
      <c r="F43" s="10">
        <f t="shared" si="0"/>
        <v>11797</v>
      </c>
    </row>
    <row r="44" spans="1:6" x14ac:dyDescent="0.25">
      <c r="A44" s="1" t="s">
        <v>41</v>
      </c>
      <c r="B44" s="7">
        <v>103837</v>
      </c>
      <c r="C44" s="7">
        <v>73431</v>
      </c>
      <c r="D44" s="7">
        <v>1573</v>
      </c>
      <c r="E44" s="7">
        <v>61588</v>
      </c>
      <c r="F44" s="10">
        <f t="shared" si="0"/>
        <v>240429</v>
      </c>
    </row>
    <row r="45" spans="1:6" x14ac:dyDescent="0.25">
      <c r="A45" s="1" t="s">
        <v>42</v>
      </c>
      <c r="B45" s="7">
        <v>105868</v>
      </c>
      <c r="C45" s="7">
        <v>78830</v>
      </c>
      <c r="D45" s="7">
        <v>1346</v>
      </c>
      <c r="E45" s="7">
        <v>53159</v>
      </c>
      <c r="F45" s="10">
        <f t="shared" si="0"/>
        <v>239203</v>
      </c>
    </row>
    <row r="46" spans="1:6" x14ac:dyDescent="0.25">
      <c r="A46" s="1" t="s">
        <v>43</v>
      </c>
      <c r="B46" s="7">
        <v>56201</v>
      </c>
      <c r="C46" s="7">
        <v>28626</v>
      </c>
      <c r="D46" s="7">
        <v>856</v>
      </c>
      <c r="E46" s="7">
        <v>27592</v>
      </c>
      <c r="F46" s="10">
        <f t="shared" si="0"/>
        <v>113275</v>
      </c>
    </row>
    <row r="47" spans="1:6" x14ac:dyDescent="0.25">
      <c r="A47" s="1" t="s">
        <v>44</v>
      </c>
      <c r="B47" s="7">
        <v>369461</v>
      </c>
      <c r="C47" s="7">
        <v>586669</v>
      </c>
      <c r="D47" s="7">
        <v>5885</v>
      </c>
      <c r="E47" s="7">
        <v>436975</v>
      </c>
      <c r="F47" s="10">
        <f t="shared" si="0"/>
        <v>1398990</v>
      </c>
    </row>
    <row r="48" spans="1:6" x14ac:dyDescent="0.25">
      <c r="A48" s="1" t="s">
        <v>45</v>
      </c>
      <c r="B48" s="7">
        <v>20660</v>
      </c>
      <c r="C48" s="7">
        <v>17105</v>
      </c>
      <c r="D48" s="7">
        <v>548</v>
      </c>
      <c r="E48" s="7">
        <v>14565</v>
      </c>
      <c r="F48" s="10">
        <f t="shared" si="0"/>
        <v>52878</v>
      </c>
    </row>
    <row r="49" spans="1:6" x14ac:dyDescent="0.25">
      <c r="A49" s="1" t="s">
        <v>46</v>
      </c>
      <c r="B49" s="7">
        <v>37809</v>
      </c>
      <c r="C49" s="7">
        <v>14367</v>
      </c>
      <c r="D49" s="7">
        <v>574</v>
      </c>
      <c r="E49" s="7">
        <v>13088</v>
      </c>
      <c r="F49" s="10">
        <f t="shared" si="0"/>
        <v>65838</v>
      </c>
    </row>
    <row r="50" spans="1:6" x14ac:dyDescent="0.25">
      <c r="A50" s="1" t="s">
        <v>47</v>
      </c>
      <c r="B50" s="7">
        <v>76843</v>
      </c>
      <c r="C50" s="7">
        <v>25016</v>
      </c>
      <c r="D50" s="7">
        <v>1290</v>
      </c>
      <c r="E50" s="7">
        <v>29896</v>
      </c>
      <c r="F50" s="10">
        <f t="shared" si="0"/>
        <v>133045</v>
      </c>
    </row>
    <row r="51" spans="1:6" x14ac:dyDescent="0.25">
      <c r="A51" s="1" t="s">
        <v>48</v>
      </c>
      <c r="B51" s="7">
        <v>8807</v>
      </c>
      <c r="C51" s="7">
        <v>7323</v>
      </c>
      <c r="D51" s="7">
        <v>132</v>
      </c>
      <c r="E51" s="7">
        <v>3990</v>
      </c>
      <c r="F51" s="10">
        <f t="shared" si="0"/>
        <v>20252</v>
      </c>
    </row>
    <row r="52" spans="1:6" x14ac:dyDescent="0.25">
      <c r="A52" s="1" t="s">
        <v>49</v>
      </c>
      <c r="B52" s="7">
        <v>207161</v>
      </c>
      <c r="C52" s="7">
        <v>326286</v>
      </c>
      <c r="D52" s="7">
        <v>5286</v>
      </c>
      <c r="E52" s="7">
        <v>234048</v>
      </c>
      <c r="F52" s="10">
        <f t="shared" si="0"/>
        <v>772781</v>
      </c>
    </row>
    <row r="53" spans="1:6" x14ac:dyDescent="0.25">
      <c r="A53" s="1" t="s">
        <v>50</v>
      </c>
      <c r="B53" s="7">
        <v>48349</v>
      </c>
      <c r="C53" s="7">
        <v>90785</v>
      </c>
      <c r="D53" s="7">
        <v>867</v>
      </c>
      <c r="E53" s="7">
        <v>72275</v>
      </c>
      <c r="F53" s="10">
        <f t="shared" si="0"/>
        <v>212276</v>
      </c>
    </row>
    <row r="54" spans="1:6" x14ac:dyDescent="0.25">
      <c r="A54" s="1" t="s">
        <v>51</v>
      </c>
      <c r="B54" s="7">
        <v>259112</v>
      </c>
      <c r="C54" s="7">
        <v>387513</v>
      </c>
      <c r="D54" s="7">
        <v>6954</v>
      </c>
      <c r="E54" s="7">
        <v>265352</v>
      </c>
      <c r="F54" s="10">
        <f t="shared" si="0"/>
        <v>918931</v>
      </c>
    </row>
    <row r="55" spans="1:6" x14ac:dyDescent="0.25">
      <c r="A55" s="1" t="s">
        <v>52</v>
      </c>
      <c r="B55" s="7">
        <v>134526</v>
      </c>
      <c r="C55" s="7">
        <v>108197</v>
      </c>
      <c r="D55" s="7">
        <v>2852</v>
      </c>
      <c r="E55" s="7">
        <v>100377</v>
      </c>
      <c r="F55" s="10">
        <f t="shared" si="0"/>
        <v>345952</v>
      </c>
    </row>
    <row r="56" spans="1:6" x14ac:dyDescent="0.25">
      <c r="A56" s="1" t="s">
        <v>53</v>
      </c>
      <c r="B56" s="7">
        <v>231435</v>
      </c>
      <c r="C56" s="7">
        <v>232470</v>
      </c>
      <c r="D56" s="7">
        <v>5399</v>
      </c>
      <c r="E56" s="7">
        <v>185009</v>
      </c>
      <c r="F56" s="10">
        <f t="shared" si="0"/>
        <v>654313</v>
      </c>
    </row>
    <row r="57" spans="1:6" x14ac:dyDescent="0.25">
      <c r="A57" s="1" t="s">
        <v>54</v>
      </c>
      <c r="B57" s="7">
        <v>145575</v>
      </c>
      <c r="C57" s="7">
        <v>144566</v>
      </c>
      <c r="D57" s="7">
        <v>2543</v>
      </c>
      <c r="E57" s="7">
        <v>115592</v>
      </c>
      <c r="F57" s="10">
        <f t="shared" si="0"/>
        <v>408276</v>
      </c>
    </row>
    <row r="58" spans="1:6" x14ac:dyDescent="0.25">
      <c r="A58" s="1" t="s">
        <v>55</v>
      </c>
      <c r="B58" s="7">
        <v>18698</v>
      </c>
      <c r="C58" s="7">
        <v>18858</v>
      </c>
      <c r="D58" s="7">
        <v>251</v>
      </c>
      <c r="E58" s="7">
        <v>9091</v>
      </c>
      <c r="F58" s="10">
        <f t="shared" si="0"/>
        <v>46898</v>
      </c>
    </row>
    <row r="59" spans="1:6" x14ac:dyDescent="0.25">
      <c r="A59" s="1" t="s">
        <v>56</v>
      </c>
      <c r="B59" s="7">
        <v>76331</v>
      </c>
      <c r="C59" s="7">
        <v>25156</v>
      </c>
      <c r="D59" s="7">
        <v>1392</v>
      </c>
      <c r="E59" s="7">
        <v>27520</v>
      </c>
      <c r="F59" s="10">
        <f t="shared" si="0"/>
        <v>130399</v>
      </c>
    </row>
    <row r="60" spans="1:6" x14ac:dyDescent="0.25">
      <c r="A60" s="1" t="s">
        <v>57</v>
      </c>
      <c r="B60" s="7">
        <v>133439</v>
      </c>
      <c r="C60" s="7">
        <v>96037</v>
      </c>
      <c r="D60" s="7">
        <v>2175</v>
      </c>
      <c r="E60" s="7">
        <v>82150</v>
      </c>
      <c r="F60" s="10">
        <f t="shared" si="0"/>
        <v>313801</v>
      </c>
    </row>
    <row r="61" spans="1:6" x14ac:dyDescent="0.25">
      <c r="A61" s="1" t="s">
        <v>58</v>
      </c>
      <c r="B61" s="7">
        <v>109026</v>
      </c>
      <c r="C61" s="7">
        <v>100190</v>
      </c>
      <c r="D61" s="7">
        <v>2149</v>
      </c>
      <c r="E61" s="7">
        <v>83505</v>
      </c>
      <c r="F61" s="10">
        <f t="shared" si="0"/>
        <v>294870</v>
      </c>
    </row>
    <row r="62" spans="1:6" x14ac:dyDescent="0.25">
      <c r="A62" s="1" t="s">
        <v>59</v>
      </c>
      <c r="B62" s="7">
        <v>96688</v>
      </c>
      <c r="C62" s="7">
        <v>43556</v>
      </c>
      <c r="D62" s="7">
        <v>1622</v>
      </c>
      <c r="E62" s="7">
        <v>41866</v>
      </c>
      <c r="F62" s="10">
        <f t="shared" si="0"/>
        <v>183732</v>
      </c>
    </row>
    <row r="63" spans="1:6" x14ac:dyDescent="0.25">
      <c r="A63" s="1" t="s">
        <v>60</v>
      </c>
      <c r="B63" s="7">
        <v>64486</v>
      </c>
      <c r="C63" s="7">
        <v>79437</v>
      </c>
      <c r="D63" s="7">
        <v>1138</v>
      </c>
      <c r="E63" s="7">
        <v>55075</v>
      </c>
      <c r="F63" s="10">
        <f t="shared" si="0"/>
        <v>200136</v>
      </c>
    </row>
    <row r="64" spans="1:6" x14ac:dyDescent="0.25">
      <c r="A64" s="1" t="s">
        <v>61</v>
      </c>
      <c r="B64" s="7">
        <v>51351</v>
      </c>
      <c r="C64" s="7">
        <v>23778</v>
      </c>
      <c r="D64" s="7">
        <v>394</v>
      </c>
      <c r="E64" s="7">
        <v>19603</v>
      </c>
      <c r="F64" s="10">
        <f t="shared" si="0"/>
        <v>95126</v>
      </c>
    </row>
    <row r="65" spans="1:6" x14ac:dyDescent="0.25">
      <c r="A65" s="1" t="s">
        <v>62</v>
      </c>
      <c r="B65" s="7">
        <v>11731</v>
      </c>
      <c r="C65" s="7">
        <v>9760</v>
      </c>
      <c r="D65" s="7">
        <v>185</v>
      </c>
      <c r="E65" s="7">
        <v>3928</v>
      </c>
      <c r="F65" s="10">
        <f t="shared" si="0"/>
        <v>25604</v>
      </c>
    </row>
    <row r="66" spans="1:6" x14ac:dyDescent="0.25">
      <c r="A66" s="1" t="s">
        <v>63</v>
      </c>
      <c r="B66" s="7">
        <v>4400</v>
      </c>
      <c r="C66" s="7">
        <v>6340</v>
      </c>
      <c r="D66" s="7">
        <v>61</v>
      </c>
      <c r="E66" s="7">
        <v>1200</v>
      </c>
      <c r="F66" s="10">
        <f t="shared" si="0"/>
        <v>12001</v>
      </c>
    </row>
    <row r="67" spans="1:6" x14ac:dyDescent="0.25">
      <c r="A67" s="1" t="s">
        <v>64</v>
      </c>
      <c r="B67" s="7">
        <v>3162</v>
      </c>
      <c r="C67" s="7">
        <v>3387</v>
      </c>
      <c r="D67" s="7">
        <v>25</v>
      </c>
      <c r="E67" s="7">
        <v>725</v>
      </c>
      <c r="F67" s="10">
        <f t="shared" si="0"/>
        <v>7299</v>
      </c>
    </row>
    <row r="68" spans="1:6" x14ac:dyDescent="0.25">
      <c r="A68" s="1" t="s">
        <v>65</v>
      </c>
      <c r="B68" s="7">
        <v>133238</v>
      </c>
      <c r="C68" s="7">
        <v>128784</v>
      </c>
      <c r="D68" s="7">
        <v>2676</v>
      </c>
      <c r="E68" s="7">
        <v>111081</v>
      </c>
      <c r="F68" s="10">
        <f t="shared" si="0"/>
        <v>375779</v>
      </c>
    </row>
    <row r="69" spans="1:6" x14ac:dyDescent="0.25">
      <c r="A69" s="1" t="s">
        <v>66</v>
      </c>
      <c r="B69" s="7">
        <v>8473</v>
      </c>
      <c r="C69" s="7">
        <v>8457</v>
      </c>
      <c r="D69" s="7">
        <v>120</v>
      </c>
      <c r="E69" s="7">
        <v>3483</v>
      </c>
      <c r="F69" s="10">
        <f t="shared" si="0"/>
        <v>20533</v>
      </c>
    </row>
    <row r="70" spans="1:6" x14ac:dyDescent="0.25">
      <c r="A70" s="1" t="s">
        <v>67</v>
      </c>
      <c r="B70" s="7">
        <v>29657</v>
      </c>
      <c r="C70" s="7">
        <v>9577</v>
      </c>
      <c r="D70" s="7">
        <v>390</v>
      </c>
      <c r="E70" s="7">
        <v>9718</v>
      </c>
      <c r="F70" s="10">
        <f t="shared" ref="F70:F71" si="1">SUM(B70:E70)</f>
        <v>49342</v>
      </c>
    </row>
    <row r="71" spans="1:6" ht="15.75" thickBot="1" x14ac:dyDescent="0.3">
      <c r="A71" s="1" t="s">
        <v>68</v>
      </c>
      <c r="B71" s="7">
        <v>8079</v>
      </c>
      <c r="C71" s="7">
        <v>5339</v>
      </c>
      <c r="D71" s="7">
        <v>80</v>
      </c>
      <c r="E71" s="7">
        <v>2211</v>
      </c>
      <c r="F71" s="10">
        <f t="shared" si="1"/>
        <v>15709</v>
      </c>
    </row>
    <row r="72" spans="1:6" ht="16.5" thickTop="1" thickBot="1" x14ac:dyDescent="0.3">
      <c r="A72" s="3" t="s">
        <v>1</v>
      </c>
      <c r="B72" s="8">
        <f>SUM(B5:B71)</f>
        <v>4594373</v>
      </c>
      <c r="C72" s="8">
        <f>SUM(C5:C71)</f>
        <v>4840119</v>
      </c>
      <c r="D72" s="8">
        <f>SUM(D5:D71)</f>
        <v>86739</v>
      </c>
      <c r="E72" s="8">
        <f>SUM(E5:E71)</f>
        <v>3494676</v>
      </c>
      <c r="F72" s="8">
        <f>SUM(F5:F71)</f>
        <v>13015907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opLeftCell="A33" workbookViewId="0">
      <selection activeCell="B65" sqref="B65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customHeight="1" x14ac:dyDescent="0.3">
      <c r="A1" s="14" t="s">
        <v>82</v>
      </c>
      <c r="B1" s="15"/>
      <c r="C1" s="15"/>
      <c r="D1" s="15"/>
      <c r="E1" s="15"/>
      <c r="F1" s="16"/>
    </row>
    <row r="2" spans="1:6" x14ac:dyDescent="0.25">
      <c r="A2" s="17" t="s">
        <v>105</v>
      </c>
      <c r="B2" s="18"/>
      <c r="C2" s="18"/>
      <c r="D2" s="18"/>
      <c r="E2" s="18"/>
      <c r="F2" s="19"/>
    </row>
    <row r="3" spans="1:6" x14ac:dyDescent="0.25">
      <c r="A3" s="20" t="s">
        <v>73</v>
      </c>
      <c r="B3" s="21"/>
      <c r="C3" s="21"/>
      <c r="D3" s="21"/>
      <c r="E3" s="21"/>
      <c r="F3" s="22"/>
    </row>
    <row r="4" spans="1:6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7">
        <v>49291</v>
      </c>
      <c r="C5" s="7">
        <v>84165</v>
      </c>
      <c r="D5" s="7">
        <v>1444</v>
      </c>
      <c r="E5" s="7">
        <v>41233</v>
      </c>
      <c r="F5" s="10">
        <f>SUM(B5:E5)</f>
        <v>176133</v>
      </c>
    </row>
    <row r="6" spans="1:6" x14ac:dyDescent="0.25">
      <c r="A6" s="1" t="s">
        <v>3</v>
      </c>
      <c r="B6" s="7">
        <v>8016</v>
      </c>
      <c r="C6" s="7">
        <v>5264</v>
      </c>
      <c r="D6" s="7">
        <v>48</v>
      </c>
      <c r="E6" s="7">
        <v>1581</v>
      </c>
      <c r="F6" s="10">
        <f>SUM(B6:E6)</f>
        <v>14909</v>
      </c>
    </row>
    <row r="7" spans="1:6" x14ac:dyDescent="0.25">
      <c r="A7" s="1" t="s">
        <v>4</v>
      </c>
      <c r="B7" s="7">
        <v>62358</v>
      </c>
      <c r="C7" s="7">
        <v>30824</v>
      </c>
      <c r="D7" s="7">
        <v>1073</v>
      </c>
      <c r="E7" s="7">
        <v>25687</v>
      </c>
      <c r="F7" s="10">
        <f t="shared" ref="F7:F70" si="0">SUM(B7:E7)</f>
        <v>119942</v>
      </c>
    </row>
    <row r="8" spans="1:6" x14ac:dyDescent="0.25">
      <c r="A8" s="1" t="s">
        <v>5</v>
      </c>
      <c r="B8" s="7">
        <v>7702</v>
      </c>
      <c r="C8" s="7">
        <v>5976</v>
      </c>
      <c r="D8" s="7">
        <v>81</v>
      </c>
      <c r="E8" s="7">
        <v>2443</v>
      </c>
      <c r="F8" s="10">
        <f t="shared" si="0"/>
        <v>16202</v>
      </c>
    </row>
    <row r="9" spans="1:6" x14ac:dyDescent="0.25">
      <c r="A9" s="1" t="s">
        <v>6</v>
      </c>
      <c r="B9" s="7">
        <v>175962</v>
      </c>
      <c r="C9" s="7">
        <v>129728</v>
      </c>
      <c r="D9" s="7">
        <v>4056</v>
      </c>
      <c r="E9" s="7">
        <v>108112</v>
      </c>
      <c r="F9" s="10">
        <f t="shared" si="0"/>
        <v>417858</v>
      </c>
    </row>
    <row r="10" spans="1:6" x14ac:dyDescent="0.25">
      <c r="A10" s="1" t="s">
        <v>7</v>
      </c>
      <c r="B10" s="7">
        <v>248084</v>
      </c>
      <c r="C10" s="7">
        <v>581495</v>
      </c>
      <c r="D10" s="7">
        <v>6510</v>
      </c>
      <c r="E10" s="7">
        <v>322549</v>
      </c>
      <c r="F10" s="10">
        <f t="shared" si="0"/>
        <v>1158638</v>
      </c>
    </row>
    <row r="11" spans="1:6" x14ac:dyDescent="0.25">
      <c r="A11" s="1" t="s">
        <v>8</v>
      </c>
      <c r="B11" s="7">
        <v>2590</v>
      </c>
      <c r="C11" s="7">
        <v>5061</v>
      </c>
      <c r="D11" s="7">
        <v>29</v>
      </c>
      <c r="E11" s="7">
        <v>974</v>
      </c>
      <c r="F11" s="10">
        <f t="shared" si="0"/>
        <v>8654</v>
      </c>
    </row>
    <row r="12" spans="1:6" x14ac:dyDescent="0.25">
      <c r="A12" s="1" t="s">
        <v>9</v>
      </c>
      <c r="B12" s="7">
        <v>60216</v>
      </c>
      <c r="C12" s="7">
        <v>36536</v>
      </c>
      <c r="D12" s="7">
        <v>1113</v>
      </c>
      <c r="E12" s="7">
        <v>35514</v>
      </c>
      <c r="F12" s="10">
        <f t="shared" si="0"/>
        <v>133379</v>
      </c>
    </row>
    <row r="13" spans="1:6" x14ac:dyDescent="0.25">
      <c r="A13" s="1" t="s">
        <v>10</v>
      </c>
      <c r="B13" s="7">
        <v>51772</v>
      </c>
      <c r="C13" s="7">
        <v>29531</v>
      </c>
      <c r="D13" s="7">
        <v>847</v>
      </c>
      <c r="E13" s="7">
        <v>26312</v>
      </c>
      <c r="F13" s="10">
        <f t="shared" si="0"/>
        <v>108462</v>
      </c>
    </row>
    <row r="14" spans="1:6" x14ac:dyDescent="0.25">
      <c r="A14" s="1" t="s">
        <v>11</v>
      </c>
      <c r="B14" s="7">
        <v>81677</v>
      </c>
      <c r="C14" s="7">
        <v>33636</v>
      </c>
      <c r="D14" s="7">
        <v>1166</v>
      </c>
      <c r="E14" s="7">
        <v>35429</v>
      </c>
      <c r="F14" s="10">
        <f t="shared" si="0"/>
        <v>151908</v>
      </c>
    </row>
    <row r="15" spans="1:6" x14ac:dyDescent="0.25">
      <c r="A15" s="1" t="s">
        <v>12</v>
      </c>
      <c r="B15" s="7">
        <v>106967</v>
      </c>
      <c r="C15" s="7">
        <v>49889</v>
      </c>
      <c r="D15" s="7">
        <v>1164</v>
      </c>
      <c r="E15" s="7">
        <v>52411</v>
      </c>
      <c r="F15" s="10">
        <f t="shared" si="0"/>
        <v>210431</v>
      </c>
    </row>
    <row r="16" spans="1:6" x14ac:dyDescent="0.25">
      <c r="A16" s="1" t="s">
        <v>13</v>
      </c>
      <c r="B16" s="7">
        <v>18294</v>
      </c>
      <c r="C16" s="7">
        <v>14349</v>
      </c>
      <c r="D16" s="7">
        <v>266</v>
      </c>
      <c r="E16" s="7">
        <v>7077</v>
      </c>
      <c r="F16" s="10">
        <f t="shared" si="0"/>
        <v>39986</v>
      </c>
    </row>
    <row r="17" spans="1:6" x14ac:dyDescent="0.25">
      <c r="A17" s="1" t="s">
        <v>14</v>
      </c>
      <c r="B17" s="7">
        <v>5596</v>
      </c>
      <c r="C17" s="7">
        <v>7214</v>
      </c>
      <c r="D17" s="7">
        <v>57</v>
      </c>
      <c r="E17" s="7">
        <v>3778</v>
      </c>
      <c r="F17" s="10">
        <f t="shared" si="0"/>
        <v>16645</v>
      </c>
    </row>
    <row r="18" spans="1:6" x14ac:dyDescent="0.25">
      <c r="A18" s="1" t="s">
        <v>15</v>
      </c>
      <c r="B18" s="7">
        <v>3831</v>
      </c>
      <c r="C18" s="7">
        <v>4178</v>
      </c>
      <c r="D18" s="7">
        <v>41</v>
      </c>
      <c r="E18" s="7">
        <v>1529</v>
      </c>
      <c r="F18" s="10">
        <f t="shared" si="0"/>
        <v>9579</v>
      </c>
    </row>
    <row r="19" spans="1:6" x14ac:dyDescent="0.25">
      <c r="A19" s="1" t="s">
        <v>16</v>
      </c>
      <c r="B19" s="7">
        <v>219246</v>
      </c>
      <c r="C19" s="7">
        <v>243286</v>
      </c>
      <c r="D19" s="7">
        <v>4847</v>
      </c>
      <c r="E19" s="7">
        <v>129642</v>
      </c>
      <c r="F19" s="10">
        <f t="shared" si="0"/>
        <v>597021</v>
      </c>
    </row>
    <row r="20" spans="1:6" x14ac:dyDescent="0.25">
      <c r="A20" s="1" t="s">
        <v>17</v>
      </c>
      <c r="B20" s="7">
        <v>94688</v>
      </c>
      <c r="C20" s="7">
        <v>71352</v>
      </c>
      <c r="D20" s="7">
        <v>1666</v>
      </c>
      <c r="E20" s="7">
        <v>42893</v>
      </c>
      <c r="F20" s="10">
        <f t="shared" si="0"/>
        <v>210599</v>
      </c>
    </row>
    <row r="21" spans="1:6" x14ac:dyDescent="0.25">
      <c r="A21" s="1" t="s">
        <v>18</v>
      </c>
      <c r="B21" s="7">
        <v>33629</v>
      </c>
      <c r="C21" s="7">
        <v>25417</v>
      </c>
      <c r="D21" s="7">
        <v>484</v>
      </c>
      <c r="E21" s="7">
        <v>22385</v>
      </c>
      <c r="F21" s="10">
        <f t="shared" si="0"/>
        <v>81915</v>
      </c>
    </row>
    <row r="22" spans="1:6" x14ac:dyDescent="0.25">
      <c r="A22" s="1" t="s">
        <v>19</v>
      </c>
      <c r="B22" s="7">
        <v>2590</v>
      </c>
      <c r="C22" s="7">
        <v>4030</v>
      </c>
      <c r="D22" s="7">
        <v>106</v>
      </c>
      <c r="E22" s="7">
        <v>990</v>
      </c>
      <c r="F22" s="10">
        <f t="shared" si="0"/>
        <v>7716</v>
      </c>
    </row>
    <row r="23" spans="1:6" x14ac:dyDescent="0.25">
      <c r="A23" s="1" t="s">
        <v>20</v>
      </c>
      <c r="B23" s="7">
        <v>4730</v>
      </c>
      <c r="C23" s="7">
        <v>22008</v>
      </c>
      <c r="D23" s="7">
        <v>95</v>
      </c>
      <c r="E23" s="7">
        <v>2868</v>
      </c>
      <c r="F23" s="10">
        <f t="shared" si="0"/>
        <v>29701</v>
      </c>
    </row>
    <row r="24" spans="1:6" x14ac:dyDescent="0.25">
      <c r="A24" s="1" t="s">
        <v>21</v>
      </c>
      <c r="B24" s="7">
        <v>6472</v>
      </c>
      <c r="C24" s="7">
        <v>3343</v>
      </c>
      <c r="D24" s="7">
        <v>73</v>
      </c>
      <c r="E24" s="7">
        <v>1798</v>
      </c>
      <c r="F24" s="10">
        <f t="shared" si="0"/>
        <v>11686</v>
      </c>
    </row>
    <row r="25" spans="1:6" x14ac:dyDescent="0.25">
      <c r="A25" s="1" t="s">
        <v>22</v>
      </c>
      <c r="B25" s="7">
        <v>2699</v>
      </c>
      <c r="C25" s="7">
        <v>2785</v>
      </c>
      <c r="D25" s="7">
        <v>35</v>
      </c>
      <c r="E25" s="7">
        <v>1230</v>
      </c>
      <c r="F25" s="10">
        <f t="shared" si="0"/>
        <v>6749</v>
      </c>
    </row>
    <row r="26" spans="1:6" x14ac:dyDescent="0.25">
      <c r="A26" s="1" t="s">
        <v>23</v>
      </c>
      <c r="B26" s="7">
        <v>4906</v>
      </c>
      <c r="C26" s="7">
        <v>3932</v>
      </c>
      <c r="D26" s="7">
        <v>108</v>
      </c>
      <c r="E26" s="7">
        <v>1188</v>
      </c>
      <c r="F26" s="10">
        <f t="shared" si="0"/>
        <v>10134</v>
      </c>
    </row>
    <row r="27" spans="1:6" x14ac:dyDescent="0.25">
      <c r="A27" s="1" t="s">
        <v>24</v>
      </c>
      <c r="B27" s="7">
        <v>2471</v>
      </c>
      <c r="C27" s="7">
        <v>4222</v>
      </c>
      <c r="D27" s="7">
        <v>44</v>
      </c>
      <c r="E27" s="7">
        <v>952</v>
      </c>
      <c r="F27" s="10">
        <f t="shared" si="0"/>
        <v>7689</v>
      </c>
    </row>
    <row r="28" spans="1:6" x14ac:dyDescent="0.25">
      <c r="A28" s="1" t="s">
        <v>25</v>
      </c>
      <c r="B28" s="7">
        <v>5338</v>
      </c>
      <c r="C28" s="7">
        <v>4489</v>
      </c>
      <c r="D28" s="7">
        <v>39</v>
      </c>
      <c r="E28" s="7">
        <v>2282</v>
      </c>
      <c r="F28" s="10">
        <f t="shared" si="0"/>
        <v>12148</v>
      </c>
    </row>
    <row r="29" spans="1:6" x14ac:dyDescent="0.25">
      <c r="A29" s="1" t="s">
        <v>26</v>
      </c>
      <c r="B29" s="7">
        <v>6380</v>
      </c>
      <c r="C29" s="7">
        <v>7842</v>
      </c>
      <c r="D29" s="7">
        <v>87</v>
      </c>
      <c r="E29" s="7">
        <v>3328</v>
      </c>
      <c r="F29" s="10">
        <f t="shared" si="0"/>
        <v>17637</v>
      </c>
    </row>
    <row r="30" spans="1:6" x14ac:dyDescent="0.25">
      <c r="A30" s="1" t="s">
        <v>27</v>
      </c>
      <c r="B30" s="7">
        <v>54938</v>
      </c>
      <c r="C30" s="7">
        <v>42060</v>
      </c>
      <c r="D30" s="7">
        <v>1171</v>
      </c>
      <c r="E30" s="7">
        <v>34621</v>
      </c>
      <c r="F30" s="10">
        <f t="shared" si="0"/>
        <v>132790</v>
      </c>
    </row>
    <row r="31" spans="1:6" x14ac:dyDescent="0.25">
      <c r="A31" s="1" t="s">
        <v>28</v>
      </c>
      <c r="B31" s="7">
        <v>27076</v>
      </c>
      <c r="C31" s="7">
        <v>17890</v>
      </c>
      <c r="D31" s="7">
        <v>257</v>
      </c>
      <c r="E31" s="7">
        <v>13377</v>
      </c>
      <c r="F31" s="10">
        <f t="shared" si="0"/>
        <v>58600</v>
      </c>
    </row>
    <row r="32" spans="1:6" x14ac:dyDescent="0.25">
      <c r="A32" s="1" t="s">
        <v>29</v>
      </c>
      <c r="B32" s="7">
        <v>267396</v>
      </c>
      <c r="C32" s="7">
        <v>329820</v>
      </c>
      <c r="D32" s="7">
        <v>6452</v>
      </c>
      <c r="E32" s="7">
        <v>240943</v>
      </c>
      <c r="F32" s="10">
        <f t="shared" si="0"/>
        <v>844611</v>
      </c>
    </row>
    <row r="33" spans="1:6" x14ac:dyDescent="0.25">
      <c r="A33" s="1" t="s">
        <v>30</v>
      </c>
      <c r="B33" s="7">
        <v>6180</v>
      </c>
      <c r="C33" s="7">
        <v>3260</v>
      </c>
      <c r="D33" s="7">
        <v>29</v>
      </c>
      <c r="E33" s="7">
        <v>1191</v>
      </c>
      <c r="F33" s="10">
        <f t="shared" si="0"/>
        <v>10660</v>
      </c>
    </row>
    <row r="34" spans="1:6" x14ac:dyDescent="0.25">
      <c r="A34" s="1" t="s">
        <v>31</v>
      </c>
      <c r="B34" s="7">
        <v>51995</v>
      </c>
      <c r="C34" s="7">
        <v>30586</v>
      </c>
      <c r="D34" s="7">
        <v>832</v>
      </c>
      <c r="E34" s="7">
        <v>28800</v>
      </c>
      <c r="F34" s="10">
        <f t="shared" si="0"/>
        <v>112213</v>
      </c>
    </row>
    <row r="35" spans="1:6" x14ac:dyDescent="0.25">
      <c r="A35" s="1" t="s">
        <v>32</v>
      </c>
      <c r="B35" s="7">
        <v>10347</v>
      </c>
      <c r="C35" s="7">
        <v>14423</v>
      </c>
      <c r="D35" s="7">
        <v>72</v>
      </c>
      <c r="E35" s="7">
        <v>2966</v>
      </c>
      <c r="F35" s="10">
        <f t="shared" si="0"/>
        <v>27808</v>
      </c>
    </row>
    <row r="36" spans="1:6" x14ac:dyDescent="0.25">
      <c r="A36" s="1" t="s">
        <v>33</v>
      </c>
      <c r="B36" s="7">
        <v>3204</v>
      </c>
      <c r="C36" s="7">
        <v>5402</v>
      </c>
      <c r="D36" s="7">
        <v>36</v>
      </c>
      <c r="E36" s="7">
        <v>1095</v>
      </c>
      <c r="F36" s="10">
        <f t="shared" si="0"/>
        <v>9737</v>
      </c>
    </row>
    <row r="37" spans="1:6" x14ac:dyDescent="0.25">
      <c r="A37" s="1" t="s">
        <v>34</v>
      </c>
      <c r="B37" s="7">
        <v>1729</v>
      </c>
      <c r="C37" s="7">
        <v>2289</v>
      </c>
      <c r="D37" s="7">
        <v>11</v>
      </c>
      <c r="E37" s="7">
        <v>295</v>
      </c>
      <c r="F37" s="10">
        <f t="shared" si="0"/>
        <v>4324</v>
      </c>
    </row>
    <row r="38" spans="1:6" x14ac:dyDescent="0.25">
      <c r="A38" s="1" t="s">
        <v>35</v>
      </c>
      <c r="B38" s="7">
        <v>102227</v>
      </c>
      <c r="C38" s="7">
        <v>71244</v>
      </c>
      <c r="D38" s="7">
        <v>1208</v>
      </c>
      <c r="E38" s="7">
        <v>58026</v>
      </c>
      <c r="F38" s="10">
        <f t="shared" si="0"/>
        <v>232705</v>
      </c>
    </row>
    <row r="39" spans="1:6" x14ac:dyDescent="0.25">
      <c r="A39" s="1" t="s">
        <v>36</v>
      </c>
      <c r="B39" s="7">
        <v>189176</v>
      </c>
      <c r="C39" s="7">
        <v>119267</v>
      </c>
      <c r="D39" s="7">
        <v>2607</v>
      </c>
      <c r="E39" s="7">
        <v>128864</v>
      </c>
      <c r="F39" s="10">
        <f t="shared" si="0"/>
        <v>439914</v>
      </c>
    </row>
    <row r="40" spans="1:6" x14ac:dyDescent="0.25">
      <c r="A40" s="1" t="s">
        <v>37</v>
      </c>
      <c r="B40" s="7">
        <v>57338</v>
      </c>
      <c r="C40" s="7">
        <v>109717</v>
      </c>
      <c r="D40" s="7">
        <v>1535</v>
      </c>
      <c r="E40" s="7">
        <v>40593</v>
      </c>
      <c r="F40" s="10">
        <f t="shared" si="0"/>
        <v>209183</v>
      </c>
    </row>
    <row r="41" spans="1:6" x14ac:dyDescent="0.25">
      <c r="A41" s="1" t="s">
        <v>38</v>
      </c>
      <c r="B41" s="7">
        <v>12990</v>
      </c>
      <c r="C41" s="7">
        <v>9215</v>
      </c>
      <c r="D41" s="7">
        <v>444</v>
      </c>
      <c r="E41" s="7">
        <v>5021</v>
      </c>
      <c r="F41" s="10">
        <f t="shared" si="0"/>
        <v>27670</v>
      </c>
    </row>
    <row r="42" spans="1:6" x14ac:dyDescent="0.25">
      <c r="A42" s="1" t="s">
        <v>39</v>
      </c>
      <c r="B42" s="7">
        <v>878</v>
      </c>
      <c r="C42" s="7">
        <v>3099</v>
      </c>
      <c r="D42" s="7">
        <v>4</v>
      </c>
      <c r="E42" s="7">
        <v>391</v>
      </c>
      <c r="F42" s="10">
        <f t="shared" si="0"/>
        <v>4372</v>
      </c>
    </row>
    <row r="43" spans="1:6" x14ac:dyDescent="0.25">
      <c r="A43" s="1" t="s">
        <v>40</v>
      </c>
      <c r="B43" s="7">
        <v>3548</v>
      </c>
      <c r="C43" s="7">
        <v>6910</v>
      </c>
      <c r="D43" s="7">
        <v>40</v>
      </c>
      <c r="E43" s="7">
        <v>1315</v>
      </c>
      <c r="F43" s="10">
        <f t="shared" si="0"/>
        <v>11813</v>
      </c>
    </row>
    <row r="44" spans="1:6" x14ac:dyDescent="0.25">
      <c r="A44" s="1" t="s">
        <v>41</v>
      </c>
      <c r="B44" s="7">
        <v>104624</v>
      </c>
      <c r="C44" s="7">
        <v>73946</v>
      </c>
      <c r="D44" s="7">
        <v>1659</v>
      </c>
      <c r="E44" s="7">
        <v>61582</v>
      </c>
      <c r="F44" s="10">
        <f t="shared" si="0"/>
        <v>241811</v>
      </c>
    </row>
    <row r="45" spans="1:6" x14ac:dyDescent="0.25">
      <c r="A45" s="1" t="s">
        <v>42</v>
      </c>
      <c r="B45" s="7">
        <v>106790</v>
      </c>
      <c r="C45" s="7">
        <v>79074</v>
      </c>
      <c r="D45" s="7">
        <v>1407</v>
      </c>
      <c r="E45" s="7">
        <v>53232</v>
      </c>
      <c r="F45" s="10">
        <f t="shared" si="0"/>
        <v>240503</v>
      </c>
    </row>
    <row r="46" spans="1:6" x14ac:dyDescent="0.25">
      <c r="A46" s="1" t="s">
        <v>43</v>
      </c>
      <c r="B46" s="7">
        <v>56336</v>
      </c>
      <c r="C46" s="7">
        <v>28644</v>
      </c>
      <c r="D46" s="7">
        <v>913</v>
      </c>
      <c r="E46" s="7">
        <v>27431</v>
      </c>
      <c r="F46" s="10">
        <f t="shared" si="0"/>
        <v>113324</v>
      </c>
    </row>
    <row r="47" spans="1:6" x14ac:dyDescent="0.25">
      <c r="A47" s="1" t="s">
        <v>44</v>
      </c>
      <c r="B47" s="7">
        <v>371430</v>
      </c>
      <c r="C47" s="7">
        <v>590311</v>
      </c>
      <c r="D47" s="7">
        <v>6417</v>
      </c>
      <c r="E47" s="7">
        <v>437924</v>
      </c>
      <c r="F47" s="10">
        <f t="shared" si="0"/>
        <v>1406082</v>
      </c>
    </row>
    <row r="48" spans="1:6" x14ac:dyDescent="0.25">
      <c r="A48" s="1" t="s">
        <v>45</v>
      </c>
      <c r="B48" s="7">
        <v>20832</v>
      </c>
      <c r="C48" s="7">
        <v>17346</v>
      </c>
      <c r="D48" s="7">
        <v>576</v>
      </c>
      <c r="E48" s="7">
        <v>14489</v>
      </c>
      <c r="F48" s="10">
        <f t="shared" si="0"/>
        <v>53243</v>
      </c>
    </row>
    <row r="49" spans="1:6" x14ac:dyDescent="0.25">
      <c r="A49" s="1" t="s">
        <v>46</v>
      </c>
      <c r="B49" s="7">
        <v>38085</v>
      </c>
      <c r="C49" s="7">
        <v>14408</v>
      </c>
      <c r="D49" s="7">
        <v>601</v>
      </c>
      <c r="E49" s="7">
        <v>13120</v>
      </c>
      <c r="F49" s="10">
        <f t="shared" si="0"/>
        <v>66214</v>
      </c>
    </row>
    <row r="50" spans="1:6" x14ac:dyDescent="0.25">
      <c r="A50" s="1" t="s">
        <v>47</v>
      </c>
      <c r="B50" s="7">
        <v>77535</v>
      </c>
      <c r="C50" s="7">
        <v>25231</v>
      </c>
      <c r="D50" s="7">
        <v>1357</v>
      </c>
      <c r="E50" s="7">
        <v>29825</v>
      </c>
      <c r="F50" s="10">
        <f t="shared" si="0"/>
        <v>133948</v>
      </c>
    </row>
    <row r="51" spans="1:6" x14ac:dyDescent="0.25">
      <c r="A51" s="1" t="s">
        <v>48</v>
      </c>
      <c r="B51" s="7">
        <v>8890</v>
      </c>
      <c r="C51" s="7">
        <v>7290</v>
      </c>
      <c r="D51" s="7">
        <v>136</v>
      </c>
      <c r="E51" s="7">
        <v>4001</v>
      </c>
      <c r="F51" s="10">
        <f t="shared" si="0"/>
        <v>20317</v>
      </c>
    </row>
    <row r="52" spans="1:6" x14ac:dyDescent="0.25">
      <c r="A52" s="1" t="s">
        <v>49</v>
      </c>
      <c r="B52" s="7">
        <v>208477</v>
      </c>
      <c r="C52" s="7">
        <v>330534</v>
      </c>
      <c r="D52" s="7">
        <v>5520</v>
      </c>
      <c r="E52" s="7">
        <v>236529</v>
      </c>
      <c r="F52" s="10">
        <f t="shared" si="0"/>
        <v>781060</v>
      </c>
    </row>
    <row r="53" spans="1:6" x14ac:dyDescent="0.25">
      <c r="A53" s="1" t="s">
        <v>50</v>
      </c>
      <c r="B53" s="7">
        <v>48790</v>
      </c>
      <c r="C53" s="7">
        <v>92003</v>
      </c>
      <c r="D53" s="7">
        <v>929</v>
      </c>
      <c r="E53" s="7">
        <v>72790</v>
      </c>
      <c r="F53" s="10">
        <f t="shared" si="0"/>
        <v>214512</v>
      </c>
    </row>
    <row r="54" spans="1:6" x14ac:dyDescent="0.25">
      <c r="A54" s="1" t="s">
        <v>51</v>
      </c>
      <c r="B54" s="7">
        <v>260762</v>
      </c>
      <c r="C54" s="7">
        <v>390113</v>
      </c>
      <c r="D54" s="7">
        <v>7436</v>
      </c>
      <c r="E54" s="7">
        <v>264782</v>
      </c>
      <c r="F54" s="10">
        <f t="shared" si="0"/>
        <v>923093</v>
      </c>
    </row>
    <row r="55" spans="1:6" x14ac:dyDescent="0.25">
      <c r="A55" s="1" t="s">
        <v>52</v>
      </c>
      <c r="B55" s="7">
        <v>135592</v>
      </c>
      <c r="C55" s="7">
        <v>108683</v>
      </c>
      <c r="D55" s="7">
        <v>3016</v>
      </c>
      <c r="E55" s="7">
        <v>100430</v>
      </c>
      <c r="F55" s="10">
        <f t="shared" si="0"/>
        <v>347721</v>
      </c>
    </row>
    <row r="56" spans="1:6" x14ac:dyDescent="0.25">
      <c r="A56" s="1" t="s">
        <v>53</v>
      </c>
      <c r="B56" s="7">
        <v>232615</v>
      </c>
      <c r="C56" s="7">
        <v>234366</v>
      </c>
      <c r="D56" s="7">
        <v>5644</v>
      </c>
      <c r="E56" s="7">
        <v>185206</v>
      </c>
      <c r="F56" s="10">
        <f t="shared" si="0"/>
        <v>657831</v>
      </c>
    </row>
    <row r="57" spans="1:6" x14ac:dyDescent="0.25">
      <c r="A57" s="1" t="s">
        <v>54</v>
      </c>
      <c r="B57" s="7">
        <v>146976</v>
      </c>
      <c r="C57" s="7">
        <v>145285</v>
      </c>
      <c r="D57" s="7">
        <v>2658</v>
      </c>
      <c r="E57" s="7">
        <v>115996</v>
      </c>
      <c r="F57" s="10">
        <f t="shared" si="0"/>
        <v>410915</v>
      </c>
    </row>
    <row r="58" spans="1:6" x14ac:dyDescent="0.25">
      <c r="A58" s="1" t="s">
        <v>55</v>
      </c>
      <c r="B58" s="7">
        <v>18879</v>
      </c>
      <c r="C58" s="7">
        <v>18766</v>
      </c>
      <c r="D58" s="7">
        <v>265</v>
      </c>
      <c r="E58" s="7">
        <v>9074</v>
      </c>
      <c r="F58" s="10">
        <f t="shared" si="0"/>
        <v>46984</v>
      </c>
    </row>
    <row r="59" spans="1:6" x14ac:dyDescent="0.25">
      <c r="A59" s="1" t="s">
        <v>56</v>
      </c>
      <c r="B59" s="7">
        <v>76959</v>
      </c>
      <c r="C59" s="7">
        <v>25214</v>
      </c>
      <c r="D59" s="7">
        <v>1439</v>
      </c>
      <c r="E59" s="7">
        <v>27498</v>
      </c>
      <c r="F59" s="10">
        <f t="shared" si="0"/>
        <v>131110</v>
      </c>
    </row>
    <row r="60" spans="1:6" x14ac:dyDescent="0.25">
      <c r="A60" s="1" t="s">
        <v>57</v>
      </c>
      <c r="B60" s="7">
        <v>134145</v>
      </c>
      <c r="C60" s="7">
        <v>96902</v>
      </c>
      <c r="D60" s="7">
        <v>2244</v>
      </c>
      <c r="E60" s="7">
        <v>81938</v>
      </c>
      <c r="F60" s="10">
        <f t="shared" si="0"/>
        <v>315229</v>
      </c>
    </row>
    <row r="61" spans="1:6" x14ac:dyDescent="0.25">
      <c r="A61" s="1" t="s">
        <v>58</v>
      </c>
      <c r="B61" s="7">
        <v>109585</v>
      </c>
      <c r="C61" s="7">
        <v>101307</v>
      </c>
      <c r="D61" s="7">
        <v>2307</v>
      </c>
      <c r="E61" s="7">
        <v>83992</v>
      </c>
      <c r="F61" s="10">
        <f t="shared" si="0"/>
        <v>297191</v>
      </c>
    </row>
    <row r="62" spans="1:6" x14ac:dyDescent="0.25">
      <c r="A62" s="1" t="s">
        <v>59</v>
      </c>
      <c r="B62" s="7">
        <v>97327</v>
      </c>
      <c r="C62" s="7">
        <v>44032</v>
      </c>
      <c r="D62" s="7">
        <v>1691</v>
      </c>
      <c r="E62" s="7">
        <v>41772</v>
      </c>
      <c r="F62" s="10">
        <f t="shared" si="0"/>
        <v>184822</v>
      </c>
    </row>
    <row r="63" spans="1:6" x14ac:dyDescent="0.25">
      <c r="A63" s="1" t="s">
        <v>60</v>
      </c>
      <c r="B63" s="7">
        <v>64951</v>
      </c>
      <c r="C63" s="7">
        <v>79848</v>
      </c>
      <c r="D63" s="7">
        <v>1207</v>
      </c>
      <c r="E63" s="7">
        <v>54862</v>
      </c>
      <c r="F63" s="10">
        <f t="shared" si="0"/>
        <v>200868</v>
      </c>
    </row>
    <row r="64" spans="1:6" x14ac:dyDescent="0.25">
      <c r="A64" s="1" t="s">
        <v>61</v>
      </c>
      <c r="B64" s="7">
        <v>51821</v>
      </c>
      <c r="C64" s="7">
        <v>23900</v>
      </c>
      <c r="D64" s="7">
        <v>414</v>
      </c>
      <c r="E64" s="7">
        <v>19611</v>
      </c>
      <c r="F64" s="10">
        <f t="shared" si="0"/>
        <v>95746</v>
      </c>
    </row>
    <row r="65" spans="1:6" x14ac:dyDescent="0.25">
      <c r="A65" s="1" t="s">
        <v>62</v>
      </c>
      <c r="B65" s="7">
        <v>11875</v>
      </c>
      <c r="C65" s="7">
        <v>9671</v>
      </c>
      <c r="D65" s="7">
        <v>191</v>
      </c>
      <c r="E65" s="7">
        <v>3930</v>
      </c>
      <c r="F65" s="10">
        <f t="shared" si="0"/>
        <v>25667</v>
      </c>
    </row>
    <row r="66" spans="1:6" x14ac:dyDescent="0.25">
      <c r="A66" s="1" t="s">
        <v>63</v>
      </c>
      <c r="B66" s="7">
        <v>4468</v>
      </c>
      <c r="C66" s="7">
        <v>6293</v>
      </c>
      <c r="D66" s="7">
        <v>62</v>
      </c>
      <c r="E66" s="7">
        <v>1214</v>
      </c>
      <c r="F66" s="10">
        <f t="shared" si="0"/>
        <v>12037</v>
      </c>
    </row>
    <row r="67" spans="1:6" x14ac:dyDescent="0.25">
      <c r="A67" s="1" t="s">
        <v>64</v>
      </c>
      <c r="B67" s="7">
        <v>3317</v>
      </c>
      <c r="C67" s="7">
        <v>3262</v>
      </c>
      <c r="D67" s="7">
        <v>28</v>
      </c>
      <c r="E67" s="7">
        <v>722</v>
      </c>
      <c r="F67" s="10">
        <f t="shared" si="0"/>
        <v>7329</v>
      </c>
    </row>
    <row r="68" spans="1:6" x14ac:dyDescent="0.25">
      <c r="A68" s="1" t="s">
        <v>65</v>
      </c>
      <c r="B68" s="7">
        <v>134542</v>
      </c>
      <c r="C68" s="7">
        <v>129764</v>
      </c>
      <c r="D68" s="7">
        <v>2834</v>
      </c>
      <c r="E68" s="7">
        <v>111025</v>
      </c>
      <c r="F68" s="10">
        <f t="shared" si="0"/>
        <v>378165</v>
      </c>
    </row>
    <row r="69" spans="1:6" x14ac:dyDescent="0.25">
      <c r="A69" s="1" t="s">
        <v>66</v>
      </c>
      <c r="B69" s="7">
        <v>8606</v>
      </c>
      <c r="C69" s="7">
        <v>8408</v>
      </c>
      <c r="D69" s="7">
        <v>128</v>
      </c>
      <c r="E69" s="7">
        <v>3502</v>
      </c>
      <c r="F69" s="10">
        <f t="shared" si="0"/>
        <v>20644</v>
      </c>
    </row>
    <row r="70" spans="1:6" x14ac:dyDescent="0.25">
      <c r="A70" s="1" t="s">
        <v>67</v>
      </c>
      <c r="B70" s="7">
        <v>29944</v>
      </c>
      <c r="C70" s="7">
        <v>9644</v>
      </c>
      <c r="D70" s="7">
        <v>404</v>
      </c>
      <c r="E70" s="7">
        <v>9675</v>
      </c>
      <c r="F70" s="10">
        <f t="shared" si="0"/>
        <v>49667</v>
      </c>
    </row>
    <row r="71" spans="1:6" ht="15.75" thickBot="1" x14ac:dyDescent="0.3">
      <c r="A71" s="1" t="s">
        <v>68</v>
      </c>
      <c r="B71" s="7">
        <v>8135</v>
      </c>
      <c r="C71" s="7">
        <v>5303</v>
      </c>
      <c r="D71" s="7">
        <v>82</v>
      </c>
      <c r="E71" s="7">
        <v>2207</v>
      </c>
      <c r="F71" s="10">
        <f t="shared" ref="F71" si="1">SUM(B71:E71)</f>
        <v>15727</v>
      </c>
    </row>
    <row r="72" spans="1:6" ht="16.5" thickTop="1" thickBot="1" x14ac:dyDescent="0.3">
      <c r="A72" s="3" t="s">
        <v>1</v>
      </c>
      <c r="B72" s="8">
        <f>SUM(B5:B71)</f>
        <v>4626815</v>
      </c>
      <c r="C72" s="8">
        <f>SUM(C5:C71)</f>
        <v>4875282</v>
      </c>
      <c r="D72" s="8">
        <f>SUM(D5:D71)</f>
        <v>91742</v>
      </c>
      <c r="E72" s="8">
        <f>SUM(E5:E71)</f>
        <v>3500042</v>
      </c>
      <c r="F72" s="8">
        <f>SUM(F5:F71)</f>
        <v>13093881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opLeftCell="A51" workbookViewId="0">
      <selection activeCell="H73" sqref="H73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customHeight="1" x14ac:dyDescent="0.3">
      <c r="A1" s="14" t="s">
        <v>83</v>
      </c>
      <c r="B1" s="15"/>
      <c r="C1" s="15"/>
      <c r="D1" s="15"/>
      <c r="E1" s="15"/>
      <c r="F1" s="16"/>
    </row>
    <row r="2" spans="1:6" x14ac:dyDescent="0.25">
      <c r="A2" s="17" t="s">
        <v>106</v>
      </c>
      <c r="B2" s="18"/>
      <c r="C2" s="18"/>
      <c r="D2" s="18"/>
      <c r="E2" s="18"/>
      <c r="F2" s="19"/>
    </row>
    <row r="3" spans="1:6" x14ac:dyDescent="0.25">
      <c r="A3" s="20" t="s">
        <v>73</v>
      </c>
      <c r="B3" s="21"/>
      <c r="C3" s="21"/>
      <c r="D3" s="21"/>
      <c r="E3" s="21"/>
      <c r="F3" s="22"/>
    </row>
    <row r="4" spans="1:6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7">
        <v>49764</v>
      </c>
      <c r="C5" s="7">
        <v>85837</v>
      </c>
      <c r="D5" s="7">
        <v>1554</v>
      </c>
      <c r="E5" s="7">
        <v>42022</v>
      </c>
      <c r="F5" s="10">
        <f>SUM(B5:E5)</f>
        <v>179177</v>
      </c>
    </row>
    <row r="6" spans="1:6" x14ac:dyDescent="0.25">
      <c r="A6" s="1" t="s">
        <v>3</v>
      </c>
      <c r="B6" s="7">
        <v>8161</v>
      </c>
      <c r="C6" s="7">
        <v>5214</v>
      </c>
      <c r="D6" s="7">
        <v>50</v>
      </c>
      <c r="E6" s="7">
        <v>1590</v>
      </c>
      <c r="F6" s="10">
        <f t="shared" ref="F6:F69" si="0">SUM(B6:E6)</f>
        <v>15015</v>
      </c>
    </row>
    <row r="7" spans="1:6" x14ac:dyDescent="0.25">
      <c r="A7" s="1" t="s">
        <v>4</v>
      </c>
      <c r="B7" s="7">
        <v>62747</v>
      </c>
      <c r="C7" s="7">
        <v>30867</v>
      </c>
      <c r="D7" s="7">
        <v>1116</v>
      </c>
      <c r="E7" s="7">
        <v>25788</v>
      </c>
      <c r="F7" s="10">
        <f t="shared" si="0"/>
        <v>120518</v>
      </c>
    </row>
    <row r="8" spans="1:6" x14ac:dyDescent="0.25">
      <c r="A8" s="1" t="s">
        <v>5</v>
      </c>
      <c r="B8" s="7">
        <v>7785</v>
      </c>
      <c r="C8" s="7">
        <v>5936</v>
      </c>
      <c r="D8" s="7">
        <v>87</v>
      </c>
      <c r="E8" s="7">
        <v>2446</v>
      </c>
      <c r="F8" s="10">
        <f t="shared" si="0"/>
        <v>16254</v>
      </c>
    </row>
    <row r="9" spans="1:6" x14ac:dyDescent="0.25">
      <c r="A9" s="1" t="s">
        <v>6</v>
      </c>
      <c r="B9" s="7">
        <v>177237</v>
      </c>
      <c r="C9" s="7">
        <v>130415</v>
      </c>
      <c r="D9" s="7">
        <v>4327</v>
      </c>
      <c r="E9" s="7">
        <v>108487</v>
      </c>
      <c r="F9" s="10">
        <f t="shared" si="0"/>
        <v>420466</v>
      </c>
    </row>
    <row r="10" spans="1:6" x14ac:dyDescent="0.25">
      <c r="A10" s="1" t="s">
        <v>7</v>
      </c>
      <c r="B10" s="7">
        <v>249822</v>
      </c>
      <c r="C10" s="7">
        <v>586833</v>
      </c>
      <c r="D10" s="7">
        <v>7094</v>
      </c>
      <c r="E10" s="7">
        <v>324233</v>
      </c>
      <c r="F10" s="10">
        <f t="shared" si="0"/>
        <v>1167982</v>
      </c>
    </row>
    <row r="11" spans="1:6" x14ac:dyDescent="0.25">
      <c r="A11" s="1" t="s">
        <v>8</v>
      </c>
      <c r="B11" s="7">
        <v>2654</v>
      </c>
      <c r="C11" s="7">
        <v>5013</v>
      </c>
      <c r="D11" s="7">
        <v>31</v>
      </c>
      <c r="E11" s="7">
        <v>982</v>
      </c>
      <c r="F11" s="10">
        <f t="shared" si="0"/>
        <v>8680</v>
      </c>
    </row>
    <row r="12" spans="1:6" x14ac:dyDescent="0.25">
      <c r="A12" s="1" t="s">
        <v>9</v>
      </c>
      <c r="B12" s="7">
        <v>60632</v>
      </c>
      <c r="C12" s="7">
        <v>36616</v>
      </c>
      <c r="D12" s="7">
        <v>1202</v>
      </c>
      <c r="E12" s="7">
        <v>35625</v>
      </c>
      <c r="F12" s="10">
        <f t="shared" si="0"/>
        <v>134075</v>
      </c>
    </row>
    <row r="13" spans="1:6" x14ac:dyDescent="0.25">
      <c r="A13" s="1" t="s">
        <v>10</v>
      </c>
      <c r="B13" s="7">
        <v>52204</v>
      </c>
      <c r="C13" s="7">
        <v>29555</v>
      </c>
      <c r="D13" s="7">
        <v>916</v>
      </c>
      <c r="E13" s="7">
        <v>26317</v>
      </c>
      <c r="F13" s="10">
        <f t="shared" si="0"/>
        <v>108992</v>
      </c>
    </row>
    <row r="14" spans="1:6" x14ac:dyDescent="0.25">
      <c r="A14" s="1" t="s">
        <v>11</v>
      </c>
      <c r="B14" s="7">
        <v>82005</v>
      </c>
      <c r="C14" s="7">
        <v>33846</v>
      </c>
      <c r="D14" s="7">
        <v>1231</v>
      </c>
      <c r="E14" s="7">
        <v>35445</v>
      </c>
      <c r="F14" s="10">
        <f t="shared" si="0"/>
        <v>152527</v>
      </c>
    </row>
    <row r="15" spans="1:6" x14ac:dyDescent="0.25">
      <c r="A15" s="1" t="s">
        <v>12</v>
      </c>
      <c r="B15" s="7">
        <v>107721</v>
      </c>
      <c r="C15" s="7">
        <v>50507</v>
      </c>
      <c r="D15" s="7">
        <v>1298</v>
      </c>
      <c r="E15" s="7">
        <v>52842</v>
      </c>
      <c r="F15" s="10">
        <f t="shared" si="0"/>
        <v>212368</v>
      </c>
    </row>
    <row r="16" spans="1:6" x14ac:dyDescent="0.25">
      <c r="A16" s="1" t="s">
        <v>13</v>
      </c>
      <c r="B16" s="7">
        <v>18569</v>
      </c>
      <c r="C16" s="7">
        <v>14265</v>
      </c>
      <c r="D16" s="7">
        <v>288</v>
      </c>
      <c r="E16" s="7">
        <v>7092</v>
      </c>
      <c r="F16" s="10">
        <f t="shared" si="0"/>
        <v>40214</v>
      </c>
    </row>
    <row r="17" spans="1:6" x14ac:dyDescent="0.25">
      <c r="A17" s="1" t="s">
        <v>14</v>
      </c>
      <c r="B17" s="7">
        <v>5655</v>
      </c>
      <c r="C17" s="7">
        <v>7170</v>
      </c>
      <c r="D17" s="7">
        <v>60</v>
      </c>
      <c r="E17" s="7">
        <v>3805</v>
      </c>
      <c r="F17" s="10">
        <f t="shared" si="0"/>
        <v>16690</v>
      </c>
    </row>
    <row r="18" spans="1:6" x14ac:dyDescent="0.25">
      <c r="A18" s="1" t="s">
        <v>15</v>
      </c>
      <c r="B18" s="7">
        <v>3942</v>
      </c>
      <c r="C18" s="7">
        <v>4106</v>
      </c>
      <c r="D18" s="7">
        <v>46</v>
      </c>
      <c r="E18" s="7">
        <v>1520</v>
      </c>
      <c r="F18" s="10">
        <f t="shared" si="0"/>
        <v>9614</v>
      </c>
    </row>
    <row r="19" spans="1:6" x14ac:dyDescent="0.25">
      <c r="A19" s="1" t="s">
        <v>16</v>
      </c>
      <c r="B19" s="7">
        <v>220626</v>
      </c>
      <c r="C19" s="7">
        <v>246387</v>
      </c>
      <c r="D19" s="7">
        <v>5246</v>
      </c>
      <c r="E19" s="7">
        <v>131237</v>
      </c>
      <c r="F19" s="10">
        <f t="shared" si="0"/>
        <v>603496</v>
      </c>
    </row>
    <row r="20" spans="1:6" x14ac:dyDescent="0.25">
      <c r="A20" s="1" t="s">
        <v>17</v>
      </c>
      <c r="B20" s="7">
        <v>95271</v>
      </c>
      <c r="C20" s="7">
        <v>71680</v>
      </c>
      <c r="D20" s="7">
        <v>1805</v>
      </c>
      <c r="E20" s="7">
        <v>43228</v>
      </c>
      <c r="F20" s="10">
        <f t="shared" si="0"/>
        <v>211984</v>
      </c>
    </row>
    <row r="21" spans="1:6" x14ac:dyDescent="0.25">
      <c r="A21" s="1" t="s">
        <v>18</v>
      </c>
      <c r="B21" s="7">
        <v>33830</v>
      </c>
      <c r="C21" s="7">
        <v>25495</v>
      </c>
      <c r="D21" s="7">
        <v>532</v>
      </c>
      <c r="E21" s="7">
        <v>22426</v>
      </c>
      <c r="F21" s="10">
        <f t="shared" si="0"/>
        <v>82283</v>
      </c>
    </row>
    <row r="22" spans="1:6" x14ac:dyDescent="0.25">
      <c r="A22" s="1" t="s">
        <v>19</v>
      </c>
      <c r="B22" s="7">
        <v>2644</v>
      </c>
      <c r="C22" s="7">
        <v>3998</v>
      </c>
      <c r="D22" s="7">
        <v>108</v>
      </c>
      <c r="E22" s="7">
        <v>995</v>
      </c>
      <c r="F22" s="10">
        <f t="shared" si="0"/>
        <v>7745</v>
      </c>
    </row>
    <row r="23" spans="1:6" x14ac:dyDescent="0.25">
      <c r="A23" s="1" t="s">
        <v>20</v>
      </c>
      <c r="B23" s="7">
        <v>4776</v>
      </c>
      <c r="C23" s="7">
        <v>21985</v>
      </c>
      <c r="D23" s="7">
        <v>101</v>
      </c>
      <c r="E23" s="7">
        <v>2872</v>
      </c>
      <c r="F23" s="10">
        <f t="shared" si="0"/>
        <v>29734</v>
      </c>
    </row>
    <row r="24" spans="1:6" x14ac:dyDescent="0.25">
      <c r="A24" s="1" t="s">
        <v>21</v>
      </c>
      <c r="B24" s="7">
        <v>6540</v>
      </c>
      <c r="C24" s="7">
        <v>3291</v>
      </c>
      <c r="D24" s="7">
        <v>72</v>
      </c>
      <c r="E24" s="7">
        <v>1799</v>
      </c>
      <c r="F24" s="10">
        <f t="shared" si="0"/>
        <v>11702</v>
      </c>
    </row>
    <row r="25" spans="1:6" x14ac:dyDescent="0.25">
      <c r="A25" s="1" t="s">
        <v>22</v>
      </c>
      <c r="B25" s="7">
        <v>2738</v>
      </c>
      <c r="C25" s="7">
        <v>2759</v>
      </c>
      <c r="D25" s="7">
        <v>35</v>
      </c>
      <c r="E25" s="7">
        <v>1222</v>
      </c>
      <c r="F25" s="10">
        <f t="shared" si="0"/>
        <v>6754</v>
      </c>
    </row>
    <row r="26" spans="1:6" x14ac:dyDescent="0.25">
      <c r="A26" s="1" t="s">
        <v>23</v>
      </c>
      <c r="B26" s="7">
        <v>4958</v>
      </c>
      <c r="C26" s="7">
        <v>3923</v>
      </c>
      <c r="D26" s="7">
        <v>118</v>
      </c>
      <c r="E26" s="7">
        <v>1189</v>
      </c>
      <c r="F26" s="10">
        <f t="shared" si="0"/>
        <v>10188</v>
      </c>
    </row>
    <row r="27" spans="1:6" x14ac:dyDescent="0.25">
      <c r="A27" s="1" t="s">
        <v>24</v>
      </c>
      <c r="B27" s="7">
        <v>2519</v>
      </c>
      <c r="C27" s="7">
        <v>4197</v>
      </c>
      <c r="D27" s="7">
        <v>47</v>
      </c>
      <c r="E27" s="7">
        <v>949</v>
      </c>
      <c r="F27" s="10">
        <f t="shared" si="0"/>
        <v>7712</v>
      </c>
    </row>
    <row r="28" spans="1:6" x14ac:dyDescent="0.25">
      <c r="A28" s="1" t="s">
        <v>25</v>
      </c>
      <c r="B28" s="7">
        <v>5409</v>
      </c>
      <c r="C28" s="7">
        <v>4440</v>
      </c>
      <c r="D28" s="7">
        <v>45</v>
      </c>
      <c r="E28" s="7">
        <v>2280</v>
      </c>
      <c r="F28" s="10">
        <f t="shared" si="0"/>
        <v>12174</v>
      </c>
    </row>
    <row r="29" spans="1:6" x14ac:dyDescent="0.25">
      <c r="A29" s="1" t="s">
        <v>26</v>
      </c>
      <c r="B29" s="7">
        <v>6455</v>
      </c>
      <c r="C29" s="7">
        <v>7818</v>
      </c>
      <c r="D29" s="7">
        <v>93</v>
      </c>
      <c r="E29" s="7">
        <v>3326</v>
      </c>
      <c r="F29" s="10">
        <f t="shared" si="0"/>
        <v>17692</v>
      </c>
    </row>
    <row r="30" spans="1:6" x14ac:dyDescent="0.25">
      <c r="A30" s="1" t="s">
        <v>27</v>
      </c>
      <c r="B30" s="7">
        <v>55385</v>
      </c>
      <c r="C30" s="7">
        <v>42134</v>
      </c>
      <c r="D30" s="7">
        <v>1245</v>
      </c>
      <c r="E30" s="7">
        <v>34669</v>
      </c>
      <c r="F30" s="10">
        <f t="shared" si="0"/>
        <v>133433</v>
      </c>
    </row>
    <row r="31" spans="1:6" x14ac:dyDescent="0.25">
      <c r="A31" s="1" t="s">
        <v>28</v>
      </c>
      <c r="B31" s="7">
        <v>27328</v>
      </c>
      <c r="C31" s="7">
        <v>17975</v>
      </c>
      <c r="D31" s="7">
        <v>289</v>
      </c>
      <c r="E31" s="7">
        <v>13417</v>
      </c>
      <c r="F31" s="10">
        <f t="shared" si="0"/>
        <v>59009</v>
      </c>
    </row>
    <row r="32" spans="1:6" x14ac:dyDescent="0.25">
      <c r="A32" s="1" t="s">
        <v>29</v>
      </c>
      <c r="B32" s="7">
        <v>269358</v>
      </c>
      <c r="C32" s="7">
        <v>333474</v>
      </c>
      <c r="D32" s="7">
        <v>6986</v>
      </c>
      <c r="E32" s="7">
        <v>243301</v>
      </c>
      <c r="F32" s="10">
        <f t="shared" si="0"/>
        <v>853119</v>
      </c>
    </row>
    <row r="33" spans="1:6" x14ac:dyDescent="0.25">
      <c r="A33" s="1" t="s">
        <v>30</v>
      </c>
      <c r="B33" s="7">
        <v>6257</v>
      </c>
      <c r="C33" s="7">
        <v>3226</v>
      </c>
      <c r="D33" s="7">
        <v>32</v>
      </c>
      <c r="E33" s="7">
        <v>1204</v>
      </c>
      <c r="F33" s="10">
        <f t="shared" si="0"/>
        <v>10719</v>
      </c>
    </row>
    <row r="34" spans="1:6" x14ac:dyDescent="0.25">
      <c r="A34" s="1" t="s">
        <v>31</v>
      </c>
      <c r="B34" s="7">
        <v>52380</v>
      </c>
      <c r="C34" s="7">
        <v>30773</v>
      </c>
      <c r="D34" s="7">
        <v>891</v>
      </c>
      <c r="E34" s="7">
        <v>28840</v>
      </c>
      <c r="F34" s="10">
        <f t="shared" si="0"/>
        <v>112884</v>
      </c>
    </row>
    <row r="35" spans="1:6" x14ac:dyDescent="0.25">
      <c r="A35" s="1" t="s">
        <v>32</v>
      </c>
      <c r="B35" s="7">
        <v>10538</v>
      </c>
      <c r="C35" s="7">
        <v>14341</v>
      </c>
      <c r="D35" s="7">
        <v>76</v>
      </c>
      <c r="E35" s="7">
        <v>2982</v>
      </c>
      <c r="F35" s="10">
        <f t="shared" si="0"/>
        <v>27937</v>
      </c>
    </row>
    <row r="36" spans="1:6" x14ac:dyDescent="0.25">
      <c r="A36" s="1" t="s">
        <v>33</v>
      </c>
      <c r="B36" s="7">
        <v>3251</v>
      </c>
      <c r="C36" s="7">
        <v>5389</v>
      </c>
      <c r="D36" s="7">
        <v>37</v>
      </c>
      <c r="E36" s="7">
        <v>1102</v>
      </c>
      <c r="F36" s="10">
        <f t="shared" si="0"/>
        <v>9779</v>
      </c>
    </row>
    <row r="37" spans="1:6" x14ac:dyDescent="0.25">
      <c r="A37" s="1" t="s">
        <v>34</v>
      </c>
      <c r="B37" s="7">
        <v>1792</v>
      </c>
      <c r="C37" s="7">
        <v>2243</v>
      </c>
      <c r="D37" s="7">
        <v>12</v>
      </c>
      <c r="E37" s="7">
        <v>299</v>
      </c>
      <c r="F37" s="10">
        <f t="shared" si="0"/>
        <v>4346</v>
      </c>
    </row>
    <row r="38" spans="1:6" x14ac:dyDescent="0.25">
      <c r="A38" s="1" t="s">
        <v>35</v>
      </c>
      <c r="B38" s="7">
        <v>103063</v>
      </c>
      <c r="C38" s="7">
        <v>71734</v>
      </c>
      <c r="D38" s="7">
        <v>1328</v>
      </c>
      <c r="E38" s="7">
        <v>58353</v>
      </c>
      <c r="F38" s="10">
        <f t="shared" si="0"/>
        <v>234478</v>
      </c>
    </row>
    <row r="39" spans="1:6" x14ac:dyDescent="0.25">
      <c r="A39" s="1" t="s">
        <v>36</v>
      </c>
      <c r="B39" s="7">
        <v>190437</v>
      </c>
      <c r="C39" s="7">
        <v>120514</v>
      </c>
      <c r="D39" s="7">
        <v>2855</v>
      </c>
      <c r="E39" s="7">
        <v>129844</v>
      </c>
      <c r="F39" s="10">
        <f t="shared" si="0"/>
        <v>443650</v>
      </c>
    </row>
    <row r="40" spans="1:6" x14ac:dyDescent="0.25">
      <c r="A40" s="1" t="s">
        <v>37</v>
      </c>
      <c r="B40" s="7">
        <v>57795</v>
      </c>
      <c r="C40" s="7">
        <v>111180</v>
      </c>
      <c r="D40" s="7">
        <v>1640</v>
      </c>
      <c r="E40" s="7">
        <v>41272</v>
      </c>
      <c r="F40" s="10">
        <f t="shared" si="0"/>
        <v>211887</v>
      </c>
    </row>
    <row r="41" spans="1:6" x14ac:dyDescent="0.25">
      <c r="A41" s="1" t="s">
        <v>38</v>
      </c>
      <c r="B41" s="7">
        <v>13111</v>
      </c>
      <c r="C41" s="7">
        <v>9163</v>
      </c>
      <c r="D41" s="7">
        <v>443</v>
      </c>
      <c r="E41" s="7">
        <v>5044</v>
      </c>
      <c r="F41" s="10">
        <f t="shared" si="0"/>
        <v>27761</v>
      </c>
    </row>
    <row r="42" spans="1:6" x14ac:dyDescent="0.25">
      <c r="A42" s="1" t="s">
        <v>39</v>
      </c>
      <c r="B42" s="7">
        <v>941</v>
      </c>
      <c r="C42" s="7">
        <v>3033</v>
      </c>
      <c r="D42" s="7">
        <v>4</v>
      </c>
      <c r="E42" s="7">
        <v>393</v>
      </c>
      <c r="F42" s="10">
        <f t="shared" si="0"/>
        <v>4371</v>
      </c>
    </row>
    <row r="43" spans="1:6" x14ac:dyDescent="0.25">
      <c r="A43" s="1" t="s">
        <v>40</v>
      </c>
      <c r="B43" s="7">
        <v>3608</v>
      </c>
      <c r="C43" s="7">
        <v>6866</v>
      </c>
      <c r="D43" s="7">
        <v>42</v>
      </c>
      <c r="E43" s="7">
        <v>1307</v>
      </c>
      <c r="F43" s="10">
        <f t="shared" si="0"/>
        <v>11823</v>
      </c>
    </row>
    <row r="44" spans="1:6" x14ac:dyDescent="0.25">
      <c r="A44" s="1" t="s">
        <v>41</v>
      </c>
      <c r="B44" s="7">
        <v>105302</v>
      </c>
      <c r="C44" s="7">
        <v>74427</v>
      </c>
      <c r="D44" s="7">
        <v>1778</v>
      </c>
      <c r="E44" s="7">
        <v>62063</v>
      </c>
      <c r="F44" s="10">
        <f t="shared" si="0"/>
        <v>243570</v>
      </c>
    </row>
    <row r="45" spans="1:6" x14ac:dyDescent="0.25">
      <c r="A45" s="1" t="s">
        <v>42</v>
      </c>
      <c r="B45" s="7">
        <v>107649</v>
      </c>
      <c r="C45" s="7">
        <v>79435</v>
      </c>
      <c r="D45" s="7">
        <v>1515</v>
      </c>
      <c r="E45" s="7">
        <v>53551</v>
      </c>
      <c r="F45" s="10">
        <f t="shared" si="0"/>
        <v>242150</v>
      </c>
    </row>
    <row r="46" spans="1:6" x14ac:dyDescent="0.25">
      <c r="A46" s="1" t="s">
        <v>43</v>
      </c>
      <c r="B46" s="7">
        <v>56587</v>
      </c>
      <c r="C46" s="7">
        <v>28762</v>
      </c>
      <c r="D46" s="7">
        <v>982</v>
      </c>
      <c r="E46" s="7">
        <v>27367</v>
      </c>
      <c r="F46" s="10">
        <f t="shared" si="0"/>
        <v>113698</v>
      </c>
    </row>
    <row r="47" spans="1:6" x14ac:dyDescent="0.25">
      <c r="A47" s="1" t="s">
        <v>44</v>
      </c>
      <c r="B47" s="7">
        <v>374164</v>
      </c>
      <c r="C47" s="7">
        <v>595814</v>
      </c>
      <c r="D47" s="7">
        <v>7315</v>
      </c>
      <c r="E47" s="7">
        <v>440445</v>
      </c>
      <c r="F47" s="10">
        <f t="shared" si="0"/>
        <v>1417738</v>
      </c>
    </row>
    <row r="48" spans="1:6" x14ac:dyDescent="0.25">
      <c r="A48" s="1" t="s">
        <v>45</v>
      </c>
      <c r="B48" s="7">
        <v>20993</v>
      </c>
      <c r="C48" s="7">
        <v>17457</v>
      </c>
      <c r="D48" s="7">
        <v>611</v>
      </c>
      <c r="E48" s="7">
        <v>14504</v>
      </c>
      <c r="F48" s="10">
        <f t="shared" si="0"/>
        <v>53565</v>
      </c>
    </row>
    <row r="49" spans="1:6" x14ac:dyDescent="0.25">
      <c r="A49" s="1" t="s">
        <v>46</v>
      </c>
      <c r="B49" s="7">
        <v>38317</v>
      </c>
      <c r="C49" s="7">
        <v>14452</v>
      </c>
      <c r="D49" s="7">
        <v>626</v>
      </c>
      <c r="E49" s="7">
        <v>13145</v>
      </c>
      <c r="F49" s="10">
        <f t="shared" si="0"/>
        <v>66540</v>
      </c>
    </row>
    <row r="50" spans="1:6" x14ac:dyDescent="0.25">
      <c r="A50" s="1" t="s">
        <v>47</v>
      </c>
      <c r="B50" s="7">
        <v>77959</v>
      </c>
      <c r="C50" s="7">
        <v>25489</v>
      </c>
      <c r="D50" s="7">
        <v>1430</v>
      </c>
      <c r="E50" s="7">
        <v>30017</v>
      </c>
      <c r="F50" s="10">
        <f t="shared" si="0"/>
        <v>134895</v>
      </c>
    </row>
    <row r="51" spans="1:6" x14ac:dyDescent="0.25">
      <c r="A51" s="1" t="s">
        <v>48</v>
      </c>
      <c r="B51" s="7">
        <v>8991</v>
      </c>
      <c r="C51" s="7">
        <v>7283</v>
      </c>
      <c r="D51" s="7">
        <v>144</v>
      </c>
      <c r="E51" s="7">
        <v>4029</v>
      </c>
      <c r="F51" s="10">
        <f t="shared" si="0"/>
        <v>20447</v>
      </c>
    </row>
    <row r="52" spans="1:6" x14ac:dyDescent="0.25">
      <c r="A52" s="1" t="s">
        <v>49</v>
      </c>
      <c r="B52" s="7">
        <v>209972</v>
      </c>
      <c r="C52" s="7">
        <v>336818</v>
      </c>
      <c r="D52" s="7">
        <v>6129</v>
      </c>
      <c r="E52" s="7">
        <v>238761</v>
      </c>
      <c r="F52" s="10">
        <f t="shared" si="0"/>
        <v>791680</v>
      </c>
    </row>
    <row r="53" spans="1:6" x14ac:dyDescent="0.25">
      <c r="A53" s="1" t="s">
        <v>50</v>
      </c>
      <c r="B53" s="7">
        <v>49282</v>
      </c>
      <c r="C53" s="7">
        <v>93093</v>
      </c>
      <c r="D53" s="7">
        <v>1040</v>
      </c>
      <c r="E53" s="7">
        <v>73765</v>
      </c>
      <c r="F53" s="10">
        <f t="shared" si="0"/>
        <v>217180</v>
      </c>
    </row>
    <row r="54" spans="1:6" x14ac:dyDescent="0.25">
      <c r="A54" s="1" t="s">
        <v>51</v>
      </c>
      <c r="B54" s="7">
        <v>262575</v>
      </c>
      <c r="C54" s="7">
        <v>392963</v>
      </c>
      <c r="D54" s="7">
        <v>8014</v>
      </c>
      <c r="E54" s="7">
        <v>265144</v>
      </c>
      <c r="F54" s="10">
        <f t="shared" si="0"/>
        <v>928696</v>
      </c>
    </row>
    <row r="55" spans="1:6" x14ac:dyDescent="0.25">
      <c r="A55" s="1" t="s">
        <v>52</v>
      </c>
      <c r="B55" s="7">
        <v>136741</v>
      </c>
      <c r="C55" s="7">
        <v>109432</v>
      </c>
      <c r="D55" s="7">
        <v>3208</v>
      </c>
      <c r="E55" s="7">
        <v>100813</v>
      </c>
      <c r="F55" s="10">
        <f t="shared" si="0"/>
        <v>350194</v>
      </c>
    </row>
    <row r="56" spans="1:6" x14ac:dyDescent="0.25">
      <c r="A56" s="1" t="s">
        <v>53</v>
      </c>
      <c r="B56" s="7">
        <v>234142</v>
      </c>
      <c r="C56" s="7">
        <v>236752</v>
      </c>
      <c r="D56" s="7">
        <v>6042</v>
      </c>
      <c r="E56" s="7">
        <v>186473</v>
      </c>
      <c r="F56" s="10">
        <f t="shared" si="0"/>
        <v>663409</v>
      </c>
    </row>
    <row r="57" spans="1:6" x14ac:dyDescent="0.25">
      <c r="A57" s="1" t="s">
        <v>54</v>
      </c>
      <c r="B57" s="7">
        <v>148459</v>
      </c>
      <c r="C57" s="7">
        <v>146491</v>
      </c>
      <c r="D57" s="7">
        <v>2843</v>
      </c>
      <c r="E57" s="7">
        <v>117092</v>
      </c>
      <c r="F57" s="10">
        <f t="shared" si="0"/>
        <v>414885</v>
      </c>
    </row>
    <row r="58" spans="1:6" x14ac:dyDescent="0.25">
      <c r="A58" s="1" t="s">
        <v>55</v>
      </c>
      <c r="B58" s="7">
        <v>19079</v>
      </c>
      <c r="C58" s="7">
        <v>18638</v>
      </c>
      <c r="D58" s="7">
        <v>284</v>
      </c>
      <c r="E58" s="7">
        <v>9075</v>
      </c>
      <c r="F58" s="10">
        <f t="shared" si="0"/>
        <v>47076</v>
      </c>
    </row>
    <row r="59" spans="1:6" x14ac:dyDescent="0.25">
      <c r="A59" s="1" t="s">
        <v>56</v>
      </c>
      <c r="B59" s="7">
        <v>77447</v>
      </c>
      <c r="C59" s="7">
        <v>25279</v>
      </c>
      <c r="D59" s="7">
        <v>1518</v>
      </c>
      <c r="E59" s="7">
        <v>27618</v>
      </c>
      <c r="F59" s="10">
        <f t="shared" si="0"/>
        <v>131862</v>
      </c>
    </row>
    <row r="60" spans="1:6" x14ac:dyDescent="0.25">
      <c r="A60" s="1" t="s">
        <v>57</v>
      </c>
      <c r="B60" s="7">
        <v>134884</v>
      </c>
      <c r="C60" s="7">
        <v>97411</v>
      </c>
      <c r="D60" s="7">
        <v>2410</v>
      </c>
      <c r="E60" s="7">
        <v>82255</v>
      </c>
      <c r="F60" s="10">
        <f t="shared" si="0"/>
        <v>316960</v>
      </c>
    </row>
    <row r="61" spans="1:6" x14ac:dyDescent="0.25">
      <c r="A61" s="1" t="s">
        <v>58</v>
      </c>
      <c r="B61" s="7">
        <v>110198</v>
      </c>
      <c r="C61" s="7">
        <v>102705</v>
      </c>
      <c r="D61" s="7">
        <v>2539</v>
      </c>
      <c r="E61" s="7">
        <v>84842</v>
      </c>
      <c r="F61" s="10">
        <f t="shared" si="0"/>
        <v>300284</v>
      </c>
    </row>
    <row r="62" spans="1:6" x14ac:dyDescent="0.25">
      <c r="A62" s="1" t="s">
        <v>59</v>
      </c>
      <c r="B62" s="7">
        <v>98054</v>
      </c>
      <c r="C62" s="7">
        <v>44516</v>
      </c>
      <c r="D62" s="7">
        <v>1775</v>
      </c>
      <c r="E62" s="7">
        <v>41879</v>
      </c>
      <c r="F62" s="10">
        <f t="shared" si="0"/>
        <v>186224</v>
      </c>
    </row>
    <row r="63" spans="1:6" x14ac:dyDescent="0.25">
      <c r="A63" s="1" t="s">
        <v>60</v>
      </c>
      <c r="B63" s="7">
        <v>65514</v>
      </c>
      <c r="C63" s="7">
        <v>80363</v>
      </c>
      <c r="D63" s="7">
        <v>1297</v>
      </c>
      <c r="E63" s="7">
        <v>55012</v>
      </c>
      <c r="F63" s="10">
        <f t="shared" si="0"/>
        <v>202186</v>
      </c>
    </row>
    <row r="64" spans="1:6" x14ac:dyDescent="0.25">
      <c r="A64" s="1" t="s">
        <v>61</v>
      </c>
      <c r="B64" s="7">
        <v>52241</v>
      </c>
      <c r="C64" s="7">
        <v>23970</v>
      </c>
      <c r="D64" s="7">
        <v>436</v>
      </c>
      <c r="E64" s="7">
        <v>19749</v>
      </c>
      <c r="F64" s="10">
        <f t="shared" si="0"/>
        <v>96396</v>
      </c>
    </row>
    <row r="65" spans="1:6" x14ac:dyDescent="0.25">
      <c r="A65" s="1" t="s">
        <v>62</v>
      </c>
      <c r="B65" s="7">
        <v>12052</v>
      </c>
      <c r="C65" s="7">
        <v>9590</v>
      </c>
      <c r="D65" s="7">
        <v>203</v>
      </c>
      <c r="E65" s="7">
        <v>3910</v>
      </c>
      <c r="F65" s="10">
        <f t="shared" si="0"/>
        <v>25755</v>
      </c>
    </row>
    <row r="66" spans="1:6" x14ac:dyDescent="0.25">
      <c r="A66" s="1" t="s">
        <v>63</v>
      </c>
      <c r="B66" s="7">
        <v>4573</v>
      </c>
      <c r="C66" s="7">
        <v>6244</v>
      </c>
      <c r="D66" s="7">
        <v>69</v>
      </c>
      <c r="E66" s="7">
        <v>1219</v>
      </c>
      <c r="F66" s="10">
        <f t="shared" si="0"/>
        <v>12105</v>
      </c>
    </row>
    <row r="67" spans="1:6" x14ac:dyDescent="0.25">
      <c r="A67" s="1" t="s">
        <v>64</v>
      </c>
      <c r="B67" s="7">
        <v>3380</v>
      </c>
      <c r="C67" s="7">
        <v>3222</v>
      </c>
      <c r="D67" s="7">
        <v>31</v>
      </c>
      <c r="E67" s="7">
        <v>727</v>
      </c>
      <c r="F67" s="10">
        <f t="shared" si="0"/>
        <v>7360</v>
      </c>
    </row>
    <row r="68" spans="1:6" x14ac:dyDescent="0.25">
      <c r="A68" s="1" t="s">
        <v>65</v>
      </c>
      <c r="B68" s="7">
        <v>135674</v>
      </c>
      <c r="C68" s="7">
        <v>130296</v>
      </c>
      <c r="D68" s="7">
        <v>3047</v>
      </c>
      <c r="E68" s="7">
        <v>111244</v>
      </c>
      <c r="F68" s="10">
        <f t="shared" si="0"/>
        <v>380261</v>
      </c>
    </row>
    <row r="69" spans="1:6" x14ac:dyDescent="0.25">
      <c r="A69" s="1" t="s">
        <v>66</v>
      </c>
      <c r="B69" s="7">
        <v>8725</v>
      </c>
      <c r="C69" s="7">
        <v>8371</v>
      </c>
      <c r="D69" s="7">
        <v>139</v>
      </c>
      <c r="E69" s="7">
        <v>3509</v>
      </c>
      <c r="F69" s="10">
        <f t="shared" si="0"/>
        <v>20744</v>
      </c>
    </row>
    <row r="70" spans="1:6" x14ac:dyDescent="0.25">
      <c r="A70" s="1" t="s">
        <v>67</v>
      </c>
      <c r="B70" s="7">
        <v>30152</v>
      </c>
      <c r="C70" s="7">
        <v>9694</v>
      </c>
      <c r="D70" s="7">
        <v>431</v>
      </c>
      <c r="E70" s="7">
        <v>9730</v>
      </c>
      <c r="F70" s="10">
        <f t="shared" ref="F70:F71" si="1">SUM(B70:E70)</f>
        <v>50007</v>
      </c>
    </row>
    <row r="71" spans="1:6" ht="15.75" thickBot="1" x14ac:dyDescent="0.3">
      <c r="A71" s="1" t="s">
        <v>68</v>
      </c>
      <c r="B71" s="7">
        <v>8216</v>
      </c>
      <c r="C71" s="7">
        <v>5250</v>
      </c>
      <c r="D71" s="7">
        <v>84</v>
      </c>
      <c r="E71" s="7">
        <v>2223</v>
      </c>
      <c r="F71" s="10">
        <f t="shared" si="1"/>
        <v>15773</v>
      </c>
    </row>
    <row r="72" spans="1:6" ht="16.5" thickTop="1" thickBot="1" x14ac:dyDescent="0.3">
      <c r="A72" s="3" t="s">
        <v>1</v>
      </c>
      <c r="B72" s="8">
        <f>SUM(B5:B71)</f>
        <v>4661230</v>
      </c>
      <c r="C72" s="8">
        <f>SUM(C5:C71)</f>
        <v>4918415</v>
      </c>
      <c r="D72" s="8">
        <f>SUM(D5:D71)</f>
        <v>99322</v>
      </c>
      <c r="E72" s="8">
        <f>SUM(E5:E71)</f>
        <v>3521905</v>
      </c>
      <c r="F72" s="8">
        <f>SUM(F5:F71)</f>
        <v>13200872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>
      <selection activeCell="E24" sqref="E24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customHeight="1" x14ac:dyDescent="0.3">
      <c r="A1" s="14" t="s">
        <v>84</v>
      </c>
      <c r="B1" s="15"/>
      <c r="C1" s="15"/>
      <c r="D1" s="15"/>
      <c r="E1" s="15"/>
      <c r="F1" s="16"/>
    </row>
    <row r="2" spans="1:6" x14ac:dyDescent="0.25">
      <c r="A2" s="17" t="s">
        <v>107</v>
      </c>
      <c r="B2" s="18"/>
      <c r="C2" s="18"/>
      <c r="D2" s="18"/>
      <c r="E2" s="18"/>
      <c r="F2" s="19"/>
    </row>
    <row r="3" spans="1:6" x14ac:dyDescent="0.25">
      <c r="A3" s="20" t="s">
        <v>73</v>
      </c>
      <c r="B3" s="21"/>
      <c r="C3" s="21"/>
      <c r="D3" s="21"/>
      <c r="E3" s="21"/>
      <c r="F3" s="22"/>
    </row>
    <row r="4" spans="1:6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7">
        <v>50436</v>
      </c>
      <c r="C5" s="7">
        <v>87582</v>
      </c>
      <c r="D5" s="7">
        <v>1732</v>
      </c>
      <c r="E5" s="7">
        <v>43207</v>
      </c>
      <c r="F5" s="10">
        <f>SUM(B5:E5)</f>
        <v>182957</v>
      </c>
    </row>
    <row r="6" spans="1:6" x14ac:dyDescent="0.25">
      <c r="A6" s="1" t="s">
        <v>3</v>
      </c>
      <c r="B6" s="7">
        <v>8395</v>
      </c>
      <c r="C6" s="7">
        <v>5214</v>
      </c>
      <c r="D6" s="7">
        <v>54</v>
      </c>
      <c r="E6" s="7">
        <v>1614</v>
      </c>
      <c r="F6" s="10">
        <f t="shared" ref="F6:F69" si="0">SUM(B6:E6)</f>
        <v>15277</v>
      </c>
    </row>
    <row r="7" spans="1:6" x14ac:dyDescent="0.25">
      <c r="A7" s="1" t="s">
        <v>4</v>
      </c>
      <c r="B7" s="7">
        <v>63116</v>
      </c>
      <c r="C7" s="7">
        <v>30918</v>
      </c>
      <c r="D7" s="7">
        <v>1170</v>
      </c>
      <c r="E7" s="7">
        <v>25979</v>
      </c>
      <c r="F7" s="10">
        <f t="shared" si="0"/>
        <v>121183</v>
      </c>
    </row>
    <row r="8" spans="1:6" x14ac:dyDescent="0.25">
      <c r="A8" s="1" t="s">
        <v>5</v>
      </c>
      <c r="B8" s="7">
        <v>7897</v>
      </c>
      <c r="C8" s="7">
        <v>5918</v>
      </c>
      <c r="D8" s="7">
        <v>89</v>
      </c>
      <c r="E8" s="7">
        <v>2454</v>
      </c>
      <c r="F8" s="10">
        <f t="shared" si="0"/>
        <v>16358</v>
      </c>
    </row>
    <row r="9" spans="1:6" x14ac:dyDescent="0.25">
      <c r="A9" s="1" t="s">
        <v>6</v>
      </c>
      <c r="B9" s="7">
        <v>178560</v>
      </c>
      <c r="C9" s="7">
        <v>131220</v>
      </c>
      <c r="D9" s="7">
        <v>4588</v>
      </c>
      <c r="E9" s="7">
        <v>109599</v>
      </c>
      <c r="F9" s="10">
        <f t="shared" si="0"/>
        <v>423967</v>
      </c>
    </row>
    <row r="10" spans="1:6" x14ac:dyDescent="0.25">
      <c r="A10" s="1" t="s">
        <v>7</v>
      </c>
      <c r="B10" s="7">
        <v>252243</v>
      </c>
      <c r="C10" s="7">
        <v>594604</v>
      </c>
      <c r="D10" s="7">
        <v>7857</v>
      </c>
      <c r="E10" s="7">
        <v>328997</v>
      </c>
      <c r="F10" s="10">
        <f t="shared" si="0"/>
        <v>1183701</v>
      </c>
    </row>
    <row r="11" spans="1:6" x14ac:dyDescent="0.25">
      <c r="A11" s="1" t="s">
        <v>8</v>
      </c>
      <c r="B11" s="7">
        <v>2691</v>
      </c>
      <c r="C11" s="7">
        <v>4976</v>
      </c>
      <c r="D11" s="7">
        <v>31</v>
      </c>
      <c r="E11" s="7">
        <v>994</v>
      </c>
      <c r="F11" s="10">
        <f t="shared" si="0"/>
        <v>8692</v>
      </c>
    </row>
    <row r="12" spans="1:6" x14ac:dyDescent="0.25">
      <c r="A12" s="1" t="s">
        <v>9</v>
      </c>
      <c r="B12" s="7">
        <v>61035</v>
      </c>
      <c r="C12" s="7">
        <v>36760</v>
      </c>
      <c r="D12" s="7">
        <v>1267</v>
      </c>
      <c r="E12" s="7">
        <v>35875</v>
      </c>
      <c r="F12" s="10">
        <f t="shared" si="0"/>
        <v>134937</v>
      </c>
    </row>
    <row r="13" spans="1:6" x14ac:dyDescent="0.25">
      <c r="A13" s="1" t="s">
        <v>10</v>
      </c>
      <c r="B13" s="7">
        <v>52686</v>
      </c>
      <c r="C13" s="7">
        <v>29574</v>
      </c>
      <c r="D13" s="7">
        <v>965</v>
      </c>
      <c r="E13" s="7">
        <v>26464</v>
      </c>
      <c r="F13" s="10">
        <f t="shared" si="0"/>
        <v>109689</v>
      </c>
    </row>
    <row r="14" spans="1:6" x14ac:dyDescent="0.25">
      <c r="A14" s="1" t="s">
        <v>11</v>
      </c>
      <c r="B14" s="7">
        <v>82611</v>
      </c>
      <c r="C14" s="7">
        <v>34167</v>
      </c>
      <c r="D14" s="7">
        <v>1312</v>
      </c>
      <c r="E14" s="7">
        <v>35712</v>
      </c>
      <c r="F14" s="10">
        <f t="shared" si="0"/>
        <v>153802</v>
      </c>
    </row>
    <row r="15" spans="1:6" x14ac:dyDescent="0.25">
      <c r="A15" s="1" t="s">
        <v>12</v>
      </c>
      <c r="B15" s="7">
        <v>109009</v>
      </c>
      <c r="C15" s="7">
        <v>51227</v>
      </c>
      <c r="D15" s="7">
        <v>1431</v>
      </c>
      <c r="E15" s="7">
        <v>53605</v>
      </c>
      <c r="F15" s="10">
        <f t="shared" si="0"/>
        <v>215272</v>
      </c>
    </row>
    <row r="16" spans="1:6" x14ac:dyDescent="0.25">
      <c r="A16" s="1" t="s">
        <v>13</v>
      </c>
      <c r="B16" s="7">
        <v>18812</v>
      </c>
      <c r="C16" s="7">
        <v>14296</v>
      </c>
      <c r="D16" s="7">
        <v>300</v>
      </c>
      <c r="E16" s="7">
        <v>7162</v>
      </c>
      <c r="F16" s="10">
        <f t="shared" si="0"/>
        <v>40570</v>
      </c>
    </row>
    <row r="17" spans="1:6" x14ac:dyDescent="0.25">
      <c r="A17" s="1" t="s">
        <v>14</v>
      </c>
      <c r="B17" s="7">
        <v>5715</v>
      </c>
      <c r="C17" s="7">
        <v>7163</v>
      </c>
      <c r="D17" s="7">
        <v>62</v>
      </c>
      <c r="E17" s="7">
        <v>3828</v>
      </c>
      <c r="F17" s="10">
        <f t="shared" si="0"/>
        <v>16768</v>
      </c>
    </row>
    <row r="18" spans="1:6" x14ac:dyDescent="0.25">
      <c r="A18" s="1" t="s">
        <v>15</v>
      </c>
      <c r="B18" s="7">
        <v>4023</v>
      </c>
      <c r="C18" s="7">
        <v>4085</v>
      </c>
      <c r="D18" s="7">
        <v>49</v>
      </c>
      <c r="E18" s="7">
        <v>1541</v>
      </c>
      <c r="F18" s="10">
        <f t="shared" si="0"/>
        <v>9698</v>
      </c>
    </row>
    <row r="19" spans="1:6" x14ac:dyDescent="0.25">
      <c r="A19" s="1" t="s">
        <v>16</v>
      </c>
      <c r="B19" s="7">
        <v>222617</v>
      </c>
      <c r="C19" s="7">
        <v>249476</v>
      </c>
      <c r="D19" s="7">
        <v>5639</v>
      </c>
      <c r="E19" s="7">
        <v>133127</v>
      </c>
      <c r="F19" s="10">
        <f t="shared" si="0"/>
        <v>610859</v>
      </c>
    </row>
    <row r="20" spans="1:6" x14ac:dyDescent="0.25">
      <c r="A20" s="1" t="s">
        <v>17</v>
      </c>
      <c r="B20" s="7">
        <v>96214</v>
      </c>
      <c r="C20" s="7">
        <v>72363</v>
      </c>
      <c r="D20" s="7">
        <v>1954</v>
      </c>
      <c r="E20" s="7">
        <v>43769</v>
      </c>
      <c r="F20" s="10">
        <f t="shared" si="0"/>
        <v>214300</v>
      </c>
    </row>
    <row r="21" spans="1:6" x14ac:dyDescent="0.25">
      <c r="A21" s="1" t="s">
        <v>18</v>
      </c>
      <c r="B21" s="7">
        <v>34182</v>
      </c>
      <c r="C21" s="7">
        <v>25631</v>
      </c>
      <c r="D21" s="7">
        <v>562</v>
      </c>
      <c r="E21" s="7">
        <v>22581</v>
      </c>
      <c r="F21" s="10">
        <f t="shared" si="0"/>
        <v>82956</v>
      </c>
    </row>
    <row r="22" spans="1:6" x14ac:dyDescent="0.25">
      <c r="A22" s="1" t="s">
        <v>19</v>
      </c>
      <c r="B22" s="7">
        <v>2670</v>
      </c>
      <c r="C22" s="7">
        <v>4012</v>
      </c>
      <c r="D22" s="7">
        <v>111</v>
      </c>
      <c r="E22" s="7">
        <v>1022</v>
      </c>
      <c r="F22" s="10">
        <f t="shared" si="0"/>
        <v>7815</v>
      </c>
    </row>
    <row r="23" spans="1:6" x14ac:dyDescent="0.25">
      <c r="A23" s="1" t="s">
        <v>20</v>
      </c>
      <c r="B23" s="7">
        <v>4815</v>
      </c>
      <c r="C23" s="7">
        <v>21972</v>
      </c>
      <c r="D23" s="7">
        <v>112</v>
      </c>
      <c r="E23" s="7">
        <v>2888</v>
      </c>
      <c r="F23" s="10">
        <f t="shared" si="0"/>
        <v>29787</v>
      </c>
    </row>
    <row r="24" spans="1:6" x14ac:dyDescent="0.25">
      <c r="A24" s="1" t="s">
        <v>21</v>
      </c>
      <c r="B24" s="7">
        <v>6633</v>
      </c>
      <c r="C24" s="7">
        <v>3265</v>
      </c>
      <c r="D24" s="7">
        <v>72</v>
      </c>
      <c r="E24" s="7">
        <v>1821</v>
      </c>
      <c r="F24" s="10">
        <f t="shared" si="0"/>
        <v>11791</v>
      </c>
    </row>
    <row r="25" spans="1:6" x14ac:dyDescent="0.25">
      <c r="A25" s="1" t="s">
        <v>22</v>
      </c>
      <c r="B25" s="7">
        <v>2791</v>
      </c>
      <c r="C25" s="7">
        <v>2746</v>
      </c>
      <c r="D25" s="7">
        <v>39</v>
      </c>
      <c r="E25" s="7">
        <v>1247</v>
      </c>
      <c r="F25" s="10">
        <f t="shared" si="0"/>
        <v>6823</v>
      </c>
    </row>
    <row r="26" spans="1:6" x14ac:dyDescent="0.25">
      <c r="A26" s="1" t="s">
        <v>23</v>
      </c>
      <c r="B26" s="7">
        <v>4975</v>
      </c>
      <c r="C26" s="7">
        <v>3892</v>
      </c>
      <c r="D26" s="7">
        <v>123</v>
      </c>
      <c r="E26" s="7">
        <v>1196</v>
      </c>
      <c r="F26" s="10">
        <f t="shared" si="0"/>
        <v>10186</v>
      </c>
    </row>
    <row r="27" spans="1:6" x14ac:dyDescent="0.25">
      <c r="A27" s="1" t="s">
        <v>24</v>
      </c>
      <c r="B27" s="7">
        <v>2550</v>
      </c>
      <c r="C27" s="7">
        <v>4187</v>
      </c>
      <c r="D27" s="7">
        <v>47</v>
      </c>
      <c r="E27" s="7">
        <v>944</v>
      </c>
      <c r="F27" s="10">
        <f t="shared" si="0"/>
        <v>7728</v>
      </c>
    </row>
    <row r="28" spans="1:6" x14ac:dyDescent="0.25">
      <c r="A28" s="1" t="s">
        <v>25</v>
      </c>
      <c r="B28" s="7">
        <v>5447</v>
      </c>
      <c r="C28" s="7">
        <v>4437</v>
      </c>
      <c r="D28" s="7">
        <v>47</v>
      </c>
      <c r="E28" s="7">
        <v>2307</v>
      </c>
      <c r="F28" s="10">
        <f t="shared" si="0"/>
        <v>12238</v>
      </c>
    </row>
    <row r="29" spans="1:6" x14ac:dyDescent="0.25">
      <c r="A29" s="1" t="s">
        <v>26</v>
      </c>
      <c r="B29" s="7">
        <v>6554</v>
      </c>
      <c r="C29" s="7">
        <v>7803</v>
      </c>
      <c r="D29" s="7">
        <v>103</v>
      </c>
      <c r="E29" s="7">
        <v>3343</v>
      </c>
      <c r="F29" s="10">
        <f t="shared" si="0"/>
        <v>17803</v>
      </c>
    </row>
    <row r="30" spans="1:6" x14ac:dyDescent="0.25">
      <c r="A30" s="1" t="s">
        <v>27</v>
      </c>
      <c r="B30" s="7">
        <v>55870</v>
      </c>
      <c r="C30" s="7">
        <v>42224</v>
      </c>
      <c r="D30" s="7">
        <v>1328</v>
      </c>
      <c r="E30" s="7">
        <v>34836</v>
      </c>
      <c r="F30" s="10">
        <f t="shared" si="0"/>
        <v>134258</v>
      </c>
    </row>
    <row r="31" spans="1:6" x14ac:dyDescent="0.25">
      <c r="A31" s="1" t="s">
        <v>28</v>
      </c>
      <c r="B31" s="7">
        <v>27696</v>
      </c>
      <c r="C31" s="7">
        <v>18136</v>
      </c>
      <c r="D31" s="7">
        <v>304</v>
      </c>
      <c r="E31" s="7">
        <v>13566</v>
      </c>
      <c r="F31" s="10">
        <f t="shared" si="0"/>
        <v>59702</v>
      </c>
    </row>
    <row r="32" spans="1:6" x14ac:dyDescent="0.25">
      <c r="A32" s="1" t="s">
        <v>29</v>
      </c>
      <c r="B32" s="7">
        <v>272285</v>
      </c>
      <c r="C32" s="7">
        <v>338252</v>
      </c>
      <c r="D32" s="7">
        <v>7644</v>
      </c>
      <c r="E32" s="7">
        <v>247322</v>
      </c>
      <c r="F32" s="10">
        <f t="shared" si="0"/>
        <v>865503</v>
      </c>
    </row>
    <row r="33" spans="1:6" x14ac:dyDescent="0.25">
      <c r="A33" s="1" t="s">
        <v>30</v>
      </c>
      <c r="B33" s="7">
        <v>6330</v>
      </c>
      <c r="C33" s="7">
        <v>3197</v>
      </c>
      <c r="D33" s="7">
        <v>35</v>
      </c>
      <c r="E33" s="7">
        <v>1204</v>
      </c>
      <c r="F33" s="10">
        <f t="shared" si="0"/>
        <v>10766</v>
      </c>
    </row>
    <row r="34" spans="1:6" x14ac:dyDescent="0.25">
      <c r="A34" s="1" t="s">
        <v>31</v>
      </c>
      <c r="B34" s="7">
        <v>52806</v>
      </c>
      <c r="C34" s="7">
        <v>30971</v>
      </c>
      <c r="D34" s="7">
        <v>977</v>
      </c>
      <c r="E34" s="7">
        <v>29048</v>
      </c>
      <c r="F34" s="10">
        <f t="shared" si="0"/>
        <v>113802</v>
      </c>
    </row>
    <row r="35" spans="1:6" x14ac:dyDescent="0.25">
      <c r="A35" s="1" t="s">
        <v>32</v>
      </c>
      <c r="B35" s="7">
        <v>10716</v>
      </c>
      <c r="C35" s="7">
        <v>14301</v>
      </c>
      <c r="D35" s="7">
        <v>73</v>
      </c>
      <c r="E35" s="7">
        <v>2999</v>
      </c>
      <c r="F35" s="10">
        <f t="shared" si="0"/>
        <v>28089</v>
      </c>
    </row>
    <row r="36" spans="1:6" x14ac:dyDescent="0.25">
      <c r="A36" s="1" t="s">
        <v>33</v>
      </c>
      <c r="B36" s="7">
        <v>3265</v>
      </c>
      <c r="C36" s="7">
        <v>5364</v>
      </c>
      <c r="D36" s="7">
        <v>38</v>
      </c>
      <c r="E36" s="7">
        <v>1100</v>
      </c>
      <c r="F36" s="10">
        <f t="shared" si="0"/>
        <v>9767</v>
      </c>
    </row>
    <row r="37" spans="1:6" x14ac:dyDescent="0.25">
      <c r="A37" s="1" t="s">
        <v>34</v>
      </c>
      <c r="B37" s="7">
        <v>1856</v>
      </c>
      <c r="C37" s="7">
        <v>2193</v>
      </c>
      <c r="D37" s="7">
        <v>12</v>
      </c>
      <c r="E37" s="7">
        <v>300</v>
      </c>
      <c r="F37" s="10">
        <f t="shared" si="0"/>
        <v>4361</v>
      </c>
    </row>
    <row r="38" spans="1:6" x14ac:dyDescent="0.25">
      <c r="A38" s="1" t="s">
        <v>35</v>
      </c>
      <c r="B38" s="7">
        <v>104115</v>
      </c>
      <c r="C38" s="7">
        <v>72391</v>
      </c>
      <c r="D38" s="7">
        <v>1435</v>
      </c>
      <c r="E38" s="7">
        <v>59227</v>
      </c>
      <c r="F38" s="10">
        <f t="shared" si="0"/>
        <v>237168</v>
      </c>
    </row>
    <row r="39" spans="1:6" x14ac:dyDescent="0.25">
      <c r="A39" s="1" t="s">
        <v>36</v>
      </c>
      <c r="B39" s="7">
        <v>192267</v>
      </c>
      <c r="C39" s="7">
        <v>121799</v>
      </c>
      <c r="D39" s="7">
        <v>3101</v>
      </c>
      <c r="E39" s="7">
        <v>131600</v>
      </c>
      <c r="F39" s="10">
        <f t="shared" si="0"/>
        <v>448767</v>
      </c>
    </row>
    <row r="40" spans="1:6" x14ac:dyDescent="0.25">
      <c r="A40" s="1" t="s">
        <v>37</v>
      </c>
      <c r="B40" s="7">
        <v>58391</v>
      </c>
      <c r="C40" s="7">
        <v>113158</v>
      </c>
      <c r="D40" s="7">
        <v>1783</v>
      </c>
      <c r="E40" s="7">
        <v>42498</v>
      </c>
      <c r="F40" s="10">
        <f t="shared" si="0"/>
        <v>215830</v>
      </c>
    </row>
    <row r="41" spans="1:6" x14ac:dyDescent="0.25">
      <c r="A41" s="1" t="s">
        <v>38</v>
      </c>
      <c r="B41" s="7">
        <v>13269</v>
      </c>
      <c r="C41" s="7">
        <v>9145</v>
      </c>
      <c r="D41" s="7">
        <v>459</v>
      </c>
      <c r="E41" s="7">
        <v>5103</v>
      </c>
      <c r="F41" s="10">
        <f t="shared" si="0"/>
        <v>27976</v>
      </c>
    </row>
    <row r="42" spans="1:6" x14ac:dyDescent="0.25">
      <c r="A42" s="1" t="s">
        <v>39</v>
      </c>
      <c r="B42" s="7">
        <v>947</v>
      </c>
      <c r="C42" s="7">
        <v>3017</v>
      </c>
      <c r="D42" s="7">
        <v>5</v>
      </c>
      <c r="E42" s="7">
        <v>391</v>
      </c>
      <c r="F42" s="10">
        <f t="shared" si="0"/>
        <v>4360</v>
      </c>
    </row>
    <row r="43" spans="1:6" x14ac:dyDescent="0.25">
      <c r="A43" s="1" t="s">
        <v>40</v>
      </c>
      <c r="B43" s="7">
        <v>3651</v>
      </c>
      <c r="C43" s="7">
        <v>6868</v>
      </c>
      <c r="D43" s="7">
        <v>45</v>
      </c>
      <c r="E43" s="7">
        <v>1307</v>
      </c>
      <c r="F43" s="10">
        <f t="shared" si="0"/>
        <v>11871</v>
      </c>
    </row>
    <row r="44" spans="1:6" x14ac:dyDescent="0.25">
      <c r="A44" s="1" t="s">
        <v>41</v>
      </c>
      <c r="B44" s="7">
        <v>106416</v>
      </c>
      <c r="C44" s="7">
        <v>75089</v>
      </c>
      <c r="D44" s="7">
        <v>1904</v>
      </c>
      <c r="E44" s="7">
        <v>62864</v>
      </c>
      <c r="F44" s="10">
        <f t="shared" si="0"/>
        <v>246273</v>
      </c>
    </row>
    <row r="45" spans="1:6" x14ac:dyDescent="0.25">
      <c r="A45" s="1" t="s">
        <v>42</v>
      </c>
      <c r="B45" s="7">
        <v>108419</v>
      </c>
      <c r="C45" s="7">
        <v>79644</v>
      </c>
      <c r="D45" s="7">
        <v>1605</v>
      </c>
      <c r="E45" s="7">
        <v>53923</v>
      </c>
      <c r="F45" s="10">
        <f t="shared" si="0"/>
        <v>243591</v>
      </c>
    </row>
    <row r="46" spans="1:6" x14ac:dyDescent="0.25">
      <c r="A46" s="1" t="s">
        <v>43</v>
      </c>
      <c r="B46" s="7">
        <v>56894</v>
      </c>
      <c r="C46" s="7">
        <v>28858</v>
      </c>
      <c r="D46" s="7">
        <v>1066</v>
      </c>
      <c r="E46" s="7">
        <v>27556</v>
      </c>
      <c r="F46" s="10">
        <f t="shared" si="0"/>
        <v>114374</v>
      </c>
    </row>
    <row r="47" spans="1:6" x14ac:dyDescent="0.25">
      <c r="A47" s="1" t="s">
        <v>44</v>
      </c>
      <c r="B47" s="7">
        <v>377793</v>
      </c>
      <c r="C47" s="7">
        <v>601402</v>
      </c>
      <c r="D47" s="7">
        <v>8205</v>
      </c>
      <c r="E47" s="7">
        <v>446710</v>
      </c>
      <c r="F47" s="10">
        <f t="shared" si="0"/>
        <v>1434110</v>
      </c>
    </row>
    <row r="48" spans="1:6" x14ac:dyDescent="0.25">
      <c r="A48" s="1" t="s">
        <v>45</v>
      </c>
      <c r="B48" s="7">
        <v>21165</v>
      </c>
      <c r="C48" s="7">
        <v>17535</v>
      </c>
      <c r="D48" s="7">
        <v>658</v>
      </c>
      <c r="E48" s="7">
        <v>14505</v>
      </c>
      <c r="F48" s="10">
        <f t="shared" si="0"/>
        <v>53863</v>
      </c>
    </row>
    <row r="49" spans="1:6" x14ac:dyDescent="0.25">
      <c r="A49" s="1" t="s">
        <v>46</v>
      </c>
      <c r="B49" s="7">
        <v>38551</v>
      </c>
      <c r="C49" s="7">
        <v>14521</v>
      </c>
      <c r="D49" s="7">
        <v>669</v>
      </c>
      <c r="E49" s="7">
        <v>13247</v>
      </c>
      <c r="F49" s="10">
        <f t="shared" si="0"/>
        <v>66988</v>
      </c>
    </row>
    <row r="50" spans="1:6" x14ac:dyDescent="0.25">
      <c r="A50" s="1" t="s">
        <v>47</v>
      </c>
      <c r="B50" s="7">
        <v>78663</v>
      </c>
      <c r="C50" s="7">
        <v>25836</v>
      </c>
      <c r="D50" s="7">
        <v>1505</v>
      </c>
      <c r="E50" s="7">
        <v>30454</v>
      </c>
      <c r="F50" s="10">
        <f t="shared" si="0"/>
        <v>136458</v>
      </c>
    </row>
    <row r="51" spans="1:6" x14ac:dyDescent="0.25">
      <c r="A51" s="1" t="s">
        <v>48</v>
      </c>
      <c r="B51" s="7">
        <v>9108</v>
      </c>
      <c r="C51" s="7">
        <v>7292</v>
      </c>
      <c r="D51" s="7">
        <v>152</v>
      </c>
      <c r="E51" s="7">
        <v>4082</v>
      </c>
      <c r="F51" s="10">
        <f t="shared" si="0"/>
        <v>20634</v>
      </c>
    </row>
    <row r="52" spans="1:6" x14ac:dyDescent="0.25">
      <c r="A52" s="1" t="s">
        <v>49</v>
      </c>
      <c r="B52" s="7">
        <v>212267</v>
      </c>
      <c r="C52" s="7">
        <v>343934</v>
      </c>
      <c r="D52" s="7">
        <v>6699</v>
      </c>
      <c r="E52" s="7">
        <v>244090</v>
      </c>
      <c r="F52" s="10">
        <f t="shared" si="0"/>
        <v>806990</v>
      </c>
    </row>
    <row r="53" spans="1:6" x14ac:dyDescent="0.25">
      <c r="A53" s="1" t="s">
        <v>50</v>
      </c>
      <c r="B53" s="7">
        <v>49802</v>
      </c>
      <c r="C53" s="7">
        <v>94208</v>
      </c>
      <c r="D53" s="7">
        <v>1127</v>
      </c>
      <c r="E53" s="7">
        <v>74907</v>
      </c>
      <c r="F53" s="10">
        <f t="shared" si="0"/>
        <v>220044</v>
      </c>
    </row>
    <row r="54" spans="1:6" x14ac:dyDescent="0.25">
      <c r="A54" s="1" t="s">
        <v>51</v>
      </c>
      <c r="B54" s="7">
        <v>264681</v>
      </c>
      <c r="C54" s="7">
        <v>395514</v>
      </c>
      <c r="D54" s="7">
        <v>8589</v>
      </c>
      <c r="E54" s="7">
        <v>267385</v>
      </c>
      <c r="F54" s="10">
        <f t="shared" si="0"/>
        <v>936169</v>
      </c>
    </row>
    <row r="55" spans="1:6" x14ac:dyDescent="0.25">
      <c r="A55" s="1" t="s">
        <v>52</v>
      </c>
      <c r="B55" s="7">
        <v>137943</v>
      </c>
      <c r="C55" s="7">
        <v>110149</v>
      </c>
      <c r="D55" s="7">
        <v>3440</v>
      </c>
      <c r="E55" s="7">
        <v>101756</v>
      </c>
      <c r="F55" s="10">
        <f t="shared" si="0"/>
        <v>353288</v>
      </c>
    </row>
    <row r="56" spans="1:6" x14ac:dyDescent="0.25">
      <c r="A56" s="1" t="s">
        <v>53</v>
      </c>
      <c r="B56" s="7">
        <v>236093</v>
      </c>
      <c r="C56" s="7">
        <v>239052</v>
      </c>
      <c r="D56" s="7">
        <v>6417</v>
      </c>
      <c r="E56" s="7">
        <v>188939</v>
      </c>
      <c r="F56" s="10">
        <f t="shared" si="0"/>
        <v>670501</v>
      </c>
    </row>
    <row r="57" spans="1:6" x14ac:dyDescent="0.25">
      <c r="A57" s="1" t="s">
        <v>54</v>
      </c>
      <c r="B57" s="7">
        <v>149745</v>
      </c>
      <c r="C57" s="7">
        <v>147655</v>
      </c>
      <c r="D57" s="7">
        <v>3021</v>
      </c>
      <c r="E57" s="7">
        <v>118519</v>
      </c>
      <c r="F57" s="10">
        <f t="shared" si="0"/>
        <v>418940</v>
      </c>
    </row>
    <row r="58" spans="1:6" x14ac:dyDescent="0.25">
      <c r="A58" s="1" t="s">
        <v>55</v>
      </c>
      <c r="B58" s="7">
        <v>19284</v>
      </c>
      <c r="C58" s="7">
        <v>18655</v>
      </c>
      <c r="D58" s="7">
        <v>303</v>
      </c>
      <c r="E58" s="7">
        <v>9125</v>
      </c>
      <c r="F58" s="10">
        <f t="shared" si="0"/>
        <v>47367</v>
      </c>
    </row>
    <row r="59" spans="1:6" x14ac:dyDescent="0.25">
      <c r="A59" s="1" t="s">
        <v>56</v>
      </c>
      <c r="B59" s="7">
        <v>77986</v>
      </c>
      <c r="C59" s="7">
        <v>25412</v>
      </c>
      <c r="D59" s="7">
        <v>1596</v>
      </c>
      <c r="E59" s="7">
        <v>27857</v>
      </c>
      <c r="F59" s="10">
        <f t="shared" si="0"/>
        <v>132851</v>
      </c>
    </row>
    <row r="60" spans="1:6" x14ac:dyDescent="0.25">
      <c r="A60" s="1" t="s">
        <v>57</v>
      </c>
      <c r="B60" s="7">
        <v>135786</v>
      </c>
      <c r="C60" s="7">
        <v>98019</v>
      </c>
      <c r="D60" s="7">
        <v>2531</v>
      </c>
      <c r="E60" s="7">
        <v>82941</v>
      </c>
      <c r="F60" s="10">
        <f t="shared" si="0"/>
        <v>319277</v>
      </c>
    </row>
    <row r="61" spans="1:6" x14ac:dyDescent="0.25">
      <c r="A61" s="1" t="s">
        <v>58</v>
      </c>
      <c r="B61" s="7">
        <v>111493</v>
      </c>
      <c r="C61" s="7">
        <v>104409</v>
      </c>
      <c r="D61" s="7">
        <v>2789</v>
      </c>
      <c r="E61" s="7">
        <v>86713</v>
      </c>
      <c r="F61" s="10">
        <f t="shared" si="0"/>
        <v>305404</v>
      </c>
    </row>
    <row r="62" spans="1:6" x14ac:dyDescent="0.25">
      <c r="A62" s="1" t="s">
        <v>59</v>
      </c>
      <c r="B62" s="7">
        <v>98778</v>
      </c>
      <c r="C62" s="7">
        <v>44961</v>
      </c>
      <c r="D62" s="7">
        <v>1900</v>
      </c>
      <c r="E62" s="7">
        <v>42209</v>
      </c>
      <c r="F62" s="10">
        <f t="shared" si="0"/>
        <v>187848</v>
      </c>
    </row>
    <row r="63" spans="1:6" x14ac:dyDescent="0.25">
      <c r="A63" s="1" t="s">
        <v>60</v>
      </c>
      <c r="B63" s="7">
        <v>66204</v>
      </c>
      <c r="C63" s="7">
        <v>80941</v>
      </c>
      <c r="D63" s="7">
        <v>1391</v>
      </c>
      <c r="E63" s="7">
        <v>55413</v>
      </c>
      <c r="F63" s="10">
        <f t="shared" si="0"/>
        <v>203949</v>
      </c>
    </row>
    <row r="64" spans="1:6" x14ac:dyDescent="0.25">
      <c r="A64" s="1" t="s">
        <v>61</v>
      </c>
      <c r="B64" s="7">
        <v>52663</v>
      </c>
      <c r="C64" s="7">
        <v>24105</v>
      </c>
      <c r="D64" s="7">
        <v>454</v>
      </c>
      <c r="E64" s="7">
        <v>19976</v>
      </c>
      <c r="F64" s="10">
        <f t="shared" si="0"/>
        <v>97198</v>
      </c>
    </row>
    <row r="65" spans="1:6" x14ac:dyDescent="0.25">
      <c r="A65" s="1" t="s">
        <v>62</v>
      </c>
      <c r="B65" s="7">
        <v>12143</v>
      </c>
      <c r="C65" s="7">
        <v>9547</v>
      </c>
      <c r="D65" s="7">
        <v>211</v>
      </c>
      <c r="E65" s="7">
        <v>3954</v>
      </c>
      <c r="F65" s="10">
        <f t="shared" si="0"/>
        <v>25855</v>
      </c>
    </row>
    <row r="66" spans="1:6" x14ac:dyDescent="0.25">
      <c r="A66" s="1" t="s">
        <v>63</v>
      </c>
      <c r="B66" s="7">
        <v>4700</v>
      </c>
      <c r="C66" s="7">
        <v>6199</v>
      </c>
      <c r="D66" s="7">
        <v>73</v>
      </c>
      <c r="E66" s="7">
        <v>1224</v>
      </c>
      <c r="F66" s="10">
        <f t="shared" si="0"/>
        <v>12196</v>
      </c>
    </row>
    <row r="67" spans="1:6" x14ac:dyDescent="0.25">
      <c r="A67" s="1" t="s">
        <v>64</v>
      </c>
      <c r="B67" s="7">
        <v>3444</v>
      </c>
      <c r="C67" s="7">
        <v>3191</v>
      </c>
      <c r="D67" s="7">
        <v>35</v>
      </c>
      <c r="E67" s="7">
        <v>733</v>
      </c>
      <c r="F67" s="10">
        <f t="shared" si="0"/>
        <v>7403</v>
      </c>
    </row>
    <row r="68" spans="1:6" x14ac:dyDescent="0.25">
      <c r="A68" s="1" t="s">
        <v>65</v>
      </c>
      <c r="B68" s="7">
        <v>136994</v>
      </c>
      <c r="C68" s="7">
        <v>131173</v>
      </c>
      <c r="D68" s="7">
        <v>3255</v>
      </c>
      <c r="E68" s="7">
        <v>112310</v>
      </c>
      <c r="F68" s="10">
        <f t="shared" si="0"/>
        <v>383732</v>
      </c>
    </row>
    <row r="69" spans="1:6" x14ac:dyDescent="0.25">
      <c r="A69" s="1" t="s">
        <v>66</v>
      </c>
      <c r="B69" s="7">
        <v>8857</v>
      </c>
      <c r="C69" s="7">
        <v>8319</v>
      </c>
      <c r="D69" s="7">
        <v>148</v>
      </c>
      <c r="E69" s="7">
        <v>3525</v>
      </c>
      <c r="F69" s="10">
        <f t="shared" si="0"/>
        <v>20849</v>
      </c>
    </row>
    <row r="70" spans="1:6" x14ac:dyDescent="0.25">
      <c r="A70" s="1" t="s">
        <v>67</v>
      </c>
      <c r="B70" s="7">
        <v>30524</v>
      </c>
      <c r="C70" s="7">
        <v>9742</v>
      </c>
      <c r="D70" s="7">
        <v>461</v>
      </c>
      <c r="E70" s="7">
        <v>9908</v>
      </c>
      <c r="F70" s="10">
        <f t="shared" ref="F70:F71" si="1">SUM(B70:E70)</f>
        <v>50635</v>
      </c>
    </row>
    <row r="71" spans="1:6" ht="15.75" thickBot="1" x14ac:dyDescent="0.3">
      <c r="A71" s="1" t="s">
        <v>68</v>
      </c>
      <c r="B71" s="7">
        <v>8298</v>
      </c>
      <c r="C71" s="7">
        <v>5220</v>
      </c>
      <c r="D71" s="7">
        <v>86</v>
      </c>
      <c r="E71" s="7">
        <v>2238</v>
      </c>
      <c r="F71" s="10">
        <f t="shared" si="1"/>
        <v>15842</v>
      </c>
    </row>
    <row r="72" spans="1:6" ht="16.5" thickTop="1" thickBot="1" x14ac:dyDescent="0.3">
      <c r="A72" s="3" t="s">
        <v>1</v>
      </c>
      <c r="B72" s="8">
        <f>SUM(B5:B71)</f>
        <v>4704835</v>
      </c>
      <c r="C72" s="8">
        <f>SUM(C5:C71)</f>
        <v>4969086</v>
      </c>
      <c r="D72" s="8">
        <f>SUM(D5:D71)</f>
        <v>107245</v>
      </c>
      <c r="E72" s="8">
        <f>SUM(E5:E71)</f>
        <v>3568840</v>
      </c>
      <c r="F72" s="8">
        <f>SUM(F5:F71)</f>
        <v>13350006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topLeftCell="A2" workbookViewId="0">
      <selection activeCell="C18" sqref="C18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  <col min="7" max="7" width="9.85546875" bestFit="1" customWidth="1"/>
  </cols>
  <sheetData>
    <row r="1" spans="1:6" ht="18.75" customHeight="1" x14ac:dyDescent="0.3">
      <c r="A1" s="14" t="s">
        <v>85</v>
      </c>
      <c r="B1" s="15"/>
      <c r="C1" s="15"/>
      <c r="D1" s="15"/>
      <c r="E1" s="15"/>
      <c r="F1" s="16"/>
    </row>
    <row r="2" spans="1:6" x14ac:dyDescent="0.25">
      <c r="A2" s="17" t="s">
        <v>108</v>
      </c>
      <c r="B2" s="18"/>
      <c r="C2" s="18"/>
      <c r="D2" s="18"/>
      <c r="E2" s="18"/>
      <c r="F2" s="19"/>
    </row>
    <row r="3" spans="1:6" x14ac:dyDescent="0.25">
      <c r="A3" s="20" t="s">
        <v>73</v>
      </c>
      <c r="B3" s="21"/>
      <c r="C3" s="21"/>
      <c r="D3" s="21"/>
      <c r="E3" s="21"/>
      <c r="F3" s="22"/>
    </row>
    <row r="4" spans="1:6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7">
        <v>50519</v>
      </c>
      <c r="C5" s="7">
        <v>87840</v>
      </c>
      <c r="D5" s="7">
        <v>1759</v>
      </c>
      <c r="E5" s="7">
        <v>43337</v>
      </c>
      <c r="F5" s="12">
        <f>SUM(B5:E5)</f>
        <v>183455</v>
      </c>
    </row>
    <row r="6" spans="1:6" x14ac:dyDescent="0.25">
      <c r="A6" s="1" t="s">
        <v>3</v>
      </c>
      <c r="B6" s="7">
        <v>8509</v>
      </c>
      <c r="C6" s="7">
        <v>5226</v>
      </c>
      <c r="D6" s="7">
        <v>60</v>
      </c>
      <c r="E6" s="7">
        <v>1651</v>
      </c>
      <c r="F6" s="12">
        <f t="shared" ref="F6:F69" si="0">SUM(B6:E6)</f>
        <v>15446</v>
      </c>
    </row>
    <row r="7" spans="1:6" x14ac:dyDescent="0.25">
      <c r="A7" s="1" t="s">
        <v>4</v>
      </c>
      <c r="B7" s="7">
        <v>63334</v>
      </c>
      <c r="C7" s="7">
        <v>30929</v>
      </c>
      <c r="D7" s="7">
        <v>1189</v>
      </c>
      <c r="E7" s="7">
        <v>26126</v>
      </c>
      <c r="F7" s="12">
        <f t="shared" si="0"/>
        <v>121578</v>
      </c>
    </row>
    <row r="8" spans="1:6" x14ac:dyDescent="0.25">
      <c r="A8" s="1" t="s">
        <v>5</v>
      </c>
      <c r="B8" s="7">
        <v>7950</v>
      </c>
      <c r="C8" s="7">
        <v>5909</v>
      </c>
      <c r="D8" s="7">
        <v>92</v>
      </c>
      <c r="E8" s="7">
        <v>2470</v>
      </c>
      <c r="F8" s="12">
        <f t="shared" si="0"/>
        <v>16421</v>
      </c>
    </row>
    <row r="9" spans="1:6" x14ac:dyDescent="0.25">
      <c r="A9" s="1" t="s">
        <v>6</v>
      </c>
      <c r="B9" s="7">
        <v>179095</v>
      </c>
      <c r="C9" s="7">
        <v>131555</v>
      </c>
      <c r="D9" s="7">
        <v>4741</v>
      </c>
      <c r="E9" s="7">
        <v>110273</v>
      </c>
      <c r="F9" s="12">
        <f t="shared" si="0"/>
        <v>425664</v>
      </c>
    </row>
    <row r="10" spans="1:6" x14ac:dyDescent="0.25">
      <c r="A10" s="1" t="s">
        <v>7</v>
      </c>
      <c r="B10" s="7">
        <v>252804</v>
      </c>
      <c r="C10" s="7">
        <v>596447</v>
      </c>
      <c r="D10" s="7">
        <v>8162</v>
      </c>
      <c r="E10" s="7">
        <v>330604</v>
      </c>
      <c r="F10" s="12">
        <f t="shared" si="0"/>
        <v>1188017</v>
      </c>
    </row>
    <row r="11" spans="1:6" x14ac:dyDescent="0.25">
      <c r="A11" s="1" t="s">
        <v>8</v>
      </c>
      <c r="B11" s="7">
        <v>2701</v>
      </c>
      <c r="C11" s="7">
        <v>4952</v>
      </c>
      <c r="D11" s="7">
        <v>30</v>
      </c>
      <c r="E11" s="7">
        <v>1003</v>
      </c>
      <c r="F11" s="12">
        <f t="shared" si="0"/>
        <v>8686</v>
      </c>
    </row>
    <row r="12" spans="1:6" x14ac:dyDescent="0.25">
      <c r="A12" s="1" t="s">
        <v>9</v>
      </c>
      <c r="B12" s="7">
        <v>61295</v>
      </c>
      <c r="C12" s="7">
        <v>36869</v>
      </c>
      <c r="D12" s="7">
        <v>1315</v>
      </c>
      <c r="E12" s="7">
        <v>36080</v>
      </c>
      <c r="F12" s="12">
        <f t="shared" si="0"/>
        <v>135559</v>
      </c>
    </row>
    <row r="13" spans="1:6" x14ac:dyDescent="0.25">
      <c r="A13" s="1" t="s">
        <v>10</v>
      </c>
      <c r="B13" s="7">
        <v>52917</v>
      </c>
      <c r="C13" s="7">
        <v>29599</v>
      </c>
      <c r="D13" s="7">
        <v>1002</v>
      </c>
      <c r="E13" s="7">
        <v>26582</v>
      </c>
      <c r="F13" s="12">
        <f t="shared" si="0"/>
        <v>110100</v>
      </c>
    </row>
    <row r="14" spans="1:6" x14ac:dyDescent="0.25">
      <c r="A14" s="1" t="s">
        <v>11</v>
      </c>
      <c r="B14" s="7">
        <v>82568</v>
      </c>
      <c r="C14" s="7">
        <v>34270</v>
      </c>
      <c r="D14" s="7">
        <v>1364</v>
      </c>
      <c r="E14" s="7">
        <v>35674</v>
      </c>
      <c r="F14" s="12">
        <f t="shared" si="0"/>
        <v>153876</v>
      </c>
    </row>
    <row r="15" spans="1:6" x14ac:dyDescent="0.25">
      <c r="A15" s="1" t="s">
        <v>12</v>
      </c>
      <c r="B15" s="7">
        <v>109754</v>
      </c>
      <c r="C15" s="7">
        <v>51670</v>
      </c>
      <c r="D15" s="7">
        <v>1495</v>
      </c>
      <c r="E15" s="7">
        <v>54215</v>
      </c>
      <c r="F15" s="12">
        <f t="shared" si="0"/>
        <v>217134</v>
      </c>
    </row>
    <row r="16" spans="1:6" x14ac:dyDescent="0.25">
      <c r="A16" s="1" t="s">
        <v>13</v>
      </c>
      <c r="B16" s="7">
        <v>18874</v>
      </c>
      <c r="C16" s="7">
        <v>14297</v>
      </c>
      <c r="D16" s="7">
        <v>303</v>
      </c>
      <c r="E16" s="7">
        <v>7181</v>
      </c>
      <c r="F16" s="12">
        <f t="shared" si="0"/>
        <v>40655</v>
      </c>
    </row>
    <row r="17" spans="1:6" x14ac:dyDescent="0.25">
      <c r="A17" s="1" t="s">
        <v>14</v>
      </c>
      <c r="B17" s="7">
        <v>5759</v>
      </c>
      <c r="C17" s="7">
        <v>7155</v>
      </c>
      <c r="D17" s="7">
        <v>63</v>
      </c>
      <c r="E17" s="7">
        <v>3837</v>
      </c>
      <c r="F17" s="12">
        <f t="shared" si="0"/>
        <v>16814</v>
      </c>
    </row>
    <row r="18" spans="1:6" x14ac:dyDescent="0.25">
      <c r="A18" s="1" t="s">
        <v>15</v>
      </c>
      <c r="B18" s="7">
        <v>4051</v>
      </c>
      <c r="C18" s="7">
        <v>4037</v>
      </c>
      <c r="D18" s="7">
        <v>48</v>
      </c>
      <c r="E18" s="7">
        <v>1555</v>
      </c>
      <c r="F18" s="12">
        <f t="shared" si="0"/>
        <v>9691</v>
      </c>
    </row>
    <row r="19" spans="1:6" x14ac:dyDescent="0.25">
      <c r="A19" s="1" t="s">
        <v>16</v>
      </c>
      <c r="B19" s="7">
        <v>222672</v>
      </c>
      <c r="C19" s="7">
        <v>250176</v>
      </c>
      <c r="D19" s="7">
        <v>5775</v>
      </c>
      <c r="E19" s="7">
        <v>133638</v>
      </c>
      <c r="F19" s="12">
        <f t="shared" si="0"/>
        <v>612261</v>
      </c>
    </row>
    <row r="20" spans="1:6" x14ac:dyDescent="0.25">
      <c r="A20" s="1" t="s">
        <v>17</v>
      </c>
      <c r="B20" s="7">
        <v>96464</v>
      </c>
      <c r="C20" s="7">
        <v>72519</v>
      </c>
      <c r="D20" s="7">
        <v>2010</v>
      </c>
      <c r="E20" s="7">
        <v>44033</v>
      </c>
      <c r="F20" s="12">
        <f t="shared" si="0"/>
        <v>215026</v>
      </c>
    </row>
    <row r="21" spans="1:6" x14ac:dyDescent="0.25">
      <c r="A21" s="1" t="s">
        <v>18</v>
      </c>
      <c r="B21" s="7">
        <v>34260</v>
      </c>
      <c r="C21" s="7">
        <v>25687</v>
      </c>
      <c r="D21" s="7">
        <v>581</v>
      </c>
      <c r="E21" s="7">
        <v>22675</v>
      </c>
      <c r="F21" s="12">
        <f t="shared" si="0"/>
        <v>83203</v>
      </c>
    </row>
    <row r="22" spans="1:6" x14ac:dyDescent="0.25">
      <c r="A22" s="1" t="s">
        <v>19</v>
      </c>
      <c r="B22" s="7">
        <v>2676</v>
      </c>
      <c r="C22" s="7">
        <v>4021</v>
      </c>
      <c r="D22" s="7">
        <v>113</v>
      </c>
      <c r="E22" s="7">
        <v>1019</v>
      </c>
      <c r="F22" s="12">
        <f t="shared" si="0"/>
        <v>7829</v>
      </c>
    </row>
    <row r="23" spans="1:6" x14ac:dyDescent="0.25">
      <c r="A23" s="1" t="s">
        <v>20</v>
      </c>
      <c r="B23" s="7">
        <v>4837</v>
      </c>
      <c r="C23" s="7">
        <v>22010</v>
      </c>
      <c r="D23" s="7">
        <v>111</v>
      </c>
      <c r="E23" s="7">
        <v>2908</v>
      </c>
      <c r="F23" s="12">
        <f t="shared" si="0"/>
        <v>29866</v>
      </c>
    </row>
    <row r="24" spans="1:6" x14ac:dyDescent="0.25">
      <c r="A24" s="1" t="s">
        <v>21</v>
      </c>
      <c r="B24" s="7">
        <v>6669</v>
      </c>
      <c r="C24" s="7">
        <v>3263</v>
      </c>
      <c r="D24" s="7">
        <v>72</v>
      </c>
      <c r="E24" s="7">
        <v>1823</v>
      </c>
      <c r="F24" s="12">
        <f t="shared" si="0"/>
        <v>11827</v>
      </c>
    </row>
    <row r="25" spans="1:6" x14ac:dyDescent="0.25">
      <c r="A25" s="1" t="s">
        <v>22</v>
      </c>
      <c r="B25" s="7">
        <v>2810</v>
      </c>
      <c r="C25" s="7">
        <v>2748</v>
      </c>
      <c r="D25" s="7">
        <v>41</v>
      </c>
      <c r="E25" s="7">
        <v>1254</v>
      </c>
      <c r="F25" s="12">
        <f t="shared" si="0"/>
        <v>6853</v>
      </c>
    </row>
    <row r="26" spans="1:6" x14ac:dyDescent="0.25">
      <c r="A26" s="1" t="s">
        <v>23</v>
      </c>
      <c r="B26" s="7">
        <v>5009</v>
      </c>
      <c r="C26" s="7">
        <v>3896</v>
      </c>
      <c r="D26" s="7">
        <v>125</v>
      </c>
      <c r="E26" s="7">
        <v>1203</v>
      </c>
      <c r="F26" s="12">
        <f t="shared" si="0"/>
        <v>10233</v>
      </c>
    </row>
    <row r="27" spans="1:6" x14ac:dyDescent="0.25">
      <c r="A27" s="1" t="s">
        <v>24</v>
      </c>
      <c r="B27" s="7">
        <v>2553</v>
      </c>
      <c r="C27" s="7">
        <v>4197</v>
      </c>
      <c r="D27" s="7">
        <v>49</v>
      </c>
      <c r="E27" s="7">
        <v>950</v>
      </c>
      <c r="F27" s="12">
        <f t="shared" si="0"/>
        <v>7749</v>
      </c>
    </row>
    <row r="28" spans="1:6" x14ac:dyDescent="0.25">
      <c r="A28" s="1" t="s">
        <v>25</v>
      </c>
      <c r="B28" s="7">
        <v>5457</v>
      </c>
      <c r="C28" s="7">
        <v>4442</v>
      </c>
      <c r="D28" s="7">
        <v>47</v>
      </c>
      <c r="E28" s="7">
        <v>2311</v>
      </c>
      <c r="F28" s="12">
        <f t="shared" si="0"/>
        <v>12257</v>
      </c>
    </row>
    <row r="29" spans="1:6" x14ac:dyDescent="0.25">
      <c r="A29" s="1" t="s">
        <v>26</v>
      </c>
      <c r="B29" s="7">
        <v>6597</v>
      </c>
      <c r="C29" s="7">
        <v>7825</v>
      </c>
      <c r="D29" s="7">
        <v>106</v>
      </c>
      <c r="E29" s="7">
        <v>3364</v>
      </c>
      <c r="F29" s="12">
        <f t="shared" si="0"/>
        <v>17892</v>
      </c>
    </row>
    <row r="30" spans="1:6" x14ac:dyDescent="0.25">
      <c r="A30" s="1" t="s">
        <v>27</v>
      </c>
      <c r="B30" s="7">
        <v>56197</v>
      </c>
      <c r="C30" s="7">
        <v>42337</v>
      </c>
      <c r="D30" s="7">
        <v>1375</v>
      </c>
      <c r="E30" s="7">
        <v>35014</v>
      </c>
      <c r="F30" s="12">
        <f t="shared" si="0"/>
        <v>134923</v>
      </c>
    </row>
    <row r="31" spans="1:6" x14ac:dyDescent="0.25">
      <c r="A31" s="1" t="s">
        <v>28</v>
      </c>
      <c r="B31" s="7">
        <v>27802</v>
      </c>
      <c r="C31" s="7">
        <v>18192</v>
      </c>
      <c r="D31" s="7">
        <v>320</v>
      </c>
      <c r="E31" s="7">
        <v>13691</v>
      </c>
      <c r="F31" s="12">
        <f t="shared" si="0"/>
        <v>60005</v>
      </c>
    </row>
    <row r="32" spans="1:6" x14ac:dyDescent="0.25">
      <c r="A32" s="1" t="s">
        <v>29</v>
      </c>
      <c r="B32" s="7">
        <v>273197</v>
      </c>
      <c r="C32" s="7">
        <v>339852</v>
      </c>
      <c r="D32" s="7">
        <v>7894</v>
      </c>
      <c r="E32" s="7">
        <v>249019</v>
      </c>
      <c r="F32" s="12">
        <f t="shared" si="0"/>
        <v>869962</v>
      </c>
    </row>
    <row r="33" spans="1:6" x14ac:dyDescent="0.25">
      <c r="A33" s="1" t="s">
        <v>30</v>
      </c>
      <c r="B33" s="7">
        <v>6349</v>
      </c>
      <c r="C33" s="7">
        <v>3185</v>
      </c>
      <c r="D33" s="7">
        <v>38</v>
      </c>
      <c r="E33" s="7">
        <v>1218</v>
      </c>
      <c r="F33" s="12">
        <f t="shared" si="0"/>
        <v>10790</v>
      </c>
    </row>
    <row r="34" spans="1:6" x14ac:dyDescent="0.25">
      <c r="A34" s="1" t="s">
        <v>31</v>
      </c>
      <c r="B34" s="7">
        <v>52958</v>
      </c>
      <c r="C34" s="7">
        <v>31108</v>
      </c>
      <c r="D34" s="7">
        <v>1010</v>
      </c>
      <c r="E34" s="7">
        <v>29213</v>
      </c>
      <c r="F34" s="12">
        <f t="shared" si="0"/>
        <v>114289</v>
      </c>
    </row>
    <row r="35" spans="1:6" x14ac:dyDescent="0.25">
      <c r="A35" s="1" t="s">
        <v>32</v>
      </c>
      <c r="B35" s="7">
        <v>10768</v>
      </c>
      <c r="C35" s="7">
        <v>14303</v>
      </c>
      <c r="D35" s="7">
        <v>75</v>
      </c>
      <c r="E35" s="7">
        <v>3020</v>
      </c>
      <c r="F35" s="12">
        <f t="shared" si="0"/>
        <v>28166</v>
      </c>
    </row>
    <row r="36" spans="1:6" x14ac:dyDescent="0.25">
      <c r="A36" s="1" t="s">
        <v>33</v>
      </c>
      <c r="B36" s="7">
        <v>3282</v>
      </c>
      <c r="C36" s="7">
        <v>5355</v>
      </c>
      <c r="D36" s="7">
        <v>39</v>
      </c>
      <c r="E36" s="7">
        <v>1109</v>
      </c>
      <c r="F36" s="12">
        <f t="shared" si="0"/>
        <v>9785</v>
      </c>
    </row>
    <row r="37" spans="1:6" x14ac:dyDescent="0.25">
      <c r="A37" s="1" t="s">
        <v>34</v>
      </c>
      <c r="B37" s="7">
        <v>1867</v>
      </c>
      <c r="C37" s="7">
        <v>2189</v>
      </c>
      <c r="D37" s="7">
        <v>13</v>
      </c>
      <c r="E37" s="7">
        <v>302</v>
      </c>
      <c r="F37" s="12">
        <f t="shared" si="0"/>
        <v>4371</v>
      </c>
    </row>
    <row r="38" spans="1:6" x14ac:dyDescent="0.25">
      <c r="A38" s="1" t="s">
        <v>35</v>
      </c>
      <c r="B38" s="7">
        <v>104354</v>
      </c>
      <c r="C38" s="7">
        <v>72512</v>
      </c>
      <c r="D38" s="7">
        <v>1477</v>
      </c>
      <c r="E38" s="7">
        <v>59576</v>
      </c>
      <c r="F38" s="12">
        <f t="shared" si="0"/>
        <v>237919</v>
      </c>
    </row>
    <row r="39" spans="1:6" x14ac:dyDescent="0.25">
      <c r="A39" s="1" t="s">
        <v>36</v>
      </c>
      <c r="B39" s="7">
        <v>193263</v>
      </c>
      <c r="C39" s="7">
        <v>122355</v>
      </c>
      <c r="D39" s="7">
        <v>3214</v>
      </c>
      <c r="E39" s="7">
        <v>132683</v>
      </c>
      <c r="F39" s="12">
        <f t="shared" si="0"/>
        <v>451515</v>
      </c>
    </row>
    <row r="40" spans="1:6" x14ac:dyDescent="0.25">
      <c r="A40" s="1" t="s">
        <v>37</v>
      </c>
      <c r="B40" s="7">
        <v>58121</v>
      </c>
      <c r="C40" s="7">
        <v>112577</v>
      </c>
      <c r="D40" s="7">
        <v>1821</v>
      </c>
      <c r="E40" s="7">
        <v>42317</v>
      </c>
      <c r="F40" s="12">
        <f t="shared" si="0"/>
        <v>214836</v>
      </c>
    </row>
    <row r="41" spans="1:6" x14ac:dyDescent="0.25">
      <c r="A41" s="1" t="s">
        <v>38</v>
      </c>
      <c r="B41" s="7">
        <v>13256</v>
      </c>
      <c r="C41" s="7">
        <v>9106</v>
      </c>
      <c r="D41" s="7">
        <v>460</v>
      </c>
      <c r="E41" s="7">
        <v>5098</v>
      </c>
      <c r="F41" s="12">
        <f t="shared" si="0"/>
        <v>27920</v>
      </c>
    </row>
    <row r="42" spans="1:6" x14ac:dyDescent="0.25">
      <c r="A42" s="1" t="s">
        <v>39</v>
      </c>
      <c r="B42" s="7">
        <v>959</v>
      </c>
      <c r="C42" s="7">
        <v>3005</v>
      </c>
      <c r="D42" s="7">
        <v>5</v>
      </c>
      <c r="E42" s="7">
        <v>391</v>
      </c>
      <c r="F42" s="12">
        <f t="shared" si="0"/>
        <v>4360</v>
      </c>
    </row>
    <row r="43" spans="1:6" x14ac:dyDescent="0.25">
      <c r="A43" s="1" t="s">
        <v>40</v>
      </c>
      <c r="B43" s="7">
        <v>3673</v>
      </c>
      <c r="C43" s="7">
        <v>6886</v>
      </c>
      <c r="D43" s="7">
        <v>46</v>
      </c>
      <c r="E43" s="7">
        <v>1318</v>
      </c>
      <c r="F43" s="12">
        <f t="shared" si="0"/>
        <v>11923</v>
      </c>
    </row>
    <row r="44" spans="1:6" x14ac:dyDescent="0.25">
      <c r="A44" s="1" t="s">
        <v>41</v>
      </c>
      <c r="B44" s="7">
        <v>106780</v>
      </c>
      <c r="C44" s="7">
        <v>75261</v>
      </c>
      <c r="D44" s="7">
        <v>1979</v>
      </c>
      <c r="E44" s="7">
        <v>63268</v>
      </c>
      <c r="F44" s="12">
        <f t="shared" si="0"/>
        <v>247288</v>
      </c>
    </row>
    <row r="45" spans="1:6" x14ac:dyDescent="0.25">
      <c r="A45" s="1" t="s">
        <v>42</v>
      </c>
      <c r="B45" s="7">
        <v>108935</v>
      </c>
      <c r="C45" s="7">
        <v>79907</v>
      </c>
      <c r="D45" s="7">
        <v>1670</v>
      </c>
      <c r="E45" s="7">
        <v>54262</v>
      </c>
      <c r="F45" s="12">
        <f t="shared" si="0"/>
        <v>244774</v>
      </c>
    </row>
    <row r="46" spans="1:6" x14ac:dyDescent="0.25">
      <c r="A46" s="1" t="s">
        <v>43</v>
      </c>
      <c r="B46" s="7">
        <v>56988</v>
      </c>
      <c r="C46" s="7">
        <v>28889</v>
      </c>
      <c r="D46" s="7">
        <v>1101</v>
      </c>
      <c r="E46" s="7">
        <v>27664</v>
      </c>
      <c r="F46" s="12">
        <f t="shared" si="0"/>
        <v>114642</v>
      </c>
    </row>
    <row r="47" spans="1:6" x14ac:dyDescent="0.25">
      <c r="A47" s="1" t="s">
        <v>44</v>
      </c>
      <c r="B47" s="7">
        <v>378799</v>
      </c>
      <c r="C47" s="7">
        <v>603475</v>
      </c>
      <c r="D47" s="7">
        <v>8571</v>
      </c>
      <c r="E47" s="7">
        <v>448864</v>
      </c>
      <c r="F47" s="12">
        <f t="shared" si="0"/>
        <v>1439709</v>
      </c>
    </row>
    <row r="48" spans="1:6" x14ac:dyDescent="0.25">
      <c r="A48" s="1" t="s">
        <v>45</v>
      </c>
      <c r="B48" s="7">
        <v>21169</v>
      </c>
      <c r="C48" s="7">
        <v>17511</v>
      </c>
      <c r="D48" s="7">
        <v>670</v>
      </c>
      <c r="E48" s="7">
        <v>14468</v>
      </c>
      <c r="F48" s="12">
        <f t="shared" si="0"/>
        <v>53818</v>
      </c>
    </row>
    <row r="49" spans="1:6" x14ac:dyDescent="0.25">
      <c r="A49" s="1" t="s">
        <v>46</v>
      </c>
      <c r="B49" s="7">
        <v>38788</v>
      </c>
      <c r="C49" s="7">
        <v>14558</v>
      </c>
      <c r="D49" s="7">
        <v>706</v>
      </c>
      <c r="E49" s="7">
        <v>13342</v>
      </c>
      <c r="F49" s="12">
        <f t="shared" si="0"/>
        <v>67394</v>
      </c>
    </row>
    <row r="50" spans="1:6" x14ac:dyDescent="0.25">
      <c r="A50" s="1" t="s">
        <v>47</v>
      </c>
      <c r="B50" s="7">
        <v>78912</v>
      </c>
      <c r="C50" s="7">
        <v>25902</v>
      </c>
      <c r="D50" s="7">
        <v>1552</v>
      </c>
      <c r="E50" s="7">
        <v>30521</v>
      </c>
      <c r="F50" s="12">
        <f t="shared" si="0"/>
        <v>136887</v>
      </c>
    </row>
    <row r="51" spans="1:6" x14ac:dyDescent="0.25">
      <c r="A51" s="1" t="s">
        <v>48</v>
      </c>
      <c r="B51" s="7">
        <v>9153</v>
      </c>
      <c r="C51" s="7">
        <v>7272</v>
      </c>
      <c r="D51" s="7">
        <v>160</v>
      </c>
      <c r="E51" s="7">
        <v>4092</v>
      </c>
      <c r="F51" s="12">
        <f t="shared" si="0"/>
        <v>20677</v>
      </c>
    </row>
    <row r="52" spans="1:6" x14ac:dyDescent="0.25">
      <c r="A52" s="1" t="s">
        <v>49</v>
      </c>
      <c r="B52" s="7">
        <v>212922</v>
      </c>
      <c r="C52" s="7">
        <v>345606</v>
      </c>
      <c r="D52" s="7">
        <v>6929</v>
      </c>
      <c r="E52" s="7">
        <v>245885</v>
      </c>
      <c r="F52" s="12">
        <f t="shared" si="0"/>
        <v>811342</v>
      </c>
    </row>
    <row r="53" spans="1:6" x14ac:dyDescent="0.25">
      <c r="A53" s="1" t="s">
        <v>50</v>
      </c>
      <c r="B53" s="7">
        <v>49215</v>
      </c>
      <c r="C53" s="7">
        <v>92518</v>
      </c>
      <c r="D53" s="7">
        <v>1165</v>
      </c>
      <c r="E53" s="7">
        <v>72942</v>
      </c>
      <c r="F53" s="12">
        <f t="shared" si="0"/>
        <v>215840</v>
      </c>
    </row>
    <row r="54" spans="1:6" x14ac:dyDescent="0.25">
      <c r="A54" s="1" t="s">
        <v>51</v>
      </c>
      <c r="B54" s="7">
        <v>265632</v>
      </c>
      <c r="C54" s="7">
        <v>396632</v>
      </c>
      <c r="D54" s="7">
        <v>8970</v>
      </c>
      <c r="E54" s="7">
        <v>268899</v>
      </c>
      <c r="F54" s="12">
        <f t="shared" si="0"/>
        <v>940133</v>
      </c>
    </row>
    <row r="55" spans="1:6" x14ac:dyDescent="0.25">
      <c r="A55" s="1" t="s">
        <v>52</v>
      </c>
      <c r="B55" s="7">
        <v>138571</v>
      </c>
      <c r="C55" s="7">
        <v>110452</v>
      </c>
      <c r="D55" s="7">
        <v>3559</v>
      </c>
      <c r="E55" s="7">
        <v>102241</v>
      </c>
      <c r="F55" s="12">
        <f t="shared" si="0"/>
        <v>354823</v>
      </c>
    </row>
    <row r="56" spans="1:6" x14ac:dyDescent="0.25">
      <c r="A56" s="1" t="s">
        <v>53</v>
      </c>
      <c r="B56" s="7">
        <v>236194</v>
      </c>
      <c r="C56" s="7">
        <v>239176</v>
      </c>
      <c r="D56" s="7">
        <v>6585</v>
      </c>
      <c r="E56" s="7">
        <v>189487</v>
      </c>
      <c r="F56" s="12">
        <f t="shared" si="0"/>
        <v>671442</v>
      </c>
    </row>
    <row r="57" spans="1:6" x14ac:dyDescent="0.25">
      <c r="A57" s="1" t="s">
        <v>54</v>
      </c>
      <c r="B57" s="7">
        <v>150308</v>
      </c>
      <c r="C57" s="7">
        <v>148241</v>
      </c>
      <c r="D57" s="7">
        <v>3110</v>
      </c>
      <c r="E57" s="7">
        <v>119157</v>
      </c>
      <c r="F57" s="12">
        <f t="shared" si="0"/>
        <v>420816</v>
      </c>
    </row>
    <row r="58" spans="1:6" x14ac:dyDescent="0.25">
      <c r="A58" s="1" t="s">
        <v>55</v>
      </c>
      <c r="B58" s="7">
        <v>19395</v>
      </c>
      <c r="C58" s="7">
        <v>18662</v>
      </c>
      <c r="D58" s="7">
        <v>316</v>
      </c>
      <c r="E58" s="7">
        <v>9189</v>
      </c>
      <c r="F58" s="12">
        <f t="shared" si="0"/>
        <v>47562</v>
      </c>
    </row>
    <row r="59" spans="1:6" x14ac:dyDescent="0.25">
      <c r="A59" s="1" t="s">
        <v>56</v>
      </c>
      <c r="B59" s="7">
        <v>78363</v>
      </c>
      <c r="C59" s="7">
        <v>25503</v>
      </c>
      <c r="D59" s="7">
        <v>1657</v>
      </c>
      <c r="E59" s="7">
        <v>28022</v>
      </c>
      <c r="F59" s="12">
        <f t="shared" si="0"/>
        <v>133545</v>
      </c>
    </row>
    <row r="60" spans="1:6" x14ac:dyDescent="0.25">
      <c r="A60" s="1" t="s">
        <v>57</v>
      </c>
      <c r="B60" s="7">
        <v>136363</v>
      </c>
      <c r="C60" s="7">
        <v>98375</v>
      </c>
      <c r="D60" s="7">
        <v>2602</v>
      </c>
      <c r="E60" s="7">
        <v>83453</v>
      </c>
      <c r="F60" s="12">
        <f t="shared" si="0"/>
        <v>320793</v>
      </c>
    </row>
    <row r="61" spans="1:6" x14ac:dyDescent="0.25">
      <c r="A61" s="1" t="s">
        <v>58</v>
      </c>
      <c r="B61" s="7">
        <v>111508</v>
      </c>
      <c r="C61" s="7">
        <v>104516</v>
      </c>
      <c r="D61" s="7">
        <v>2888</v>
      </c>
      <c r="E61" s="7">
        <v>87053</v>
      </c>
      <c r="F61" s="12">
        <f t="shared" si="0"/>
        <v>305965</v>
      </c>
    </row>
    <row r="62" spans="1:6" x14ac:dyDescent="0.25">
      <c r="A62" s="1" t="s">
        <v>59</v>
      </c>
      <c r="B62" s="7">
        <v>99498</v>
      </c>
      <c r="C62" s="7">
        <v>45210</v>
      </c>
      <c r="D62" s="7">
        <v>1959</v>
      </c>
      <c r="E62" s="7">
        <v>42649</v>
      </c>
      <c r="F62" s="12">
        <f t="shared" si="0"/>
        <v>189316</v>
      </c>
    </row>
    <row r="63" spans="1:6" x14ac:dyDescent="0.25">
      <c r="A63" s="1" t="s">
        <v>60</v>
      </c>
      <c r="B63" s="7">
        <v>66370</v>
      </c>
      <c r="C63" s="7">
        <v>81044</v>
      </c>
      <c r="D63" s="7">
        <v>1452</v>
      </c>
      <c r="E63" s="7">
        <v>55703</v>
      </c>
      <c r="F63" s="12">
        <f t="shared" si="0"/>
        <v>204569</v>
      </c>
    </row>
    <row r="64" spans="1:6" x14ac:dyDescent="0.25">
      <c r="A64" s="1" t="s">
        <v>61</v>
      </c>
      <c r="B64" s="7">
        <v>53041</v>
      </c>
      <c r="C64" s="7">
        <v>24188</v>
      </c>
      <c r="D64" s="7">
        <v>469</v>
      </c>
      <c r="E64" s="7">
        <v>20116</v>
      </c>
      <c r="F64" s="12">
        <f t="shared" si="0"/>
        <v>97814</v>
      </c>
    </row>
    <row r="65" spans="1:7" x14ac:dyDescent="0.25">
      <c r="A65" s="1" t="s">
        <v>62</v>
      </c>
      <c r="B65" s="7">
        <v>12222</v>
      </c>
      <c r="C65" s="7">
        <v>9498</v>
      </c>
      <c r="D65" s="7">
        <v>216</v>
      </c>
      <c r="E65" s="7">
        <v>3969</v>
      </c>
      <c r="F65" s="12">
        <f t="shared" si="0"/>
        <v>25905</v>
      </c>
    </row>
    <row r="66" spans="1:7" x14ac:dyDescent="0.25">
      <c r="A66" s="1" t="s">
        <v>63</v>
      </c>
      <c r="B66" s="7">
        <v>4763</v>
      </c>
      <c r="C66" s="7">
        <v>6217</v>
      </c>
      <c r="D66" s="7">
        <v>78</v>
      </c>
      <c r="E66" s="7">
        <v>1238</v>
      </c>
      <c r="F66" s="12">
        <f t="shared" si="0"/>
        <v>12296</v>
      </c>
    </row>
    <row r="67" spans="1:7" x14ac:dyDescent="0.25">
      <c r="A67" s="1" t="s">
        <v>64</v>
      </c>
      <c r="B67" s="7">
        <v>3473</v>
      </c>
      <c r="C67" s="7">
        <v>3187</v>
      </c>
      <c r="D67" s="7">
        <v>36</v>
      </c>
      <c r="E67" s="7">
        <v>739</v>
      </c>
      <c r="F67" s="12">
        <f t="shared" si="0"/>
        <v>7435</v>
      </c>
    </row>
    <row r="68" spans="1:7" x14ac:dyDescent="0.25">
      <c r="A68" s="1" t="s">
        <v>65</v>
      </c>
      <c r="B68" s="7">
        <v>137416</v>
      </c>
      <c r="C68" s="7">
        <v>131369</v>
      </c>
      <c r="D68" s="7">
        <v>3356</v>
      </c>
      <c r="E68" s="7">
        <v>112744</v>
      </c>
      <c r="F68" s="12">
        <f t="shared" si="0"/>
        <v>384885</v>
      </c>
    </row>
    <row r="69" spans="1:7" x14ac:dyDescent="0.25">
      <c r="A69" s="1" t="s">
        <v>66</v>
      </c>
      <c r="B69" s="7">
        <v>8892</v>
      </c>
      <c r="C69" s="7">
        <v>8301</v>
      </c>
      <c r="D69" s="7">
        <v>156</v>
      </c>
      <c r="E69" s="7">
        <v>3539</v>
      </c>
      <c r="F69" s="12">
        <f t="shared" si="0"/>
        <v>20888</v>
      </c>
    </row>
    <row r="70" spans="1:7" x14ac:dyDescent="0.25">
      <c r="A70" s="1" t="s">
        <v>67</v>
      </c>
      <c r="B70" s="7">
        <v>30660</v>
      </c>
      <c r="C70" s="7">
        <v>9746</v>
      </c>
      <c r="D70" s="7">
        <v>475</v>
      </c>
      <c r="E70" s="7">
        <v>9931</v>
      </c>
      <c r="F70" s="12">
        <f t="shared" ref="F70:F71" si="1">SUM(B70:E70)</f>
        <v>50812</v>
      </c>
    </row>
    <row r="71" spans="1:7" ht="15.75" thickBot="1" x14ac:dyDescent="0.3">
      <c r="A71" s="1" t="s">
        <v>68</v>
      </c>
      <c r="B71" s="7">
        <v>8336</v>
      </c>
      <c r="C71" s="7">
        <v>5206</v>
      </c>
      <c r="D71" s="7">
        <v>87</v>
      </c>
      <c r="E71" s="7">
        <v>2257</v>
      </c>
      <c r="F71" s="12">
        <f t="shared" si="1"/>
        <v>15886</v>
      </c>
    </row>
    <row r="72" spans="1:7" ht="16.5" thickTop="1" thickBot="1" x14ac:dyDescent="0.3">
      <c r="A72" s="3" t="s">
        <v>1</v>
      </c>
      <c r="B72" s="8">
        <f>SUM(B5:B71)</f>
        <v>4718846</v>
      </c>
      <c r="C72" s="8">
        <f>SUM(C5:C71)</f>
        <v>4980923</v>
      </c>
      <c r="D72" s="8">
        <f>SUM(D5:D71)</f>
        <v>110914</v>
      </c>
      <c r="E72" s="8">
        <f>SUM(E5:E71)</f>
        <v>3585429</v>
      </c>
      <c r="F72" s="8">
        <f>SUM(F5:F71)</f>
        <v>13396112</v>
      </c>
      <c r="G72" s="7"/>
    </row>
    <row r="73" spans="1:7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abSelected="1" workbookViewId="0">
      <selection activeCell="D78" sqref="D78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customHeight="1" x14ac:dyDescent="0.3">
      <c r="A1" s="14" t="s">
        <v>86</v>
      </c>
      <c r="B1" s="15"/>
      <c r="C1" s="15"/>
      <c r="D1" s="15"/>
      <c r="E1" s="15"/>
      <c r="F1" s="16"/>
    </row>
    <row r="2" spans="1:6" x14ac:dyDescent="0.25">
      <c r="A2" s="17" t="s">
        <v>109</v>
      </c>
      <c r="B2" s="18"/>
      <c r="C2" s="18"/>
      <c r="D2" s="18"/>
      <c r="E2" s="18"/>
      <c r="F2" s="19"/>
    </row>
    <row r="3" spans="1:6" x14ac:dyDescent="0.25">
      <c r="A3" s="20" t="s">
        <v>73</v>
      </c>
      <c r="B3" s="21"/>
      <c r="C3" s="21"/>
      <c r="D3" s="21"/>
      <c r="E3" s="21"/>
      <c r="F3" s="22"/>
    </row>
    <row r="4" spans="1:6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7">
        <v>50473</v>
      </c>
      <c r="C5" s="7">
        <v>87822</v>
      </c>
      <c r="D5" s="7">
        <v>1772</v>
      </c>
      <c r="E5" s="7">
        <v>43381</v>
      </c>
      <c r="F5" s="10">
        <v>183448</v>
      </c>
    </row>
    <row r="6" spans="1:6" x14ac:dyDescent="0.25">
      <c r="A6" s="1" t="s">
        <v>3</v>
      </c>
      <c r="B6" s="7">
        <v>8522</v>
      </c>
      <c r="C6" s="7">
        <v>5219</v>
      </c>
      <c r="D6" s="7">
        <v>61</v>
      </c>
      <c r="E6" s="7">
        <v>1668</v>
      </c>
      <c r="F6" s="10">
        <v>15470</v>
      </c>
    </row>
    <row r="7" spans="1:6" x14ac:dyDescent="0.25">
      <c r="A7" s="1" t="s">
        <v>4</v>
      </c>
      <c r="B7" s="7">
        <v>62905</v>
      </c>
      <c r="C7" s="7">
        <v>30575</v>
      </c>
      <c r="D7" s="7">
        <v>1194</v>
      </c>
      <c r="E7" s="7">
        <v>25903</v>
      </c>
      <c r="F7" s="10">
        <v>120577</v>
      </c>
    </row>
    <row r="8" spans="1:6" x14ac:dyDescent="0.25">
      <c r="A8" s="1" t="s">
        <v>5</v>
      </c>
      <c r="B8" s="7">
        <v>7967</v>
      </c>
      <c r="C8" s="7">
        <v>5910</v>
      </c>
      <c r="D8" s="7">
        <v>96</v>
      </c>
      <c r="E8" s="7">
        <v>2485</v>
      </c>
      <c r="F8" s="10">
        <v>16458</v>
      </c>
    </row>
    <row r="9" spans="1:6" x14ac:dyDescent="0.25">
      <c r="A9" s="1" t="s">
        <v>6</v>
      </c>
      <c r="B9" s="7">
        <v>179488</v>
      </c>
      <c r="C9" s="7">
        <v>131659</v>
      </c>
      <c r="D9" s="7">
        <v>4889</v>
      </c>
      <c r="E9" s="7">
        <v>110665</v>
      </c>
      <c r="F9" s="10">
        <v>426701</v>
      </c>
    </row>
    <row r="10" spans="1:6" x14ac:dyDescent="0.25">
      <c r="A10" s="1" t="s">
        <v>7</v>
      </c>
      <c r="B10" s="7">
        <v>252970</v>
      </c>
      <c r="C10" s="7">
        <v>597401</v>
      </c>
      <c r="D10" s="7">
        <v>8385</v>
      </c>
      <c r="E10" s="7">
        <v>331838</v>
      </c>
      <c r="F10" s="10">
        <v>1190594</v>
      </c>
    </row>
    <row r="11" spans="1:6" x14ac:dyDescent="0.25">
      <c r="A11" s="1" t="s">
        <v>8</v>
      </c>
      <c r="B11" s="7">
        <v>2698</v>
      </c>
      <c r="C11" s="7">
        <v>4925</v>
      </c>
      <c r="D11" s="7">
        <v>30</v>
      </c>
      <c r="E11" s="7">
        <v>1004</v>
      </c>
      <c r="F11" s="10">
        <v>8657</v>
      </c>
    </row>
    <row r="12" spans="1:6" x14ac:dyDescent="0.25">
      <c r="A12" s="1" t="s">
        <v>9</v>
      </c>
      <c r="B12" s="7">
        <v>61570</v>
      </c>
      <c r="C12" s="7">
        <v>36926</v>
      </c>
      <c r="D12" s="7">
        <v>1358</v>
      </c>
      <c r="E12" s="7">
        <v>36256</v>
      </c>
      <c r="F12" s="10">
        <v>136110</v>
      </c>
    </row>
    <row r="13" spans="1:6" x14ac:dyDescent="0.25">
      <c r="A13" s="1" t="s">
        <v>10</v>
      </c>
      <c r="B13" s="7">
        <v>53134</v>
      </c>
      <c r="C13" s="7">
        <v>29584</v>
      </c>
      <c r="D13" s="7">
        <v>1024</v>
      </c>
      <c r="E13" s="7">
        <v>26703</v>
      </c>
      <c r="F13" s="10">
        <v>110445</v>
      </c>
    </row>
    <row r="14" spans="1:6" x14ac:dyDescent="0.25">
      <c r="A14" s="1" t="s">
        <v>11</v>
      </c>
      <c r="B14" s="7">
        <v>82220</v>
      </c>
      <c r="C14" s="7">
        <v>34119</v>
      </c>
      <c r="D14" s="7">
        <v>1377</v>
      </c>
      <c r="E14" s="7">
        <v>35596</v>
      </c>
      <c r="F14" s="10">
        <v>153312</v>
      </c>
    </row>
    <row r="15" spans="1:6" x14ac:dyDescent="0.25">
      <c r="A15" s="1" t="s">
        <v>12</v>
      </c>
      <c r="B15" s="7">
        <v>109583</v>
      </c>
      <c r="C15" s="7">
        <v>51439</v>
      </c>
      <c r="D15" s="7">
        <v>1502</v>
      </c>
      <c r="E15" s="7">
        <v>54005</v>
      </c>
      <c r="F15" s="10">
        <v>216529</v>
      </c>
    </row>
    <row r="16" spans="1:6" x14ac:dyDescent="0.25">
      <c r="A16" s="1" t="s">
        <v>13</v>
      </c>
      <c r="B16" s="7">
        <v>18684</v>
      </c>
      <c r="C16" s="7">
        <v>14128</v>
      </c>
      <c r="D16" s="7">
        <v>302</v>
      </c>
      <c r="E16" s="7">
        <v>7075</v>
      </c>
      <c r="F16" s="10">
        <v>40189</v>
      </c>
    </row>
    <row r="17" spans="1:6" x14ac:dyDescent="0.25">
      <c r="A17" s="1" t="s">
        <v>14</v>
      </c>
      <c r="B17" s="7">
        <v>5783</v>
      </c>
      <c r="C17" s="7">
        <v>7158</v>
      </c>
      <c r="D17" s="7">
        <v>66</v>
      </c>
      <c r="E17" s="7">
        <v>3868</v>
      </c>
      <c r="F17" s="10">
        <v>16875</v>
      </c>
    </row>
    <row r="18" spans="1:6" x14ac:dyDescent="0.25">
      <c r="A18" s="1" t="s">
        <v>15</v>
      </c>
      <c r="B18" s="7">
        <v>4067</v>
      </c>
      <c r="C18" s="7">
        <v>4021</v>
      </c>
      <c r="D18" s="7">
        <v>49</v>
      </c>
      <c r="E18" s="7">
        <v>1557</v>
      </c>
      <c r="F18" s="10">
        <v>9694</v>
      </c>
    </row>
    <row r="19" spans="1:6" x14ac:dyDescent="0.25">
      <c r="A19" s="1" t="s">
        <v>16</v>
      </c>
      <c r="B19" s="7">
        <v>223071</v>
      </c>
      <c r="C19" s="7">
        <v>250604</v>
      </c>
      <c r="D19" s="7">
        <v>5903</v>
      </c>
      <c r="E19" s="7">
        <v>134243</v>
      </c>
      <c r="F19" s="10">
        <v>613821</v>
      </c>
    </row>
    <row r="20" spans="1:6" x14ac:dyDescent="0.25">
      <c r="A20" s="1" t="s">
        <v>17</v>
      </c>
      <c r="B20" s="7">
        <v>96489</v>
      </c>
      <c r="C20" s="7">
        <v>72495</v>
      </c>
      <c r="D20" s="7">
        <v>2045</v>
      </c>
      <c r="E20" s="7">
        <v>44138</v>
      </c>
      <c r="F20" s="10">
        <v>215167</v>
      </c>
    </row>
    <row r="21" spans="1:6" x14ac:dyDescent="0.25">
      <c r="A21" s="1" t="s">
        <v>18</v>
      </c>
      <c r="B21" s="7">
        <v>34448</v>
      </c>
      <c r="C21" s="7">
        <v>25777</v>
      </c>
      <c r="D21" s="7">
        <v>597</v>
      </c>
      <c r="E21" s="7">
        <v>22791</v>
      </c>
      <c r="F21" s="10">
        <v>83613</v>
      </c>
    </row>
    <row r="22" spans="1:6" x14ac:dyDescent="0.25">
      <c r="A22" s="1" t="s">
        <v>19</v>
      </c>
      <c r="B22" s="7">
        <v>2712</v>
      </c>
      <c r="C22" s="7">
        <v>4004</v>
      </c>
      <c r="D22" s="7">
        <v>115</v>
      </c>
      <c r="E22" s="7">
        <v>1027</v>
      </c>
      <c r="F22" s="10">
        <v>7858</v>
      </c>
    </row>
    <row r="23" spans="1:6" x14ac:dyDescent="0.25">
      <c r="A23" s="1" t="s">
        <v>20</v>
      </c>
      <c r="B23" s="7">
        <v>4817</v>
      </c>
      <c r="C23" s="7">
        <v>21826</v>
      </c>
      <c r="D23" s="7">
        <v>111</v>
      </c>
      <c r="E23" s="7">
        <v>2874</v>
      </c>
      <c r="F23" s="10">
        <v>29628</v>
      </c>
    </row>
    <row r="24" spans="1:6" x14ac:dyDescent="0.25">
      <c r="A24" s="1" t="s">
        <v>21</v>
      </c>
      <c r="B24" s="7">
        <v>6683</v>
      </c>
      <c r="C24" s="7">
        <v>3253</v>
      </c>
      <c r="D24" s="7">
        <v>73</v>
      </c>
      <c r="E24" s="7">
        <v>1843</v>
      </c>
      <c r="F24" s="10">
        <v>11852</v>
      </c>
    </row>
    <row r="25" spans="1:6" x14ac:dyDescent="0.25">
      <c r="A25" s="1" t="s">
        <v>22</v>
      </c>
      <c r="B25" s="7">
        <v>2836</v>
      </c>
      <c r="C25" s="7">
        <v>2739</v>
      </c>
      <c r="D25" s="7">
        <v>43</v>
      </c>
      <c r="E25" s="7">
        <v>1268</v>
      </c>
      <c r="F25" s="10">
        <v>6886</v>
      </c>
    </row>
    <row r="26" spans="1:6" x14ac:dyDescent="0.25">
      <c r="A26" s="1" t="s">
        <v>23</v>
      </c>
      <c r="B26" s="7">
        <v>5018</v>
      </c>
      <c r="C26" s="7">
        <v>3891</v>
      </c>
      <c r="D26" s="7">
        <v>130</v>
      </c>
      <c r="E26" s="7">
        <v>1207</v>
      </c>
      <c r="F26" s="10">
        <v>10246</v>
      </c>
    </row>
    <row r="27" spans="1:6" x14ac:dyDescent="0.25">
      <c r="A27" s="1" t="s">
        <v>24</v>
      </c>
      <c r="B27" s="7">
        <v>2570</v>
      </c>
      <c r="C27" s="7">
        <v>4175</v>
      </c>
      <c r="D27" s="7">
        <v>48</v>
      </c>
      <c r="E27" s="7">
        <v>956</v>
      </c>
      <c r="F27" s="10">
        <v>7749</v>
      </c>
    </row>
    <row r="28" spans="1:6" x14ac:dyDescent="0.25">
      <c r="A28" s="1" t="s">
        <v>25</v>
      </c>
      <c r="B28" s="7">
        <v>5472</v>
      </c>
      <c r="C28" s="7">
        <v>4435</v>
      </c>
      <c r="D28" s="7">
        <v>49</v>
      </c>
      <c r="E28" s="7">
        <v>2306</v>
      </c>
      <c r="F28" s="10">
        <v>12262</v>
      </c>
    </row>
    <row r="29" spans="1:6" x14ac:dyDescent="0.25">
      <c r="A29" s="1" t="s">
        <v>26</v>
      </c>
      <c r="B29" s="7">
        <v>6612</v>
      </c>
      <c r="C29" s="7">
        <v>7814</v>
      </c>
      <c r="D29" s="7">
        <v>110</v>
      </c>
      <c r="E29" s="7">
        <v>3380</v>
      </c>
      <c r="F29" s="10">
        <v>17916</v>
      </c>
    </row>
    <row r="30" spans="1:6" x14ac:dyDescent="0.25">
      <c r="A30" s="1" t="s">
        <v>27</v>
      </c>
      <c r="B30" s="7">
        <v>56190</v>
      </c>
      <c r="C30" s="7">
        <v>42191</v>
      </c>
      <c r="D30" s="7">
        <v>1412</v>
      </c>
      <c r="E30" s="7">
        <v>34952</v>
      </c>
      <c r="F30" s="10">
        <v>134745</v>
      </c>
    </row>
    <row r="31" spans="1:6" x14ac:dyDescent="0.25">
      <c r="A31" s="1" t="s">
        <v>28</v>
      </c>
      <c r="B31" s="7">
        <v>27892</v>
      </c>
      <c r="C31" s="7">
        <v>18236</v>
      </c>
      <c r="D31" s="7">
        <v>329</v>
      </c>
      <c r="E31" s="7">
        <v>13809</v>
      </c>
      <c r="F31" s="10">
        <v>60266</v>
      </c>
    </row>
    <row r="32" spans="1:6" x14ac:dyDescent="0.25">
      <c r="A32" s="1" t="s">
        <v>29</v>
      </c>
      <c r="B32" s="7">
        <v>273536</v>
      </c>
      <c r="C32" s="7">
        <v>340531</v>
      </c>
      <c r="D32" s="7">
        <v>8059</v>
      </c>
      <c r="E32" s="7">
        <v>250090</v>
      </c>
      <c r="F32" s="10">
        <v>872216</v>
      </c>
    </row>
    <row r="33" spans="1:6" x14ac:dyDescent="0.25">
      <c r="A33" s="1" t="s">
        <v>30</v>
      </c>
      <c r="B33" s="7">
        <v>6363</v>
      </c>
      <c r="C33" s="7">
        <v>3187</v>
      </c>
      <c r="D33" s="7">
        <v>39</v>
      </c>
      <c r="E33" s="7">
        <v>1229</v>
      </c>
      <c r="F33" s="10">
        <v>10818</v>
      </c>
    </row>
    <row r="34" spans="1:6" x14ac:dyDescent="0.25">
      <c r="A34" s="1" t="s">
        <v>31</v>
      </c>
      <c r="B34" s="7">
        <v>52972</v>
      </c>
      <c r="C34" s="7">
        <v>31166</v>
      </c>
      <c r="D34" s="7">
        <v>1041</v>
      </c>
      <c r="E34" s="7">
        <v>29250</v>
      </c>
      <c r="F34" s="10">
        <v>114429</v>
      </c>
    </row>
    <row r="35" spans="1:6" x14ac:dyDescent="0.25">
      <c r="A35" s="1" t="s">
        <v>32</v>
      </c>
      <c r="B35" s="7">
        <v>10770</v>
      </c>
      <c r="C35" s="7">
        <v>14253</v>
      </c>
      <c r="D35" s="7">
        <v>77</v>
      </c>
      <c r="E35" s="7">
        <v>3028</v>
      </c>
      <c r="F35" s="10">
        <v>28128</v>
      </c>
    </row>
    <row r="36" spans="1:6" x14ac:dyDescent="0.25">
      <c r="A36" s="1" t="s">
        <v>33</v>
      </c>
      <c r="B36" s="7">
        <v>3292</v>
      </c>
      <c r="C36" s="7">
        <v>5348</v>
      </c>
      <c r="D36" s="7">
        <v>39</v>
      </c>
      <c r="E36" s="7">
        <v>1111</v>
      </c>
      <c r="F36" s="10">
        <v>9790</v>
      </c>
    </row>
    <row r="37" spans="1:6" x14ac:dyDescent="0.25">
      <c r="A37" s="1" t="s">
        <v>34</v>
      </c>
      <c r="B37" s="7">
        <v>1868</v>
      </c>
      <c r="C37" s="7">
        <v>2179</v>
      </c>
      <c r="D37" s="7">
        <v>13</v>
      </c>
      <c r="E37" s="7">
        <v>300</v>
      </c>
      <c r="F37" s="10">
        <v>4360</v>
      </c>
    </row>
    <row r="38" spans="1:6" x14ac:dyDescent="0.25">
      <c r="A38" s="1" t="s">
        <v>35</v>
      </c>
      <c r="B38" s="7">
        <v>104617</v>
      </c>
      <c r="C38" s="7">
        <v>72579</v>
      </c>
      <c r="D38" s="7">
        <v>1496</v>
      </c>
      <c r="E38" s="7">
        <v>59894</v>
      </c>
      <c r="F38" s="10">
        <v>238586</v>
      </c>
    </row>
    <row r="39" spans="1:6" x14ac:dyDescent="0.25">
      <c r="A39" s="1" t="s">
        <v>36</v>
      </c>
      <c r="B39" s="7">
        <v>193748</v>
      </c>
      <c r="C39" s="7">
        <v>122660</v>
      </c>
      <c r="D39" s="7">
        <v>3309</v>
      </c>
      <c r="E39" s="7">
        <v>133411</v>
      </c>
      <c r="F39" s="10">
        <v>453128</v>
      </c>
    </row>
    <row r="40" spans="1:6" x14ac:dyDescent="0.25">
      <c r="A40" s="1" t="s">
        <v>37</v>
      </c>
      <c r="B40" s="7">
        <v>58083</v>
      </c>
      <c r="C40" s="7">
        <v>112442</v>
      </c>
      <c r="D40" s="7">
        <v>1835</v>
      </c>
      <c r="E40" s="7">
        <v>42340</v>
      </c>
      <c r="F40" s="10">
        <v>214700</v>
      </c>
    </row>
    <row r="41" spans="1:6" x14ac:dyDescent="0.25">
      <c r="A41" s="1" t="s">
        <v>38</v>
      </c>
      <c r="B41" s="7">
        <v>13269</v>
      </c>
      <c r="C41" s="7">
        <v>9100</v>
      </c>
      <c r="D41" s="7">
        <v>463</v>
      </c>
      <c r="E41" s="7">
        <v>5101</v>
      </c>
      <c r="F41" s="10">
        <v>27933</v>
      </c>
    </row>
    <row r="42" spans="1:6" x14ac:dyDescent="0.25">
      <c r="A42" s="1" t="s">
        <v>39</v>
      </c>
      <c r="B42" s="7">
        <v>965</v>
      </c>
      <c r="C42" s="7">
        <v>3002</v>
      </c>
      <c r="D42" s="7">
        <v>5</v>
      </c>
      <c r="E42" s="7">
        <v>392</v>
      </c>
      <c r="F42" s="10">
        <v>4364</v>
      </c>
    </row>
    <row r="43" spans="1:6" x14ac:dyDescent="0.25">
      <c r="A43" s="1" t="s">
        <v>40</v>
      </c>
      <c r="B43" s="7">
        <v>3689</v>
      </c>
      <c r="C43" s="7">
        <v>6871</v>
      </c>
      <c r="D43" s="7">
        <v>47</v>
      </c>
      <c r="E43" s="7">
        <v>1317</v>
      </c>
      <c r="F43" s="10">
        <v>11924</v>
      </c>
    </row>
    <row r="44" spans="1:6" x14ac:dyDescent="0.25">
      <c r="A44" s="1" t="s">
        <v>41</v>
      </c>
      <c r="B44" s="7">
        <v>106524</v>
      </c>
      <c r="C44" s="7">
        <v>74768</v>
      </c>
      <c r="D44" s="7">
        <v>2033</v>
      </c>
      <c r="E44" s="7">
        <v>62988</v>
      </c>
      <c r="F44" s="10">
        <v>246313</v>
      </c>
    </row>
    <row r="45" spans="1:6" x14ac:dyDescent="0.25">
      <c r="A45" s="1" t="s">
        <v>42</v>
      </c>
      <c r="B45" s="7">
        <v>109189</v>
      </c>
      <c r="C45" s="7">
        <v>80049</v>
      </c>
      <c r="D45" s="7">
        <v>1710</v>
      </c>
      <c r="E45" s="7">
        <v>54444</v>
      </c>
      <c r="F45" s="10">
        <v>245392</v>
      </c>
    </row>
    <row r="46" spans="1:6" x14ac:dyDescent="0.25">
      <c r="A46" s="1" t="s">
        <v>43</v>
      </c>
      <c r="B46" s="7">
        <v>56996</v>
      </c>
      <c r="C46" s="7">
        <v>28866</v>
      </c>
      <c r="D46" s="7">
        <v>1122</v>
      </c>
      <c r="E46" s="7">
        <v>27740</v>
      </c>
      <c r="F46" s="10">
        <v>114724</v>
      </c>
    </row>
    <row r="47" spans="1:6" x14ac:dyDescent="0.25">
      <c r="A47" s="1" t="s">
        <v>44</v>
      </c>
      <c r="B47" s="7">
        <v>378682</v>
      </c>
      <c r="C47" s="7">
        <v>603358</v>
      </c>
      <c r="D47" s="7">
        <v>8767</v>
      </c>
      <c r="E47" s="7">
        <v>449602</v>
      </c>
      <c r="F47" s="10">
        <v>1440409</v>
      </c>
    </row>
    <row r="48" spans="1:6" x14ac:dyDescent="0.25">
      <c r="A48" s="1" t="s">
        <v>45</v>
      </c>
      <c r="B48" s="7">
        <v>21131</v>
      </c>
      <c r="C48" s="7">
        <v>17457</v>
      </c>
      <c r="D48" s="7">
        <v>685</v>
      </c>
      <c r="E48" s="7">
        <v>14376</v>
      </c>
      <c r="F48" s="10">
        <v>53649</v>
      </c>
    </row>
    <row r="49" spans="1:6" x14ac:dyDescent="0.25">
      <c r="A49" s="1" t="s">
        <v>46</v>
      </c>
      <c r="B49" s="7">
        <v>38877</v>
      </c>
      <c r="C49" s="7">
        <v>14547</v>
      </c>
      <c r="D49" s="7">
        <v>727</v>
      </c>
      <c r="E49" s="7">
        <v>13390</v>
      </c>
      <c r="F49" s="10">
        <v>67541</v>
      </c>
    </row>
    <row r="50" spans="1:6" x14ac:dyDescent="0.25">
      <c r="A50" s="1" t="s">
        <v>47</v>
      </c>
      <c r="B50" s="7">
        <v>79153</v>
      </c>
      <c r="C50" s="7">
        <v>25984</v>
      </c>
      <c r="D50" s="7">
        <v>1588</v>
      </c>
      <c r="E50" s="7">
        <v>30710</v>
      </c>
      <c r="F50" s="10">
        <v>137435</v>
      </c>
    </row>
    <row r="51" spans="1:6" x14ac:dyDescent="0.25">
      <c r="A51" s="1" t="s">
        <v>48</v>
      </c>
      <c r="B51" s="7">
        <v>9171</v>
      </c>
      <c r="C51" s="7">
        <v>7272</v>
      </c>
      <c r="D51" s="7">
        <v>164</v>
      </c>
      <c r="E51" s="7">
        <v>4113</v>
      </c>
      <c r="F51" s="10">
        <v>20720</v>
      </c>
    </row>
    <row r="52" spans="1:6" x14ac:dyDescent="0.25">
      <c r="A52" s="1" t="s">
        <v>49</v>
      </c>
      <c r="B52" s="7">
        <v>213215</v>
      </c>
      <c r="C52" s="7">
        <v>346241</v>
      </c>
      <c r="D52" s="7">
        <v>7092</v>
      </c>
      <c r="E52" s="7">
        <v>246942</v>
      </c>
      <c r="F52" s="10">
        <v>813490</v>
      </c>
    </row>
    <row r="53" spans="1:6" x14ac:dyDescent="0.25">
      <c r="A53" s="1" t="s">
        <v>50</v>
      </c>
      <c r="B53" s="7">
        <v>49072</v>
      </c>
      <c r="C53" s="7">
        <v>92189</v>
      </c>
      <c r="D53" s="7">
        <v>1179</v>
      </c>
      <c r="E53" s="7">
        <v>72775</v>
      </c>
      <c r="F53" s="10">
        <v>215215</v>
      </c>
    </row>
    <row r="54" spans="1:6" x14ac:dyDescent="0.25">
      <c r="A54" s="1" t="s">
        <v>51</v>
      </c>
      <c r="B54" s="7">
        <v>265141</v>
      </c>
      <c r="C54" s="7">
        <v>395005</v>
      </c>
      <c r="D54" s="7">
        <v>9244</v>
      </c>
      <c r="E54" s="7">
        <v>267940</v>
      </c>
      <c r="F54" s="10">
        <v>937330</v>
      </c>
    </row>
    <row r="55" spans="1:6" x14ac:dyDescent="0.25">
      <c r="A55" s="1" t="s">
        <v>52</v>
      </c>
      <c r="B55" s="7">
        <v>138994</v>
      </c>
      <c r="C55" s="7">
        <v>110646</v>
      </c>
      <c r="D55" s="7">
        <v>3639</v>
      </c>
      <c r="E55" s="7">
        <v>102778</v>
      </c>
      <c r="F55" s="10">
        <v>356057</v>
      </c>
    </row>
    <row r="56" spans="1:6" x14ac:dyDescent="0.25">
      <c r="A56" s="1" t="s">
        <v>53</v>
      </c>
      <c r="B56" s="7">
        <v>236186</v>
      </c>
      <c r="C56" s="7">
        <v>239092</v>
      </c>
      <c r="D56" s="7">
        <v>6716</v>
      </c>
      <c r="E56" s="7">
        <v>189787</v>
      </c>
      <c r="F56" s="10">
        <v>671781</v>
      </c>
    </row>
    <row r="57" spans="1:6" x14ac:dyDescent="0.25">
      <c r="A57" s="1" t="s">
        <v>54</v>
      </c>
      <c r="B57" s="7">
        <v>151003</v>
      </c>
      <c r="C57" s="7">
        <v>148868</v>
      </c>
      <c r="D57" s="7">
        <v>3272</v>
      </c>
      <c r="E57" s="7">
        <v>120315</v>
      </c>
      <c r="F57" s="10">
        <v>423458</v>
      </c>
    </row>
    <row r="58" spans="1:6" x14ac:dyDescent="0.25">
      <c r="A58" s="1" t="s">
        <v>55</v>
      </c>
      <c r="B58" s="7">
        <v>19456</v>
      </c>
      <c r="C58" s="7">
        <v>18614</v>
      </c>
      <c r="D58" s="7">
        <v>327</v>
      </c>
      <c r="E58" s="7">
        <v>9238</v>
      </c>
      <c r="F58" s="10">
        <v>47635</v>
      </c>
    </row>
    <row r="59" spans="1:6" x14ac:dyDescent="0.25">
      <c r="A59" s="1" t="s">
        <v>56</v>
      </c>
      <c r="B59" s="7">
        <v>78475</v>
      </c>
      <c r="C59" s="7">
        <v>25465</v>
      </c>
      <c r="D59" s="7">
        <v>1732</v>
      </c>
      <c r="E59" s="7">
        <v>28117</v>
      </c>
      <c r="F59" s="10">
        <v>133789</v>
      </c>
    </row>
    <row r="60" spans="1:6" x14ac:dyDescent="0.25">
      <c r="A60" s="1" t="s">
        <v>57</v>
      </c>
      <c r="B60" s="7">
        <v>136685</v>
      </c>
      <c r="C60" s="7">
        <v>98579</v>
      </c>
      <c r="D60" s="7">
        <v>2687</v>
      </c>
      <c r="E60" s="7">
        <v>83729</v>
      </c>
      <c r="F60" s="10">
        <v>321680</v>
      </c>
    </row>
    <row r="61" spans="1:6" x14ac:dyDescent="0.25">
      <c r="A61" s="1" t="s">
        <v>58</v>
      </c>
      <c r="B61" s="7">
        <v>111491</v>
      </c>
      <c r="C61" s="7">
        <v>104595</v>
      </c>
      <c r="D61" s="7">
        <v>2950</v>
      </c>
      <c r="E61" s="7">
        <v>87263</v>
      </c>
      <c r="F61" s="10">
        <v>306299</v>
      </c>
    </row>
    <row r="62" spans="1:6" x14ac:dyDescent="0.25">
      <c r="A62" s="1" t="s">
        <v>59</v>
      </c>
      <c r="B62" s="7">
        <v>99172</v>
      </c>
      <c r="C62" s="7">
        <v>44899</v>
      </c>
      <c r="D62" s="7">
        <v>1966</v>
      </c>
      <c r="E62" s="7">
        <v>42343</v>
      </c>
      <c r="F62" s="10">
        <v>188380</v>
      </c>
    </row>
    <row r="63" spans="1:6" x14ac:dyDescent="0.25">
      <c r="A63" s="1" t="s">
        <v>60</v>
      </c>
      <c r="B63" s="7">
        <v>66389</v>
      </c>
      <c r="C63" s="7">
        <v>81017</v>
      </c>
      <c r="D63" s="7">
        <v>1495</v>
      </c>
      <c r="E63" s="7">
        <v>55875</v>
      </c>
      <c r="F63" s="10">
        <v>204776</v>
      </c>
    </row>
    <row r="64" spans="1:6" x14ac:dyDescent="0.25">
      <c r="A64" s="1" t="s">
        <v>61</v>
      </c>
      <c r="B64" s="7">
        <v>53258</v>
      </c>
      <c r="C64" s="7">
        <v>24244</v>
      </c>
      <c r="D64" s="7">
        <v>480</v>
      </c>
      <c r="E64" s="7">
        <v>20242</v>
      </c>
      <c r="F64" s="10">
        <v>98224</v>
      </c>
    </row>
    <row r="65" spans="1:6" x14ac:dyDescent="0.25">
      <c r="A65" s="1" t="s">
        <v>62</v>
      </c>
      <c r="B65" s="7">
        <v>12290</v>
      </c>
      <c r="C65" s="7">
        <v>9485</v>
      </c>
      <c r="D65" s="7">
        <v>219</v>
      </c>
      <c r="E65" s="7">
        <v>3999</v>
      </c>
      <c r="F65" s="10">
        <v>25993</v>
      </c>
    </row>
    <row r="66" spans="1:6" x14ac:dyDescent="0.25">
      <c r="A66" s="1" t="s">
        <v>63</v>
      </c>
      <c r="B66" s="7">
        <v>4777</v>
      </c>
      <c r="C66" s="7">
        <v>6191</v>
      </c>
      <c r="D66" s="7">
        <v>79</v>
      </c>
      <c r="E66" s="7">
        <v>1242</v>
      </c>
      <c r="F66" s="10">
        <v>12289</v>
      </c>
    </row>
    <row r="67" spans="1:6" x14ac:dyDescent="0.25">
      <c r="A67" s="1" t="s">
        <v>64</v>
      </c>
      <c r="B67" s="7">
        <v>3481</v>
      </c>
      <c r="C67" s="7">
        <v>3172</v>
      </c>
      <c r="D67" s="7">
        <v>37</v>
      </c>
      <c r="E67" s="7">
        <v>740</v>
      </c>
      <c r="F67" s="10">
        <v>7430</v>
      </c>
    </row>
    <row r="68" spans="1:6" x14ac:dyDescent="0.25">
      <c r="A68" s="1" t="s">
        <v>65</v>
      </c>
      <c r="B68" s="7">
        <v>134223</v>
      </c>
      <c r="C68" s="7">
        <v>126546</v>
      </c>
      <c r="D68" s="7">
        <v>3357</v>
      </c>
      <c r="E68" s="7">
        <v>107959</v>
      </c>
      <c r="F68" s="10">
        <v>372085</v>
      </c>
    </row>
    <row r="69" spans="1:6" x14ac:dyDescent="0.25">
      <c r="A69" s="1" t="s">
        <v>66</v>
      </c>
      <c r="B69" s="7">
        <v>8937</v>
      </c>
      <c r="C69" s="7">
        <v>8288</v>
      </c>
      <c r="D69" s="7">
        <v>161</v>
      </c>
      <c r="E69" s="7">
        <v>3552</v>
      </c>
      <c r="F69" s="10">
        <v>20938</v>
      </c>
    </row>
    <row r="70" spans="1:6" x14ac:dyDescent="0.25">
      <c r="A70" s="1" t="s">
        <v>67</v>
      </c>
      <c r="B70" s="7">
        <v>30414</v>
      </c>
      <c r="C70" s="7">
        <v>9674</v>
      </c>
      <c r="D70" s="7">
        <v>478</v>
      </c>
      <c r="E70" s="7">
        <v>9797</v>
      </c>
      <c r="F70" s="10">
        <v>50363</v>
      </c>
    </row>
    <row r="71" spans="1:6" ht="15.75" thickBot="1" x14ac:dyDescent="0.3">
      <c r="A71" s="1" t="s">
        <v>68</v>
      </c>
      <c r="B71" s="7">
        <v>8292</v>
      </c>
      <c r="C71" s="7">
        <v>5140</v>
      </c>
      <c r="D71" s="7">
        <v>90</v>
      </c>
      <c r="E71" s="7">
        <v>2261</v>
      </c>
      <c r="F71" s="10">
        <v>15783</v>
      </c>
    </row>
    <row r="72" spans="1:6" ht="16.5" thickTop="1" thickBot="1" x14ac:dyDescent="0.3">
      <c r="A72" s="3" t="s">
        <v>1</v>
      </c>
      <c r="B72" s="8">
        <f>SUM(B5:B71)</f>
        <v>4718720</v>
      </c>
      <c r="C72" s="8">
        <f>SUM(C5:C71)</f>
        <v>4975895</v>
      </c>
      <c r="D72" s="8">
        <f>SUM(D5:D71)</f>
        <v>113489</v>
      </c>
      <c r="E72" s="8">
        <f>SUM(E5:E71)</f>
        <v>3588518</v>
      </c>
      <c r="F72" s="8">
        <f>SUM(F5:F71)</f>
        <v>13396622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>
      <selection activeCell="B5" sqref="B5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x14ac:dyDescent="0.3">
      <c r="A1" s="14" t="s">
        <v>87</v>
      </c>
      <c r="B1" s="15"/>
      <c r="C1" s="15"/>
      <c r="D1" s="15"/>
      <c r="E1" s="15"/>
      <c r="F1" s="16"/>
    </row>
    <row r="2" spans="1:6" x14ac:dyDescent="0.25">
      <c r="A2" s="17" t="s">
        <v>110</v>
      </c>
      <c r="B2" s="18"/>
      <c r="C2" s="18"/>
      <c r="D2" s="18"/>
      <c r="E2" s="18"/>
      <c r="F2" s="19"/>
    </row>
    <row r="3" spans="1:6" x14ac:dyDescent="0.25">
      <c r="A3" s="20" t="s">
        <v>73</v>
      </c>
      <c r="B3" s="21"/>
      <c r="C3" s="21"/>
      <c r="D3" s="21"/>
      <c r="E3" s="21"/>
      <c r="F3" s="22"/>
    </row>
    <row r="4" spans="1:6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11">
        <f>January!B5-PriorDecember!B5</f>
        <v>-4</v>
      </c>
      <c r="C5" s="11">
        <f>January!C5-PriorDecember!C5</f>
        <v>9</v>
      </c>
      <c r="D5" s="11">
        <f>January!D5-PriorDecember!D5</f>
        <v>29</v>
      </c>
      <c r="E5" s="11">
        <f>January!E5-PriorDecember!E5</f>
        <v>68</v>
      </c>
      <c r="F5" s="10">
        <f>SUM(B5:E5)</f>
        <v>102</v>
      </c>
    </row>
    <row r="6" spans="1:6" x14ac:dyDescent="0.25">
      <c r="A6" s="1" t="s">
        <v>3</v>
      </c>
      <c r="B6" s="11">
        <f>January!B6-PriorDecember!B6</f>
        <v>46</v>
      </c>
      <c r="C6" s="11">
        <f>January!C6-PriorDecember!C6</f>
        <v>-21</v>
      </c>
      <c r="D6" s="11">
        <f>January!D6-PriorDecember!D6</f>
        <v>-8</v>
      </c>
      <c r="E6" s="11">
        <f>January!E6-PriorDecember!E6</f>
        <v>27</v>
      </c>
      <c r="F6" s="10">
        <f t="shared" ref="F6:F69" si="0">SUM(B6:E6)</f>
        <v>44</v>
      </c>
    </row>
    <row r="7" spans="1:6" x14ac:dyDescent="0.25">
      <c r="A7" s="1" t="s">
        <v>4</v>
      </c>
      <c r="B7" s="11">
        <f>January!B7-PriorDecember!B7</f>
        <v>178</v>
      </c>
      <c r="C7" s="11">
        <f>January!C7-PriorDecember!C7</f>
        <v>12</v>
      </c>
      <c r="D7" s="11">
        <f>January!D7-PriorDecember!D7</f>
        <v>34</v>
      </c>
      <c r="E7" s="11">
        <f>January!E7-PriorDecember!E7</f>
        <v>145</v>
      </c>
      <c r="F7" s="10">
        <f t="shared" si="0"/>
        <v>369</v>
      </c>
    </row>
    <row r="8" spans="1:6" x14ac:dyDescent="0.25">
      <c r="A8" s="1" t="s">
        <v>5</v>
      </c>
      <c r="B8" s="11">
        <f>January!B8-PriorDecember!B8</f>
        <v>4</v>
      </c>
      <c r="C8" s="11">
        <f>January!C8-PriorDecember!C8</f>
        <v>-26</v>
      </c>
      <c r="D8" s="11">
        <f>January!D8-PriorDecember!D8</f>
        <v>3</v>
      </c>
      <c r="E8" s="11">
        <f>January!E8-PriorDecember!E8</f>
        <v>8</v>
      </c>
      <c r="F8" s="10">
        <f t="shared" si="0"/>
        <v>-11</v>
      </c>
    </row>
    <row r="9" spans="1:6" x14ac:dyDescent="0.25">
      <c r="A9" s="1" t="s">
        <v>6</v>
      </c>
      <c r="B9" s="11">
        <f>January!B9-PriorDecember!B9</f>
        <v>146</v>
      </c>
      <c r="C9" s="11">
        <f>January!C9-PriorDecember!C9</f>
        <v>-21</v>
      </c>
      <c r="D9" s="11">
        <f>January!D9-PriorDecember!D9</f>
        <v>123</v>
      </c>
      <c r="E9" s="11">
        <f>January!E9-PriorDecember!E9</f>
        <v>282</v>
      </c>
      <c r="F9" s="10">
        <f t="shared" si="0"/>
        <v>530</v>
      </c>
    </row>
    <row r="10" spans="1:6" x14ac:dyDescent="0.25">
      <c r="A10" s="1" t="s">
        <v>7</v>
      </c>
      <c r="B10" s="11">
        <f>January!B10-PriorDecember!B10</f>
        <v>129</v>
      </c>
      <c r="C10" s="11">
        <f>January!C10-PriorDecember!C10</f>
        <v>-10</v>
      </c>
      <c r="D10" s="11">
        <f>January!D10-PriorDecember!D10</f>
        <v>300</v>
      </c>
      <c r="E10" s="11">
        <f>January!E10-PriorDecember!E10</f>
        <v>983</v>
      </c>
      <c r="F10" s="10">
        <f t="shared" si="0"/>
        <v>1402</v>
      </c>
    </row>
    <row r="11" spans="1:6" x14ac:dyDescent="0.25">
      <c r="A11" s="1" t="s">
        <v>8</v>
      </c>
      <c r="B11" s="11">
        <f>January!B11-PriorDecember!B11</f>
        <v>8</v>
      </c>
      <c r="C11" s="11">
        <f>January!C11-PriorDecember!C11</f>
        <v>-13</v>
      </c>
      <c r="D11" s="11">
        <f>January!D11-PriorDecember!D11</f>
        <v>1</v>
      </c>
      <c r="E11" s="11">
        <f>January!E11-PriorDecember!E11</f>
        <v>3</v>
      </c>
      <c r="F11" s="10">
        <f t="shared" si="0"/>
        <v>-1</v>
      </c>
    </row>
    <row r="12" spans="1:6" x14ac:dyDescent="0.25">
      <c r="A12" s="1" t="s">
        <v>9</v>
      </c>
      <c r="B12" s="11">
        <f>January!B12-PriorDecember!B12</f>
        <v>241</v>
      </c>
      <c r="C12" s="11">
        <f>January!C12-PriorDecember!C12</f>
        <v>71</v>
      </c>
      <c r="D12" s="11">
        <f>January!D12-PriorDecember!D12</f>
        <v>68</v>
      </c>
      <c r="E12" s="11">
        <f>January!E12-PriorDecember!E12</f>
        <v>222</v>
      </c>
      <c r="F12" s="10">
        <f t="shared" si="0"/>
        <v>602</v>
      </c>
    </row>
    <row r="13" spans="1:6" x14ac:dyDescent="0.25">
      <c r="A13" s="1" t="s">
        <v>10</v>
      </c>
      <c r="B13" s="11">
        <f>January!B13-PriorDecember!B13</f>
        <v>231</v>
      </c>
      <c r="C13" s="11">
        <f>January!C13-PriorDecember!C13</f>
        <v>29</v>
      </c>
      <c r="D13" s="11">
        <f>January!D13-PriorDecember!D13</f>
        <v>40</v>
      </c>
      <c r="E13" s="11">
        <f>January!E13-PriorDecember!E13</f>
        <v>126</v>
      </c>
      <c r="F13" s="10">
        <f t="shared" si="0"/>
        <v>426</v>
      </c>
    </row>
    <row r="14" spans="1:6" x14ac:dyDescent="0.25">
      <c r="A14" s="1" t="s">
        <v>11</v>
      </c>
      <c r="B14" s="11">
        <f>January!B14-PriorDecember!B14</f>
        <v>78</v>
      </c>
      <c r="C14" s="11">
        <f>January!C14-PriorDecember!C14</f>
        <v>-19</v>
      </c>
      <c r="D14" s="11">
        <f>January!D14-PriorDecember!D14</f>
        <v>29</v>
      </c>
      <c r="E14" s="11">
        <f>January!E14-PriorDecember!E14</f>
        <v>47</v>
      </c>
      <c r="F14" s="10">
        <f t="shared" si="0"/>
        <v>135</v>
      </c>
    </row>
    <row r="15" spans="1:6" x14ac:dyDescent="0.25">
      <c r="A15" s="1" t="s">
        <v>12</v>
      </c>
      <c r="B15" s="11">
        <f>January!B15-PriorDecember!B15</f>
        <v>476</v>
      </c>
      <c r="C15" s="11">
        <f>January!C15-PriorDecember!C15</f>
        <v>279</v>
      </c>
      <c r="D15" s="11">
        <f>January!D15-PriorDecember!D15</f>
        <v>34</v>
      </c>
      <c r="E15" s="11">
        <f>January!E15-PriorDecember!E15</f>
        <v>327</v>
      </c>
      <c r="F15" s="10">
        <f t="shared" si="0"/>
        <v>1116</v>
      </c>
    </row>
    <row r="16" spans="1:6" x14ac:dyDescent="0.25">
      <c r="A16" s="1" t="s">
        <v>13</v>
      </c>
      <c r="B16" s="11">
        <f>January!B16-PriorDecember!B16</f>
        <v>46</v>
      </c>
      <c r="C16" s="11">
        <f>January!C16-PriorDecember!C16</f>
        <v>-52</v>
      </c>
      <c r="D16" s="11">
        <f>January!D16-PriorDecember!D16</f>
        <v>5</v>
      </c>
      <c r="E16" s="11">
        <f>January!E16-PriorDecember!E16</f>
        <v>9</v>
      </c>
      <c r="F16" s="10">
        <f t="shared" si="0"/>
        <v>8</v>
      </c>
    </row>
    <row r="17" spans="1:6" x14ac:dyDescent="0.25">
      <c r="A17" s="1" t="s">
        <v>14</v>
      </c>
      <c r="B17" s="11">
        <f>January!B17-PriorDecember!B17</f>
        <v>30</v>
      </c>
      <c r="C17" s="11">
        <f>January!C17-PriorDecember!C17</f>
        <v>-14</v>
      </c>
      <c r="D17" s="11">
        <f>January!D17-PriorDecember!D17</f>
        <v>2</v>
      </c>
      <c r="E17" s="11">
        <f>January!E17-PriorDecember!E17</f>
        <v>17</v>
      </c>
      <c r="F17" s="10">
        <f t="shared" si="0"/>
        <v>35</v>
      </c>
    </row>
    <row r="18" spans="1:6" x14ac:dyDescent="0.25">
      <c r="A18" s="1" t="s">
        <v>15</v>
      </c>
      <c r="B18" s="11">
        <f>January!B18-PriorDecember!B18</f>
        <v>-107</v>
      </c>
      <c r="C18" s="11">
        <f>January!C18-PriorDecember!C18</f>
        <v>-247</v>
      </c>
      <c r="D18" s="11">
        <f>January!D18-PriorDecember!D18</f>
        <v>3</v>
      </c>
      <c r="E18" s="11">
        <f>January!E18-PriorDecember!E18</f>
        <v>-70</v>
      </c>
      <c r="F18" s="10">
        <f t="shared" si="0"/>
        <v>-421</v>
      </c>
    </row>
    <row r="19" spans="1:6" x14ac:dyDescent="0.25">
      <c r="A19" s="1" t="s">
        <v>16</v>
      </c>
      <c r="B19" s="11">
        <f>January!B19-PriorDecember!B19</f>
        <v>115</v>
      </c>
      <c r="C19" s="11">
        <f>January!C19-PriorDecember!C19</f>
        <v>245</v>
      </c>
      <c r="D19" s="11">
        <f>January!D19-PriorDecember!D19</f>
        <v>183</v>
      </c>
      <c r="E19" s="11">
        <f>January!E19-PriorDecember!E19</f>
        <v>552</v>
      </c>
      <c r="F19" s="10">
        <f t="shared" si="0"/>
        <v>1095</v>
      </c>
    </row>
    <row r="20" spans="1:6" x14ac:dyDescent="0.25">
      <c r="A20" s="1" t="s">
        <v>17</v>
      </c>
      <c r="B20" s="11">
        <f>January!B20-PriorDecember!B20</f>
        <v>37</v>
      </c>
      <c r="C20" s="11">
        <f>January!C20-PriorDecember!C20</f>
        <v>-73</v>
      </c>
      <c r="D20" s="11">
        <f>January!D20-PriorDecember!D20</f>
        <v>46</v>
      </c>
      <c r="E20" s="11">
        <f>January!E20-PriorDecember!E20</f>
        <v>96</v>
      </c>
      <c r="F20" s="10">
        <f t="shared" si="0"/>
        <v>106</v>
      </c>
    </row>
    <row r="21" spans="1:6" x14ac:dyDescent="0.25">
      <c r="A21" s="1" t="s">
        <v>18</v>
      </c>
      <c r="B21" s="11">
        <f>January!B21-PriorDecember!B21</f>
        <v>184</v>
      </c>
      <c r="C21" s="11">
        <f>January!C21-PriorDecember!C21</f>
        <v>54</v>
      </c>
      <c r="D21" s="11">
        <f>January!D21-PriorDecember!D21</f>
        <v>19</v>
      </c>
      <c r="E21" s="11">
        <f>January!E21-PriorDecember!E21</f>
        <v>148</v>
      </c>
      <c r="F21" s="10">
        <f t="shared" si="0"/>
        <v>405</v>
      </c>
    </row>
    <row r="22" spans="1:6" x14ac:dyDescent="0.25">
      <c r="A22" s="1" t="s">
        <v>19</v>
      </c>
      <c r="B22" s="11">
        <f>January!B22-PriorDecember!B22</f>
        <v>-1</v>
      </c>
      <c r="C22" s="11">
        <f>January!C22-PriorDecember!C22</f>
        <v>-18</v>
      </c>
      <c r="D22" s="11">
        <f>January!D22-PriorDecember!D22</f>
        <v>6</v>
      </c>
      <c r="E22" s="11">
        <f>January!E22-PriorDecember!E22</f>
        <v>7</v>
      </c>
      <c r="F22" s="10">
        <f t="shared" si="0"/>
        <v>-6</v>
      </c>
    </row>
    <row r="23" spans="1:6" x14ac:dyDescent="0.25">
      <c r="A23" s="1" t="s">
        <v>20</v>
      </c>
      <c r="B23" s="11">
        <f>January!B23-PriorDecember!B23</f>
        <v>27</v>
      </c>
      <c r="C23" s="11">
        <f>January!C23-PriorDecember!C23</f>
        <v>-20</v>
      </c>
      <c r="D23" s="11">
        <f>January!D23-PriorDecember!D23</f>
        <v>3</v>
      </c>
      <c r="E23" s="11">
        <f>January!E23-PriorDecember!E23</f>
        <v>18</v>
      </c>
      <c r="F23" s="10">
        <f t="shared" si="0"/>
        <v>28</v>
      </c>
    </row>
    <row r="24" spans="1:6" x14ac:dyDescent="0.25">
      <c r="A24" s="1" t="s">
        <v>21</v>
      </c>
      <c r="B24" s="11">
        <f>January!B24-PriorDecember!B24</f>
        <v>26</v>
      </c>
      <c r="C24" s="11">
        <f>January!C24-PriorDecember!C24</f>
        <v>-12</v>
      </c>
      <c r="D24" s="11">
        <f>January!D24-PriorDecember!D24</f>
        <v>3</v>
      </c>
      <c r="E24" s="11">
        <f>January!E24-PriorDecember!E24</f>
        <v>14</v>
      </c>
      <c r="F24" s="10">
        <f t="shared" si="0"/>
        <v>31</v>
      </c>
    </row>
    <row r="25" spans="1:6" x14ac:dyDescent="0.25">
      <c r="A25" s="1" t="s">
        <v>22</v>
      </c>
      <c r="B25" s="11">
        <f>January!B25-PriorDecember!B25</f>
        <v>25</v>
      </c>
      <c r="C25" s="11">
        <f>January!C25-PriorDecember!C25</f>
        <v>-26</v>
      </c>
      <c r="D25" s="11">
        <f>January!D25-PriorDecember!D25</f>
        <v>5</v>
      </c>
      <c r="E25" s="11">
        <f>January!E25-PriorDecember!E25</f>
        <v>-4</v>
      </c>
      <c r="F25" s="10">
        <f t="shared" si="0"/>
        <v>0</v>
      </c>
    </row>
    <row r="26" spans="1:6" x14ac:dyDescent="0.25">
      <c r="A26" s="1" t="s">
        <v>23</v>
      </c>
      <c r="B26" s="11">
        <f>January!B26-PriorDecember!B26</f>
        <v>7</v>
      </c>
      <c r="C26" s="11">
        <f>January!C26-PriorDecember!C26</f>
        <v>-13</v>
      </c>
      <c r="D26" s="11">
        <f>January!D26-PriorDecember!D26</f>
        <v>5</v>
      </c>
      <c r="E26" s="11">
        <f>January!E26-PriorDecember!E26</f>
        <v>-1</v>
      </c>
      <c r="F26" s="10">
        <f t="shared" si="0"/>
        <v>-2</v>
      </c>
    </row>
    <row r="27" spans="1:6" x14ac:dyDescent="0.25">
      <c r="A27" s="1" t="s">
        <v>24</v>
      </c>
      <c r="B27" s="11">
        <f>January!B27-PriorDecember!B27</f>
        <v>27</v>
      </c>
      <c r="C27" s="11">
        <f>January!C27-PriorDecember!C27</f>
        <v>-6</v>
      </c>
      <c r="D27" s="11">
        <f>January!D27-PriorDecember!D27</f>
        <v>1</v>
      </c>
      <c r="E27" s="11">
        <f>January!E27-PriorDecember!E27</f>
        <v>9</v>
      </c>
      <c r="F27" s="10">
        <f t="shared" si="0"/>
        <v>31</v>
      </c>
    </row>
    <row r="28" spans="1:6" x14ac:dyDescent="0.25">
      <c r="A28" s="1" t="s">
        <v>25</v>
      </c>
      <c r="B28" s="11">
        <f>January!B28-PriorDecember!B28</f>
        <v>-2</v>
      </c>
      <c r="C28" s="11">
        <f>January!C28-PriorDecember!C28</f>
        <v>-4</v>
      </c>
      <c r="D28" s="11">
        <f>January!D28-PriorDecember!D28</f>
        <v>0</v>
      </c>
      <c r="E28" s="11">
        <f>January!E28-PriorDecember!E28</f>
        <v>14</v>
      </c>
      <c r="F28" s="10">
        <f t="shared" si="0"/>
        <v>8</v>
      </c>
    </row>
    <row r="29" spans="1:6" x14ac:dyDescent="0.25">
      <c r="A29" s="1" t="s">
        <v>26</v>
      </c>
      <c r="B29" s="11">
        <f>January!B29-PriorDecember!B29</f>
        <v>12</v>
      </c>
      <c r="C29" s="11">
        <f>January!C29-PriorDecember!C29</f>
        <v>-2</v>
      </c>
      <c r="D29" s="11">
        <f>January!D29-PriorDecember!D29</f>
        <v>4</v>
      </c>
      <c r="E29" s="11">
        <f>January!E29-PriorDecember!E29</f>
        <v>14</v>
      </c>
      <c r="F29" s="10">
        <f t="shared" si="0"/>
        <v>28</v>
      </c>
    </row>
    <row r="30" spans="1:6" x14ac:dyDescent="0.25">
      <c r="A30" s="1" t="s">
        <v>27</v>
      </c>
      <c r="B30" s="11">
        <f>January!B30-PriorDecember!B30</f>
        <v>-48</v>
      </c>
      <c r="C30" s="11">
        <f>January!C30-PriorDecember!C30</f>
        <v>-191</v>
      </c>
      <c r="D30" s="11">
        <f>January!D30-PriorDecember!D30</f>
        <v>62</v>
      </c>
      <c r="E30" s="11">
        <f>January!E30-PriorDecember!E30</f>
        <v>-12</v>
      </c>
      <c r="F30" s="10">
        <f t="shared" si="0"/>
        <v>-189</v>
      </c>
    </row>
    <row r="31" spans="1:6" x14ac:dyDescent="0.25">
      <c r="A31" s="1" t="s">
        <v>28</v>
      </c>
      <c r="B31" s="11">
        <f>January!B31-PriorDecember!B31</f>
        <v>-328</v>
      </c>
      <c r="C31" s="11">
        <f>January!C31-PriorDecember!C31</f>
        <v>-259</v>
      </c>
      <c r="D31" s="11">
        <f>January!D31-PriorDecember!D31</f>
        <v>1</v>
      </c>
      <c r="E31" s="11">
        <f>January!E31-PriorDecember!E31</f>
        <v>-118</v>
      </c>
      <c r="F31" s="10">
        <f t="shared" si="0"/>
        <v>-704</v>
      </c>
    </row>
    <row r="32" spans="1:6" x14ac:dyDescent="0.25">
      <c r="A32" s="1" t="s">
        <v>29</v>
      </c>
      <c r="B32" s="11">
        <f>January!B32-PriorDecember!B32</f>
        <v>824</v>
      </c>
      <c r="C32" s="11">
        <f>January!C32-PriorDecember!C32</f>
        <v>1040</v>
      </c>
      <c r="D32" s="11">
        <f>January!D32-PriorDecember!D32</f>
        <v>223</v>
      </c>
      <c r="E32" s="11">
        <f>January!E32-PriorDecember!E32</f>
        <v>1705</v>
      </c>
      <c r="F32" s="10">
        <f t="shared" si="0"/>
        <v>3792</v>
      </c>
    </row>
    <row r="33" spans="1:6" x14ac:dyDescent="0.25">
      <c r="A33" s="1" t="s">
        <v>30</v>
      </c>
      <c r="B33" s="11">
        <f>January!B33-PriorDecember!B33</f>
        <v>9</v>
      </c>
      <c r="C33" s="11">
        <f>January!C33-PriorDecember!C33</f>
        <v>-13</v>
      </c>
      <c r="D33" s="11">
        <f>January!D33-PriorDecember!D33</f>
        <v>-1</v>
      </c>
      <c r="E33" s="11">
        <f>January!E33-PriorDecember!E33</f>
        <v>8</v>
      </c>
      <c r="F33" s="10">
        <f t="shared" si="0"/>
        <v>3</v>
      </c>
    </row>
    <row r="34" spans="1:6" x14ac:dyDescent="0.25">
      <c r="A34" s="1" t="s">
        <v>31</v>
      </c>
      <c r="B34" s="11">
        <f>January!B34-PriorDecember!B34</f>
        <v>143</v>
      </c>
      <c r="C34" s="11">
        <f>January!C34-PriorDecember!C34</f>
        <v>59</v>
      </c>
      <c r="D34" s="11">
        <f>January!D34-PriorDecember!D34</f>
        <v>51</v>
      </c>
      <c r="E34" s="11">
        <f>January!E34-PriorDecember!E34</f>
        <v>128</v>
      </c>
      <c r="F34" s="10">
        <f t="shared" si="0"/>
        <v>381</v>
      </c>
    </row>
    <row r="35" spans="1:6" x14ac:dyDescent="0.25">
      <c r="A35" s="1" t="s">
        <v>32</v>
      </c>
      <c r="B35" s="11">
        <f>January!B35-PriorDecember!B35</f>
        <v>49</v>
      </c>
      <c r="C35" s="11">
        <f>January!C35-PriorDecember!C35</f>
        <v>-51</v>
      </c>
      <c r="D35" s="11">
        <f>January!D35-PriorDecember!D35</f>
        <v>1</v>
      </c>
      <c r="E35" s="11">
        <f>January!E35-PriorDecember!E35</f>
        <v>19</v>
      </c>
      <c r="F35" s="10">
        <f t="shared" si="0"/>
        <v>18</v>
      </c>
    </row>
    <row r="36" spans="1:6" x14ac:dyDescent="0.25">
      <c r="A36" s="1" t="s">
        <v>33</v>
      </c>
      <c r="B36" s="11">
        <f>January!B36-PriorDecember!B36</f>
        <v>28</v>
      </c>
      <c r="C36" s="11">
        <f>January!C36-PriorDecember!C36</f>
        <v>-29</v>
      </c>
      <c r="D36" s="11">
        <f>January!D36-PriorDecember!D36</f>
        <v>1</v>
      </c>
      <c r="E36" s="11">
        <f>January!E36-PriorDecember!E36</f>
        <v>14</v>
      </c>
      <c r="F36" s="10">
        <f t="shared" si="0"/>
        <v>14</v>
      </c>
    </row>
    <row r="37" spans="1:6" x14ac:dyDescent="0.25">
      <c r="A37" s="1" t="s">
        <v>34</v>
      </c>
      <c r="B37" s="11">
        <f>January!B37-PriorDecember!B37</f>
        <v>6</v>
      </c>
      <c r="C37" s="11">
        <f>January!C37-PriorDecember!C37</f>
        <v>-9</v>
      </c>
      <c r="D37" s="11">
        <f>January!D37-PriorDecember!D37</f>
        <v>0</v>
      </c>
      <c r="E37" s="11">
        <f>January!E37-PriorDecember!E37</f>
        <v>1</v>
      </c>
      <c r="F37" s="10">
        <f t="shared" si="0"/>
        <v>-2</v>
      </c>
    </row>
    <row r="38" spans="1:6" x14ac:dyDescent="0.25">
      <c r="A38" s="1" t="s">
        <v>35</v>
      </c>
      <c r="B38" s="11">
        <f>January!B38-PriorDecember!B38</f>
        <v>378</v>
      </c>
      <c r="C38" s="11">
        <f>January!C38-PriorDecember!C38</f>
        <v>263</v>
      </c>
      <c r="D38" s="11">
        <f>January!D38-PriorDecember!D38</f>
        <v>32</v>
      </c>
      <c r="E38" s="11">
        <f>January!E38-PriorDecember!E38</f>
        <v>382</v>
      </c>
      <c r="F38" s="10">
        <f t="shared" si="0"/>
        <v>1055</v>
      </c>
    </row>
    <row r="39" spans="1:6" x14ac:dyDescent="0.25">
      <c r="A39" s="1" t="s">
        <v>36</v>
      </c>
      <c r="B39" s="11">
        <f>January!B39-PriorDecember!B39</f>
        <v>632</v>
      </c>
      <c r="C39" s="11">
        <f>January!C39-PriorDecember!C39</f>
        <v>470</v>
      </c>
      <c r="D39" s="11">
        <f>January!D39-PriorDecember!D39</f>
        <v>119</v>
      </c>
      <c r="E39" s="11">
        <f>January!E39-PriorDecember!E39</f>
        <v>1199</v>
      </c>
      <c r="F39" s="10">
        <f t="shared" si="0"/>
        <v>2420</v>
      </c>
    </row>
    <row r="40" spans="1:6" x14ac:dyDescent="0.25">
      <c r="A40" s="1" t="s">
        <v>37</v>
      </c>
      <c r="B40" s="11">
        <f>January!B40-PriorDecember!B40</f>
        <v>12</v>
      </c>
      <c r="C40" s="11">
        <f>January!C40-PriorDecember!C40</f>
        <v>-177</v>
      </c>
      <c r="D40" s="11">
        <f>January!D40-PriorDecember!D40</f>
        <v>34</v>
      </c>
      <c r="E40" s="11">
        <f>January!E40-PriorDecember!E40</f>
        <v>15</v>
      </c>
      <c r="F40" s="10">
        <f t="shared" si="0"/>
        <v>-116</v>
      </c>
    </row>
    <row r="41" spans="1:6" x14ac:dyDescent="0.25">
      <c r="A41" s="1" t="s">
        <v>38</v>
      </c>
      <c r="B41" s="11">
        <f>January!B41-PriorDecember!B41</f>
        <v>29</v>
      </c>
      <c r="C41" s="11">
        <f>January!C41-PriorDecember!C41</f>
        <v>1</v>
      </c>
      <c r="D41" s="11">
        <f>January!D41-PriorDecember!D41</f>
        <v>6</v>
      </c>
      <c r="E41" s="11">
        <f>January!E41-PriorDecember!E41</f>
        <v>31</v>
      </c>
      <c r="F41" s="10">
        <f t="shared" si="0"/>
        <v>67</v>
      </c>
    </row>
    <row r="42" spans="1:6" x14ac:dyDescent="0.25">
      <c r="A42" s="1" t="s">
        <v>39</v>
      </c>
      <c r="B42" s="11">
        <f>January!B42-PriorDecember!B42</f>
        <v>7</v>
      </c>
      <c r="C42" s="11">
        <f>January!C42-PriorDecember!C42</f>
        <v>-23</v>
      </c>
      <c r="D42" s="11">
        <f>January!D42-PriorDecember!D42</f>
        <v>0</v>
      </c>
      <c r="E42" s="11">
        <f>January!E42-PriorDecember!E42</f>
        <v>0</v>
      </c>
      <c r="F42" s="10">
        <f t="shared" si="0"/>
        <v>-16</v>
      </c>
    </row>
    <row r="43" spans="1:6" x14ac:dyDescent="0.25">
      <c r="A43" s="1" t="s">
        <v>40</v>
      </c>
      <c r="B43" s="11">
        <f>January!B43-PriorDecember!B43</f>
        <v>18</v>
      </c>
      <c r="C43" s="11">
        <f>January!C43-PriorDecember!C43</f>
        <v>-25</v>
      </c>
      <c r="D43" s="11">
        <f>January!D43-PriorDecember!D43</f>
        <v>2</v>
      </c>
      <c r="E43" s="11">
        <f>January!E43-PriorDecember!E43</f>
        <v>10</v>
      </c>
      <c r="F43" s="10">
        <f t="shared" si="0"/>
        <v>5</v>
      </c>
    </row>
    <row r="44" spans="1:6" x14ac:dyDescent="0.25">
      <c r="A44" s="1" t="s">
        <v>41</v>
      </c>
      <c r="B44" s="11">
        <f>January!B44-PriorDecember!B44</f>
        <v>294</v>
      </c>
      <c r="C44" s="11">
        <f>January!C44-PriorDecember!C44</f>
        <v>194</v>
      </c>
      <c r="D44" s="11">
        <f>January!D44-PriorDecember!D44</f>
        <v>43</v>
      </c>
      <c r="E44" s="11">
        <f>January!E44-PriorDecember!E44</f>
        <v>226</v>
      </c>
      <c r="F44" s="10">
        <f t="shared" si="0"/>
        <v>757</v>
      </c>
    </row>
    <row r="45" spans="1:6" x14ac:dyDescent="0.25">
      <c r="A45" s="1" t="s">
        <v>42</v>
      </c>
      <c r="B45" s="11">
        <f>January!B45-PriorDecember!B45</f>
        <v>209</v>
      </c>
      <c r="C45" s="11">
        <f>January!C45-PriorDecember!C45</f>
        <v>81</v>
      </c>
      <c r="D45" s="11">
        <f>January!D45-PriorDecember!D45</f>
        <v>43</v>
      </c>
      <c r="E45" s="11">
        <f>January!E45-PriorDecember!E45</f>
        <v>235</v>
      </c>
      <c r="F45" s="10">
        <f t="shared" si="0"/>
        <v>568</v>
      </c>
    </row>
    <row r="46" spans="1:6" x14ac:dyDescent="0.25">
      <c r="A46" s="1" t="s">
        <v>43</v>
      </c>
      <c r="B46" s="11">
        <f>January!B46-PriorDecember!B46</f>
        <v>24</v>
      </c>
      <c r="C46" s="11">
        <f>January!C46-PriorDecember!C46</f>
        <v>29</v>
      </c>
      <c r="D46" s="11">
        <f>January!D46-PriorDecember!D46</f>
        <v>52</v>
      </c>
      <c r="E46" s="11">
        <f>January!E46-PriorDecember!E46</f>
        <v>131</v>
      </c>
      <c r="F46" s="10">
        <f t="shared" si="0"/>
        <v>236</v>
      </c>
    </row>
    <row r="47" spans="1:6" x14ac:dyDescent="0.25">
      <c r="A47" s="1" t="s">
        <v>44</v>
      </c>
      <c r="B47" s="11">
        <f>January!B47-PriorDecember!B47</f>
        <v>-279</v>
      </c>
      <c r="C47" s="11">
        <f>January!C47-PriorDecember!C47</f>
        <v>36</v>
      </c>
      <c r="D47" s="11">
        <f>January!D47-PriorDecember!D47</f>
        <v>141</v>
      </c>
      <c r="E47" s="11">
        <f>January!E47-PriorDecember!E47</f>
        <v>938</v>
      </c>
      <c r="F47" s="10">
        <f t="shared" si="0"/>
        <v>836</v>
      </c>
    </row>
    <row r="48" spans="1:6" x14ac:dyDescent="0.25">
      <c r="A48" s="1" t="s">
        <v>45</v>
      </c>
      <c r="B48" s="11">
        <f>January!B48-PriorDecember!B48</f>
        <v>-109</v>
      </c>
      <c r="C48" s="11">
        <f>January!C48-PriorDecember!C48</f>
        <v>-246</v>
      </c>
      <c r="D48" s="11">
        <f>January!D48-PriorDecember!D48</f>
        <v>15</v>
      </c>
      <c r="E48" s="11">
        <f>January!E48-PriorDecember!E48</f>
        <v>-214</v>
      </c>
      <c r="F48" s="10">
        <f t="shared" si="0"/>
        <v>-554</v>
      </c>
    </row>
    <row r="49" spans="1:6" x14ac:dyDescent="0.25">
      <c r="A49" s="1" t="s">
        <v>46</v>
      </c>
      <c r="B49" s="11">
        <f>January!B49-PriorDecember!B49</f>
        <v>-46</v>
      </c>
      <c r="C49" s="11">
        <f>January!C49-PriorDecember!C49</f>
        <v>-36</v>
      </c>
      <c r="D49" s="11">
        <f>January!D49-PriorDecember!D49</f>
        <v>28</v>
      </c>
      <c r="E49" s="11">
        <f>January!E49-PriorDecember!E49</f>
        <v>-1</v>
      </c>
      <c r="F49" s="10">
        <f t="shared" si="0"/>
        <v>-55</v>
      </c>
    </row>
    <row r="50" spans="1:6" x14ac:dyDescent="0.25">
      <c r="A50" s="1" t="s">
        <v>47</v>
      </c>
      <c r="B50" s="11">
        <f>January!B50-PriorDecember!B50</f>
        <v>44</v>
      </c>
      <c r="C50" s="11">
        <f>January!C50-PriorDecember!C50</f>
        <v>21</v>
      </c>
      <c r="D50" s="11">
        <f>January!D50-PriorDecember!D50</f>
        <v>39</v>
      </c>
      <c r="E50" s="11">
        <f>January!E50-PriorDecember!E50</f>
        <v>154</v>
      </c>
      <c r="F50" s="10">
        <f t="shared" si="0"/>
        <v>258</v>
      </c>
    </row>
    <row r="51" spans="1:6" x14ac:dyDescent="0.25">
      <c r="A51" s="1" t="s">
        <v>48</v>
      </c>
      <c r="B51" s="11">
        <f>January!B51-PriorDecember!B51</f>
        <v>31</v>
      </c>
      <c r="C51" s="11">
        <f>January!C51-PriorDecember!C51</f>
        <v>-12</v>
      </c>
      <c r="D51" s="11">
        <f>January!D51-PriorDecember!D51</f>
        <v>5</v>
      </c>
      <c r="E51" s="11">
        <f>January!E51-PriorDecember!E51</f>
        <v>1</v>
      </c>
      <c r="F51" s="10">
        <f t="shared" si="0"/>
        <v>25</v>
      </c>
    </row>
    <row r="52" spans="1:6" x14ac:dyDescent="0.25">
      <c r="A52" s="1" t="s">
        <v>49</v>
      </c>
      <c r="B52" s="11">
        <f>January!B52-PriorDecember!B52</f>
        <v>267</v>
      </c>
      <c r="C52" s="11">
        <f>January!C52-PriorDecember!C52</f>
        <v>1092</v>
      </c>
      <c r="D52" s="11">
        <f>January!D52-PriorDecember!D52</f>
        <v>236</v>
      </c>
      <c r="E52" s="11">
        <f>January!E52-PriorDecember!E52</f>
        <v>1551</v>
      </c>
      <c r="F52" s="10">
        <f t="shared" si="0"/>
        <v>3146</v>
      </c>
    </row>
    <row r="53" spans="1:6" x14ac:dyDescent="0.25">
      <c r="A53" s="1" t="s">
        <v>50</v>
      </c>
      <c r="B53" s="11">
        <f>January!B53-PriorDecember!B53</f>
        <v>248</v>
      </c>
      <c r="C53" s="11">
        <f>January!C53-PriorDecember!C53</f>
        <v>609</v>
      </c>
      <c r="D53" s="11">
        <f>January!D53-PriorDecember!D53</f>
        <v>11</v>
      </c>
      <c r="E53" s="11">
        <f>January!E53-PriorDecember!E53</f>
        <v>981</v>
      </c>
      <c r="F53" s="10">
        <f t="shared" si="0"/>
        <v>1849</v>
      </c>
    </row>
    <row r="54" spans="1:6" x14ac:dyDescent="0.25">
      <c r="A54" s="1" t="s">
        <v>51</v>
      </c>
      <c r="B54" s="11">
        <f>January!B54-PriorDecember!B54</f>
        <v>300</v>
      </c>
      <c r="C54" s="11">
        <f>January!C54-PriorDecember!C54</f>
        <v>312</v>
      </c>
      <c r="D54" s="11">
        <f>January!D54-PriorDecember!D54</f>
        <v>426</v>
      </c>
      <c r="E54" s="11">
        <f>January!E54-PriorDecember!E54</f>
        <v>660</v>
      </c>
      <c r="F54" s="10">
        <f t="shared" si="0"/>
        <v>1698</v>
      </c>
    </row>
    <row r="55" spans="1:6" x14ac:dyDescent="0.25">
      <c r="A55" s="1" t="s">
        <v>52</v>
      </c>
      <c r="B55" s="11">
        <f>January!B55-PriorDecember!B55</f>
        <v>-467</v>
      </c>
      <c r="C55" s="11">
        <f>January!C55-PriorDecember!C55</f>
        <v>-550</v>
      </c>
      <c r="D55" s="11">
        <f>January!D55-PriorDecember!D55</f>
        <v>117</v>
      </c>
      <c r="E55" s="11">
        <f>January!E55-PriorDecember!E55</f>
        <v>-120</v>
      </c>
      <c r="F55" s="10">
        <f t="shared" si="0"/>
        <v>-1020</v>
      </c>
    </row>
    <row r="56" spans="1:6" x14ac:dyDescent="0.25">
      <c r="A56" s="1" t="s">
        <v>53</v>
      </c>
      <c r="B56" s="11">
        <f>January!B56-PriorDecember!B56</f>
        <v>373</v>
      </c>
      <c r="C56" s="11">
        <f>January!C56-PriorDecember!C56</f>
        <v>344</v>
      </c>
      <c r="D56" s="11">
        <f>January!D56-PriorDecember!D56</f>
        <v>203</v>
      </c>
      <c r="E56" s="11">
        <f>January!E56-PriorDecember!E56</f>
        <v>839</v>
      </c>
      <c r="F56" s="10">
        <f t="shared" si="0"/>
        <v>1759</v>
      </c>
    </row>
    <row r="57" spans="1:6" x14ac:dyDescent="0.25">
      <c r="A57" s="1" t="s">
        <v>54</v>
      </c>
      <c r="B57" s="11">
        <f>January!B57-PriorDecember!B57</f>
        <v>-818</v>
      </c>
      <c r="C57" s="11">
        <f>January!C57-PriorDecember!C57</f>
        <v>-926</v>
      </c>
      <c r="D57" s="11">
        <f>January!D57-PriorDecember!D57</f>
        <v>25</v>
      </c>
      <c r="E57" s="11">
        <f>January!E57-PriorDecember!E57</f>
        <v>-138</v>
      </c>
      <c r="F57" s="10">
        <f t="shared" si="0"/>
        <v>-1857</v>
      </c>
    </row>
    <row r="58" spans="1:6" x14ac:dyDescent="0.25">
      <c r="A58" s="1" t="s">
        <v>55</v>
      </c>
      <c r="B58" s="11">
        <f>January!B58-PriorDecember!B58</f>
        <v>116</v>
      </c>
      <c r="C58" s="11">
        <f>January!C58-PriorDecember!C58</f>
        <v>-51</v>
      </c>
      <c r="D58" s="11">
        <f>January!D58-PriorDecember!D58</f>
        <v>15</v>
      </c>
      <c r="E58" s="11">
        <f>January!E58-PriorDecember!E58</f>
        <v>56</v>
      </c>
      <c r="F58" s="10">
        <f t="shared" si="0"/>
        <v>136</v>
      </c>
    </row>
    <row r="59" spans="1:6" x14ac:dyDescent="0.25">
      <c r="A59" s="1" t="s">
        <v>56</v>
      </c>
      <c r="B59" s="11">
        <f>January!B59-PriorDecember!B59</f>
        <v>382</v>
      </c>
      <c r="C59" s="11">
        <f>January!C59-PriorDecember!C59</f>
        <v>42</v>
      </c>
      <c r="D59" s="11">
        <f>January!D59-PriorDecember!D59</f>
        <v>74</v>
      </c>
      <c r="E59" s="11">
        <f>January!E59-PriorDecember!E59</f>
        <v>166</v>
      </c>
      <c r="F59" s="10">
        <f t="shared" si="0"/>
        <v>664</v>
      </c>
    </row>
    <row r="60" spans="1:6" x14ac:dyDescent="0.25">
      <c r="A60" s="1" t="s">
        <v>57</v>
      </c>
      <c r="B60" s="11">
        <f>January!B60-PriorDecember!B60</f>
        <v>447</v>
      </c>
      <c r="C60" s="11">
        <f>January!C60-PriorDecember!C60</f>
        <v>332</v>
      </c>
      <c r="D60" s="11">
        <f>January!D60-PriorDecember!D60</f>
        <v>89</v>
      </c>
      <c r="E60" s="11">
        <f>January!E60-PriorDecember!E60</f>
        <v>411</v>
      </c>
      <c r="F60" s="10">
        <f t="shared" si="0"/>
        <v>1279</v>
      </c>
    </row>
    <row r="61" spans="1:6" x14ac:dyDescent="0.25">
      <c r="A61" s="1" t="s">
        <v>58</v>
      </c>
      <c r="B61" s="11">
        <f>January!B61-PriorDecember!B61</f>
        <v>-167</v>
      </c>
      <c r="C61" s="11">
        <f>January!C61-PriorDecember!C61</f>
        <v>-32</v>
      </c>
      <c r="D61" s="11">
        <f>January!D61-PriorDecember!D61</f>
        <v>68</v>
      </c>
      <c r="E61" s="11">
        <f>January!E61-PriorDecember!E61</f>
        <v>201</v>
      </c>
      <c r="F61" s="10">
        <f t="shared" si="0"/>
        <v>70</v>
      </c>
    </row>
    <row r="62" spans="1:6" x14ac:dyDescent="0.25">
      <c r="A62" s="1" t="s">
        <v>59</v>
      </c>
      <c r="B62" s="11">
        <f>January!B62-PriorDecember!B62</f>
        <v>396</v>
      </c>
      <c r="C62" s="11">
        <f>January!C62-PriorDecember!C62</f>
        <v>234</v>
      </c>
      <c r="D62" s="11">
        <f>January!D62-PriorDecember!D62</f>
        <v>62</v>
      </c>
      <c r="E62" s="11">
        <f>January!E62-PriorDecember!E62</f>
        <v>279</v>
      </c>
      <c r="F62" s="10">
        <f t="shared" si="0"/>
        <v>971</v>
      </c>
    </row>
    <row r="63" spans="1:6" x14ac:dyDescent="0.25">
      <c r="A63" s="1" t="s">
        <v>60</v>
      </c>
      <c r="B63" s="11">
        <f>January!B63-PriorDecember!B63</f>
        <v>183</v>
      </c>
      <c r="C63" s="11">
        <f>January!C63-PriorDecember!C63</f>
        <v>224</v>
      </c>
      <c r="D63" s="11">
        <f>January!D63-PriorDecember!D63</f>
        <v>53</v>
      </c>
      <c r="E63" s="11">
        <f>January!E63-PriorDecember!E63</f>
        <v>254</v>
      </c>
      <c r="F63" s="10">
        <f t="shared" si="0"/>
        <v>714</v>
      </c>
    </row>
    <row r="64" spans="1:6" x14ac:dyDescent="0.25">
      <c r="A64" s="1" t="s">
        <v>61</v>
      </c>
      <c r="B64" s="11">
        <f>January!B64-PriorDecember!B64</f>
        <v>164</v>
      </c>
      <c r="C64" s="11">
        <f>January!C64-PriorDecember!C64</f>
        <v>72</v>
      </c>
      <c r="D64" s="11">
        <f>January!D64-PriorDecember!D64</f>
        <v>19</v>
      </c>
      <c r="E64" s="11">
        <f>January!E64-PriorDecember!E64</f>
        <v>93</v>
      </c>
      <c r="F64" s="10">
        <f t="shared" si="0"/>
        <v>348</v>
      </c>
    </row>
    <row r="65" spans="1:6" x14ac:dyDescent="0.25">
      <c r="A65" s="1" t="s">
        <v>62</v>
      </c>
      <c r="B65" s="11">
        <f>January!B65-PriorDecember!B65</f>
        <v>23</v>
      </c>
      <c r="C65" s="11">
        <f>January!C65-PriorDecember!C65</f>
        <v>-44</v>
      </c>
      <c r="D65" s="11">
        <f>January!D65-PriorDecember!D65</f>
        <v>9</v>
      </c>
      <c r="E65" s="11">
        <f>January!E65-PriorDecember!E65</f>
        <v>15</v>
      </c>
      <c r="F65" s="10">
        <f t="shared" si="0"/>
        <v>3</v>
      </c>
    </row>
    <row r="66" spans="1:6" x14ac:dyDescent="0.25">
      <c r="A66" s="1" t="s">
        <v>63</v>
      </c>
      <c r="B66" s="11">
        <f>January!B66-PriorDecember!B66</f>
        <v>22</v>
      </c>
      <c r="C66" s="11">
        <f>January!C66-PriorDecember!C66</f>
        <v>-12</v>
      </c>
      <c r="D66" s="11">
        <f>January!D66-PriorDecember!D66</f>
        <v>-21</v>
      </c>
      <c r="E66" s="11">
        <f>January!E66-PriorDecember!E66</f>
        <v>39</v>
      </c>
      <c r="F66" s="10">
        <f t="shared" si="0"/>
        <v>28</v>
      </c>
    </row>
    <row r="67" spans="1:6" x14ac:dyDescent="0.25">
      <c r="A67" s="1" t="s">
        <v>64</v>
      </c>
      <c r="B67" s="11">
        <f>January!B67-PriorDecember!B67</f>
        <v>-2</v>
      </c>
      <c r="C67" s="11">
        <f>January!C67-PriorDecember!C67</f>
        <v>-11</v>
      </c>
      <c r="D67" s="11">
        <f>January!D67-PriorDecember!D67</f>
        <v>0</v>
      </c>
      <c r="E67" s="11">
        <f>January!E67-PriorDecember!E67</f>
        <v>-4</v>
      </c>
      <c r="F67" s="10">
        <f t="shared" si="0"/>
        <v>-17</v>
      </c>
    </row>
    <row r="68" spans="1:6" x14ac:dyDescent="0.25">
      <c r="A68" s="1" t="s">
        <v>65</v>
      </c>
      <c r="B68" s="11">
        <f>January!B68-PriorDecember!B68</f>
        <v>374</v>
      </c>
      <c r="C68" s="11">
        <f>January!C68-PriorDecember!C68</f>
        <v>154</v>
      </c>
      <c r="D68" s="11">
        <f>January!D68-PriorDecember!D68</f>
        <v>107</v>
      </c>
      <c r="E68" s="11">
        <f>January!E68-PriorDecember!E68</f>
        <v>465</v>
      </c>
      <c r="F68" s="10">
        <f t="shared" si="0"/>
        <v>1100</v>
      </c>
    </row>
    <row r="69" spans="1:6" x14ac:dyDescent="0.25">
      <c r="A69" s="1" t="s">
        <v>66</v>
      </c>
      <c r="B69" s="11">
        <f>January!B69-PriorDecember!B69</f>
        <v>22</v>
      </c>
      <c r="C69" s="11">
        <f>January!C69-PriorDecember!C69</f>
        <v>-21</v>
      </c>
      <c r="D69" s="11">
        <f>January!D69-PriorDecember!D69</f>
        <v>6</v>
      </c>
      <c r="E69" s="11">
        <f>January!E69-PriorDecember!E69</f>
        <v>19</v>
      </c>
      <c r="F69" s="10">
        <f t="shared" si="0"/>
        <v>26</v>
      </c>
    </row>
    <row r="70" spans="1:6" x14ac:dyDescent="0.25">
      <c r="A70" s="1" t="s">
        <v>67</v>
      </c>
      <c r="B70" s="11">
        <f>January!B70-PriorDecember!B70</f>
        <v>62</v>
      </c>
      <c r="C70" s="11">
        <f>January!C70-PriorDecember!C70</f>
        <v>-12</v>
      </c>
      <c r="D70" s="11">
        <f>January!D70-PriorDecember!D70</f>
        <v>20</v>
      </c>
      <c r="E70" s="11">
        <f>January!E70-PriorDecember!E70</f>
        <v>37</v>
      </c>
      <c r="F70" s="10">
        <f t="shared" ref="F70:F71" si="1">SUM(B70:E70)</f>
        <v>107</v>
      </c>
    </row>
    <row r="71" spans="1:6" ht="15.75" thickBot="1" x14ac:dyDescent="0.3">
      <c r="A71" s="1" t="s">
        <v>68</v>
      </c>
      <c r="B71" s="11">
        <f>January!B71-PriorDecember!B71</f>
        <v>37</v>
      </c>
      <c r="C71" s="11">
        <f>January!C71-PriorDecember!C71</f>
        <v>-22</v>
      </c>
      <c r="D71" s="11">
        <f>January!D71-PriorDecember!D71</f>
        <v>4</v>
      </c>
      <c r="E71" s="11">
        <f>January!E71-PriorDecember!E71</f>
        <v>13</v>
      </c>
      <c r="F71" s="10">
        <f t="shared" si="1"/>
        <v>32</v>
      </c>
    </row>
    <row r="72" spans="1:6" ht="16.5" thickTop="1" thickBot="1" x14ac:dyDescent="0.3">
      <c r="A72" s="3" t="s">
        <v>1</v>
      </c>
      <c r="B72" s="8">
        <f>SUM(B5:B71)</f>
        <v>5848</v>
      </c>
      <c r="C72" s="8">
        <f>SUM(C5:C71)</f>
        <v>2959</v>
      </c>
      <c r="D72" s="8">
        <f>SUM(D5:D71)</f>
        <v>3358</v>
      </c>
      <c r="E72" s="8">
        <f>SUM(E5:E71)</f>
        <v>13730</v>
      </c>
      <c r="F72" s="8">
        <f>SUM(F5:F71)</f>
        <v>25895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opLeftCell="A33" workbookViewId="0">
      <selection activeCell="B5" sqref="B5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x14ac:dyDescent="0.3">
      <c r="A1" s="14" t="s">
        <v>87</v>
      </c>
      <c r="B1" s="15"/>
      <c r="C1" s="15"/>
      <c r="D1" s="15"/>
      <c r="E1" s="15"/>
      <c r="F1" s="16"/>
    </row>
    <row r="2" spans="1:6" x14ac:dyDescent="0.25">
      <c r="A2" s="17" t="s">
        <v>110</v>
      </c>
      <c r="B2" s="18"/>
      <c r="C2" s="18"/>
      <c r="D2" s="18"/>
      <c r="E2" s="18"/>
      <c r="F2" s="19"/>
    </row>
    <row r="3" spans="1:6" x14ac:dyDescent="0.25">
      <c r="A3" s="20" t="s">
        <v>73</v>
      </c>
      <c r="B3" s="21"/>
      <c r="C3" s="21"/>
      <c r="D3" s="21"/>
      <c r="E3" s="21"/>
      <c r="F3" s="22"/>
    </row>
    <row r="4" spans="1:6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11">
        <f>February!B5-January!B5</f>
        <v>32</v>
      </c>
      <c r="C5" s="11">
        <f>February!C5-January!C5</f>
        <v>159</v>
      </c>
      <c r="D5" s="11">
        <f>February!D5-January!D5</f>
        <v>15</v>
      </c>
      <c r="E5" s="11">
        <f>February!E5-January!E5</f>
        <v>142</v>
      </c>
      <c r="F5" s="10">
        <f>SUM(B5:E5)</f>
        <v>348</v>
      </c>
    </row>
    <row r="6" spans="1:6" x14ac:dyDescent="0.25">
      <c r="A6" s="1" t="s">
        <v>3</v>
      </c>
      <c r="B6" s="11">
        <f>February!B6-January!B6</f>
        <v>-71</v>
      </c>
      <c r="C6" s="11">
        <f>February!C6-January!C6</f>
        <v>-51</v>
      </c>
      <c r="D6" s="11">
        <f>February!D6-January!D6</f>
        <v>1</v>
      </c>
      <c r="E6" s="11">
        <f>February!E6-January!E6</f>
        <v>-26</v>
      </c>
      <c r="F6" s="10">
        <f t="shared" ref="F6:F69" si="0">SUM(B6:E6)</f>
        <v>-147</v>
      </c>
    </row>
    <row r="7" spans="1:6" x14ac:dyDescent="0.25">
      <c r="A7" s="1" t="s">
        <v>4</v>
      </c>
      <c r="B7" s="11">
        <f>February!B7-January!B7</f>
        <v>185</v>
      </c>
      <c r="C7" s="11">
        <f>February!C7-January!C7</f>
        <v>62</v>
      </c>
      <c r="D7" s="11">
        <f>February!D7-January!D7</f>
        <v>31</v>
      </c>
      <c r="E7" s="11">
        <f>February!E7-January!E7</f>
        <v>182</v>
      </c>
      <c r="F7" s="10">
        <f t="shared" si="0"/>
        <v>460</v>
      </c>
    </row>
    <row r="8" spans="1:6" x14ac:dyDescent="0.25">
      <c r="A8" s="1" t="s">
        <v>5</v>
      </c>
      <c r="B8" s="11">
        <f>February!B8-January!B8</f>
        <v>35</v>
      </c>
      <c r="C8" s="11">
        <f>February!C8-January!C8</f>
        <v>-8</v>
      </c>
      <c r="D8" s="11">
        <f>February!D8-January!D8</f>
        <v>1</v>
      </c>
      <c r="E8" s="11">
        <f>February!E8-January!E8</f>
        <v>19</v>
      </c>
      <c r="F8" s="10">
        <f t="shared" si="0"/>
        <v>47</v>
      </c>
    </row>
    <row r="9" spans="1:6" x14ac:dyDescent="0.25">
      <c r="A9" s="1" t="s">
        <v>6</v>
      </c>
      <c r="B9" s="11">
        <f>February!B9-January!B9</f>
        <v>231</v>
      </c>
      <c r="C9" s="11">
        <f>February!C9-January!C9</f>
        <v>158</v>
      </c>
      <c r="D9" s="11">
        <f>February!D9-January!D9</f>
        <v>115</v>
      </c>
      <c r="E9" s="11">
        <f>February!E9-January!E9</f>
        <v>362</v>
      </c>
      <c r="F9" s="10">
        <f t="shared" si="0"/>
        <v>866</v>
      </c>
    </row>
    <row r="10" spans="1:6" x14ac:dyDescent="0.25">
      <c r="A10" s="1" t="s">
        <v>7</v>
      </c>
      <c r="B10" s="11">
        <f>February!B10-January!B10</f>
        <v>-74</v>
      </c>
      <c r="C10" s="11">
        <f>February!C10-January!C10</f>
        <v>-43</v>
      </c>
      <c r="D10" s="11">
        <f>February!D10-January!D10</f>
        <v>267</v>
      </c>
      <c r="E10" s="11">
        <f>February!E10-January!E10</f>
        <v>717</v>
      </c>
      <c r="F10" s="10">
        <f t="shared" si="0"/>
        <v>867</v>
      </c>
    </row>
    <row r="11" spans="1:6" x14ac:dyDescent="0.25">
      <c r="A11" s="1" t="s">
        <v>8</v>
      </c>
      <c r="B11" s="11">
        <f>February!B11-January!B11</f>
        <v>-3</v>
      </c>
      <c r="C11" s="11">
        <f>February!C11-January!C11</f>
        <v>-10</v>
      </c>
      <c r="D11" s="11">
        <f>February!D11-January!D11</f>
        <v>1</v>
      </c>
      <c r="E11" s="11">
        <f>February!E11-January!E11</f>
        <v>0</v>
      </c>
      <c r="F11" s="10">
        <f t="shared" si="0"/>
        <v>-12</v>
      </c>
    </row>
    <row r="12" spans="1:6" x14ac:dyDescent="0.25">
      <c r="A12" s="1" t="s">
        <v>9</v>
      </c>
      <c r="B12" s="11">
        <f>February!B12-January!B12</f>
        <v>218</v>
      </c>
      <c r="C12" s="11">
        <f>February!C12-January!C12</f>
        <v>79</v>
      </c>
      <c r="D12" s="11">
        <f>February!D12-January!D12</f>
        <v>29</v>
      </c>
      <c r="E12" s="11">
        <f>February!E12-January!E12</f>
        <v>171</v>
      </c>
      <c r="F12" s="10">
        <f t="shared" si="0"/>
        <v>497</v>
      </c>
    </row>
    <row r="13" spans="1:6" x14ac:dyDescent="0.25">
      <c r="A13" s="1" t="s">
        <v>10</v>
      </c>
      <c r="B13" s="11">
        <f>February!B13-January!B13</f>
        <v>269</v>
      </c>
      <c r="C13" s="11">
        <f>February!C13-January!C13</f>
        <v>85</v>
      </c>
      <c r="D13" s="11">
        <f>February!D13-January!D13</f>
        <v>38</v>
      </c>
      <c r="E13" s="11">
        <f>February!E13-January!E13</f>
        <v>151</v>
      </c>
      <c r="F13" s="10">
        <f t="shared" si="0"/>
        <v>543</v>
      </c>
    </row>
    <row r="14" spans="1:6" x14ac:dyDescent="0.25">
      <c r="A14" s="1" t="s">
        <v>11</v>
      </c>
      <c r="B14" s="11">
        <f>February!B14-January!B14</f>
        <v>34</v>
      </c>
      <c r="C14" s="11">
        <f>February!C14-January!C14</f>
        <v>85</v>
      </c>
      <c r="D14" s="11">
        <f>February!D14-January!D14</f>
        <v>43</v>
      </c>
      <c r="E14" s="11">
        <f>February!E14-January!E14</f>
        <v>69</v>
      </c>
      <c r="F14" s="10">
        <f t="shared" si="0"/>
        <v>231</v>
      </c>
    </row>
    <row r="15" spans="1:6" x14ac:dyDescent="0.25">
      <c r="A15" s="1" t="s">
        <v>12</v>
      </c>
      <c r="B15" s="11">
        <f>February!B15-January!B15</f>
        <v>470</v>
      </c>
      <c r="C15" s="11">
        <f>February!C15-January!C15</f>
        <v>308</v>
      </c>
      <c r="D15" s="11">
        <f>February!D15-January!D15</f>
        <v>30</v>
      </c>
      <c r="E15" s="11">
        <f>February!E15-January!E15</f>
        <v>378</v>
      </c>
      <c r="F15" s="10">
        <f t="shared" si="0"/>
        <v>1186</v>
      </c>
    </row>
    <row r="16" spans="1:6" x14ac:dyDescent="0.25">
      <c r="A16" s="1" t="s">
        <v>13</v>
      </c>
      <c r="B16" s="11">
        <f>February!B16-January!B16</f>
        <v>64</v>
      </c>
      <c r="C16" s="11">
        <f>February!C16-January!C16</f>
        <v>-9</v>
      </c>
      <c r="D16" s="11">
        <f>February!D16-January!D16</f>
        <v>6</v>
      </c>
      <c r="E16" s="11">
        <f>February!E16-January!E16</f>
        <v>15</v>
      </c>
      <c r="F16" s="10">
        <f t="shared" si="0"/>
        <v>76</v>
      </c>
    </row>
    <row r="17" spans="1:6" x14ac:dyDescent="0.25">
      <c r="A17" s="1" t="s">
        <v>14</v>
      </c>
      <c r="B17" s="11">
        <f>February!B17-January!B17</f>
        <v>28</v>
      </c>
      <c r="C17" s="11">
        <f>February!C17-January!C17</f>
        <v>-8</v>
      </c>
      <c r="D17" s="11">
        <f>February!D17-January!D17</f>
        <v>1</v>
      </c>
      <c r="E17" s="11">
        <f>February!E17-January!E17</f>
        <v>24</v>
      </c>
      <c r="F17" s="10">
        <f t="shared" si="0"/>
        <v>45</v>
      </c>
    </row>
    <row r="18" spans="1:6" x14ac:dyDescent="0.25">
      <c r="A18" s="1" t="s">
        <v>15</v>
      </c>
      <c r="B18" s="11">
        <f>February!B18-January!B18</f>
        <v>5</v>
      </c>
      <c r="C18" s="11">
        <f>February!C18-January!C18</f>
        <v>-32</v>
      </c>
      <c r="D18" s="11">
        <f>February!D18-January!D18</f>
        <v>2</v>
      </c>
      <c r="E18" s="11">
        <f>February!E18-January!E18</f>
        <v>19</v>
      </c>
      <c r="F18" s="10">
        <f t="shared" si="0"/>
        <v>-6</v>
      </c>
    </row>
    <row r="19" spans="1:6" x14ac:dyDescent="0.25">
      <c r="A19" s="1" t="s">
        <v>16</v>
      </c>
      <c r="B19" s="11">
        <f>February!B19-January!B19</f>
        <v>241</v>
      </c>
      <c r="C19" s="11">
        <f>February!C19-January!C19</f>
        <v>202</v>
      </c>
      <c r="D19" s="11">
        <f>February!D19-January!D19</f>
        <v>140</v>
      </c>
      <c r="E19" s="11">
        <f>February!E19-January!E19</f>
        <v>578</v>
      </c>
      <c r="F19" s="10">
        <f t="shared" si="0"/>
        <v>1161</v>
      </c>
    </row>
    <row r="20" spans="1:6" x14ac:dyDescent="0.25">
      <c r="A20" s="1" t="s">
        <v>17</v>
      </c>
      <c r="B20" s="11">
        <f>February!B20-January!B20</f>
        <v>106</v>
      </c>
      <c r="C20" s="11">
        <f>February!C20-January!C20</f>
        <v>46</v>
      </c>
      <c r="D20" s="11">
        <f>February!D20-January!D20</f>
        <v>72</v>
      </c>
      <c r="E20" s="11">
        <f>February!E20-January!E20</f>
        <v>223</v>
      </c>
      <c r="F20" s="10">
        <f t="shared" si="0"/>
        <v>447</v>
      </c>
    </row>
    <row r="21" spans="1:6" x14ac:dyDescent="0.25">
      <c r="A21" s="1" t="s">
        <v>18</v>
      </c>
      <c r="B21" s="11">
        <f>February!B21-January!B21</f>
        <v>175</v>
      </c>
      <c r="C21" s="11">
        <f>February!C21-January!C21</f>
        <v>106</v>
      </c>
      <c r="D21" s="11">
        <f>February!D21-January!D21</f>
        <v>11</v>
      </c>
      <c r="E21" s="11">
        <f>February!E21-January!E21</f>
        <v>114</v>
      </c>
      <c r="F21" s="10">
        <f t="shared" si="0"/>
        <v>406</v>
      </c>
    </row>
    <row r="22" spans="1:6" x14ac:dyDescent="0.25">
      <c r="A22" s="1" t="s">
        <v>19</v>
      </c>
      <c r="B22" s="11">
        <f>February!B22-January!B22</f>
        <v>14</v>
      </c>
      <c r="C22" s="11">
        <f>February!C22-January!C22</f>
        <v>8</v>
      </c>
      <c r="D22" s="11">
        <f>February!D22-January!D22</f>
        <v>5</v>
      </c>
      <c r="E22" s="11">
        <f>February!E22-January!E22</f>
        <v>-3</v>
      </c>
      <c r="F22" s="10">
        <f t="shared" si="0"/>
        <v>24</v>
      </c>
    </row>
    <row r="23" spans="1:6" x14ac:dyDescent="0.25">
      <c r="A23" s="1" t="s">
        <v>20</v>
      </c>
      <c r="B23" s="11">
        <f>February!B23-January!B23</f>
        <v>12</v>
      </c>
      <c r="C23" s="11">
        <f>February!C23-January!C23</f>
        <v>-11</v>
      </c>
      <c r="D23" s="11">
        <f>February!D23-January!D23</f>
        <v>4</v>
      </c>
      <c r="E23" s="11">
        <f>February!E23-January!E23</f>
        <v>19</v>
      </c>
      <c r="F23" s="10">
        <f t="shared" si="0"/>
        <v>24</v>
      </c>
    </row>
    <row r="24" spans="1:6" x14ac:dyDescent="0.25">
      <c r="A24" s="1" t="s">
        <v>21</v>
      </c>
      <c r="B24" s="11">
        <f>February!B24-January!B24</f>
        <v>29</v>
      </c>
      <c r="C24" s="11">
        <f>February!C24-January!C24</f>
        <v>3</v>
      </c>
      <c r="D24" s="11">
        <f>February!D24-January!D24</f>
        <v>3</v>
      </c>
      <c r="E24" s="11">
        <f>February!E24-January!E24</f>
        <v>21</v>
      </c>
      <c r="F24" s="10">
        <f t="shared" si="0"/>
        <v>56</v>
      </c>
    </row>
    <row r="25" spans="1:6" x14ac:dyDescent="0.25">
      <c r="A25" s="1" t="s">
        <v>22</v>
      </c>
      <c r="B25" s="11">
        <f>February!B25-January!B25</f>
        <v>21</v>
      </c>
      <c r="C25" s="11">
        <f>February!C25-January!C25</f>
        <v>-27</v>
      </c>
      <c r="D25" s="11">
        <f>February!D25-January!D25</f>
        <v>3</v>
      </c>
      <c r="E25" s="11">
        <f>February!E25-January!E25</f>
        <v>-3</v>
      </c>
      <c r="F25" s="10">
        <f t="shared" si="0"/>
        <v>-6</v>
      </c>
    </row>
    <row r="26" spans="1:6" x14ac:dyDescent="0.25">
      <c r="A26" s="1" t="s">
        <v>23</v>
      </c>
      <c r="B26" s="11">
        <f>February!B26-January!B26</f>
        <v>29</v>
      </c>
      <c r="C26" s="11">
        <f>February!C26-January!C26</f>
        <v>-14</v>
      </c>
      <c r="D26" s="11">
        <f>February!D26-January!D26</f>
        <v>2</v>
      </c>
      <c r="E26" s="11">
        <f>February!E26-January!E26</f>
        <v>11</v>
      </c>
      <c r="F26" s="10">
        <f t="shared" si="0"/>
        <v>28</v>
      </c>
    </row>
    <row r="27" spans="1:6" x14ac:dyDescent="0.25">
      <c r="A27" s="1" t="s">
        <v>24</v>
      </c>
      <c r="B27" s="11">
        <f>February!B27-January!B27</f>
        <v>2</v>
      </c>
      <c r="C27" s="11">
        <f>February!C27-January!C27</f>
        <v>-1</v>
      </c>
      <c r="D27" s="11">
        <f>February!D27-January!D27</f>
        <v>1</v>
      </c>
      <c r="E27" s="11">
        <f>February!E27-January!E27</f>
        <v>7</v>
      </c>
      <c r="F27" s="10">
        <f t="shared" si="0"/>
        <v>9</v>
      </c>
    </row>
    <row r="28" spans="1:6" x14ac:dyDescent="0.25">
      <c r="A28" s="1" t="s">
        <v>25</v>
      </c>
      <c r="B28" s="11">
        <f>February!B28-January!B28</f>
        <v>1</v>
      </c>
      <c r="C28" s="11">
        <f>February!C28-January!C28</f>
        <v>-22</v>
      </c>
      <c r="D28" s="11">
        <f>February!D28-January!D28</f>
        <v>-2</v>
      </c>
      <c r="E28" s="11">
        <f>February!E28-January!E28</f>
        <v>19</v>
      </c>
      <c r="F28" s="10">
        <f t="shared" si="0"/>
        <v>-4</v>
      </c>
    </row>
    <row r="29" spans="1:6" x14ac:dyDescent="0.25">
      <c r="A29" s="1" t="s">
        <v>26</v>
      </c>
      <c r="B29" s="11">
        <f>February!B29-January!B29</f>
        <v>30</v>
      </c>
      <c r="C29" s="11">
        <f>February!C29-January!C29</f>
        <v>0</v>
      </c>
      <c r="D29" s="11">
        <f>February!D29-January!D29</f>
        <v>2</v>
      </c>
      <c r="E29" s="11">
        <f>February!E29-January!E29</f>
        <v>23</v>
      </c>
      <c r="F29" s="10">
        <f t="shared" si="0"/>
        <v>55</v>
      </c>
    </row>
    <row r="30" spans="1:6" x14ac:dyDescent="0.25">
      <c r="A30" s="1" t="s">
        <v>27</v>
      </c>
      <c r="B30" s="11">
        <f>February!B30-January!B30</f>
        <v>122</v>
      </c>
      <c r="C30" s="11">
        <f>February!C30-January!C30</f>
        <v>4</v>
      </c>
      <c r="D30" s="11">
        <f>February!D30-January!D30</f>
        <v>59</v>
      </c>
      <c r="E30" s="11">
        <f>February!E30-January!E30</f>
        <v>139</v>
      </c>
      <c r="F30" s="10">
        <f t="shared" si="0"/>
        <v>324</v>
      </c>
    </row>
    <row r="31" spans="1:6" x14ac:dyDescent="0.25">
      <c r="A31" s="1" t="s">
        <v>28</v>
      </c>
      <c r="B31" s="11">
        <f>February!B31-January!B31</f>
        <v>30</v>
      </c>
      <c r="C31" s="11">
        <f>February!C31-January!C31</f>
        <v>-29</v>
      </c>
      <c r="D31" s="11">
        <f>February!D31-January!D31</f>
        <v>9</v>
      </c>
      <c r="E31" s="11">
        <f>February!E31-January!E31</f>
        <v>66</v>
      </c>
      <c r="F31" s="10">
        <f t="shared" si="0"/>
        <v>76</v>
      </c>
    </row>
    <row r="32" spans="1:6" x14ac:dyDescent="0.25">
      <c r="A32" s="1" t="s">
        <v>29</v>
      </c>
      <c r="B32" s="11">
        <f>February!B32-January!B32</f>
        <v>-670</v>
      </c>
      <c r="C32" s="11">
        <f>February!C32-January!C32</f>
        <v>-1140</v>
      </c>
      <c r="D32" s="11">
        <f>February!D32-January!D32</f>
        <v>136</v>
      </c>
      <c r="E32" s="11">
        <f>February!E32-January!E32</f>
        <v>-712</v>
      </c>
      <c r="F32" s="10">
        <f t="shared" si="0"/>
        <v>-2386</v>
      </c>
    </row>
    <row r="33" spans="1:6" x14ac:dyDescent="0.25">
      <c r="A33" s="1" t="s">
        <v>30</v>
      </c>
      <c r="B33" s="11">
        <f>February!B33-January!B33</f>
        <v>13</v>
      </c>
      <c r="C33" s="11">
        <f>February!C33-January!C33</f>
        <v>-8</v>
      </c>
      <c r="D33" s="11">
        <f>February!D33-January!D33</f>
        <v>3</v>
      </c>
      <c r="E33" s="11">
        <f>February!E33-January!E33</f>
        <v>10</v>
      </c>
      <c r="F33" s="10">
        <f t="shared" si="0"/>
        <v>18</v>
      </c>
    </row>
    <row r="34" spans="1:6" x14ac:dyDescent="0.25">
      <c r="A34" s="1" t="s">
        <v>31</v>
      </c>
      <c r="B34" s="11">
        <f>February!B34-January!B34</f>
        <v>123</v>
      </c>
      <c r="C34" s="11">
        <f>February!C34-January!C34</f>
        <v>141</v>
      </c>
      <c r="D34" s="11">
        <f>February!D34-January!D34</f>
        <v>25</v>
      </c>
      <c r="E34" s="11">
        <f>February!E34-January!E34</f>
        <v>152</v>
      </c>
      <c r="F34" s="10">
        <f t="shared" si="0"/>
        <v>441</v>
      </c>
    </row>
    <row r="35" spans="1:6" x14ac:dyDescent="0.25">
      <c r="A35" s="1" t="s">
        <v>32</v>
      </c>
      <c r="B35" s="11">
        <f>February!B35-January!B35</f>
        <v>77</v>
      </c>
      <c r="C35" s="11">
        <f>February!C35-January!C35</f>
        <v>18</v>
      </c>
      <c r="D35" s="11">
        <f>February!D35-January!D35</f>
        <v>2</v>
      </c>
      <c r="E35" s="11">
        <f>February!E35-January!E35</f>
        <v>51</v>
      </c>
      <c r="F35" s="10">
        <f t="shared" si="0"/>
        <v>148</v>
      </c>
    </row>
    <row r="36" spans="1:6" x14ac:dyDescent="0.25">
      <c r="A36" s="1" t="s">
        <v>33</v>
      </c>
      <c r="B36" s="11">
        <f>February!B36-January!B36</f>
        <v>16</v>
      </c>
      <c r="C36" s="11">
        <f>February!C36-January!C36</f>
        <v>-18</v>
      </c>
      <c r="D36" s="11">
        <f>February!D36-January!D36</f>
        <v>1</v>
      </c>
      <c r="E36" s="11">
        <f>February!E36-January!E36</f>
        <v>4</v>
      </c>
      <c r="F36" s="10">
        <f t="shared" si="0"/>
        <v>3</v>
      </c>
    </row>
    <row r="37" spans="1:6" x14ac:dyDescent="0.25">
      <c r="A37" s="1" t="s">
        <v>34</v>
      </c>
      <c r="B37" s="11">
        <f>February!B37-January!B37</f>
        <v>7</v>
      </c>
      <c r="C37" s="11">
        <f>February!C37-January!C37</f>
        <v>-4</v>
      </c>
      <c r="D37" s="11">
        <f>February!D37-January!D37</f>
        <v>0</v>
      </c>
      <c r="E37" s="11">
        <f>February!E37-January!E37</f>
        <v>-1</v>
      </c>
      <c r="F37" s="10">
        <f t="shared" si="0"/>
        <v>2</v>
      </c>
    </row>
    <row r="38" spans="1:6" x14ac:dyDescent="0.25">
      <c r="A38" s="1" t="s">
        <v>35</v>
      </c>
      <c r="B38" s="11">
        <f>February!B38-January!B38</f>
        <v>398</v>
      </c>
      <c r="C38" s="11">
        <f>February!C38-January!C38</f>
        <v>246</v>
      </c>
      <c r="D38" s="11">
        <f>February!D38-January!D38</f>
        <v>28</v>
      </c>
      <c r="E38" s="11">
        <f>February!E38-January!E38</f>
        <v>488</v>
      </c>
      <c r="F38" s="10">
        <f t="shared" si="0"/>
        <v>1160</v>
      </c>
    </row>
    <row r="39" spans="1:6" x14ac:dyDescent="0.25">
      <c r="A39" s="1" t="s">
        <v>36</v>
      </c>
      <c r="B39" s="11">
        <f>February!B39-January!B39</f>
        <v>240</v>
      </c>
      <c r="C39" s="11">
        <f>February!C39-January!C39</f>
        <v>210</v>
      </c>
      <c r="D39" s="11">
        <f>February!D39-January!D39</f>
        <v>102</v>
      </c>
      <c r="E39" s="11">
        <f>February!E39-January!E39</f>
        <v>525</v>
      </c>
      <c r="F39" s="10">
        <f t="shared" si="0"/>
        <v>1077</v>
      </c>
    </row>
    <row r="40" spans="1:6" x14ac:dyDescent="0.25">
      <c r="A40" s="1" t="s">
        <v>37</v>
      </c>
      <c r="B40" s="11">
        <f>February!B40-January!B40</f>
        <v>10</v>
      </c>
      <c r="C40" s="11">
        <f>February!C40-January!C40</f>
        <v>79</v>
      </c>
      <c r="D40" s="11">
        <f>February!D40-January!D40</f>
        <v>44</v>
      </c>
      <c r="E40" s="11">
        <f>February!E40-January!E40</f>
        <v>92</v>
      </c>
      <c r="F40" s="10">
        <f t="shared" si="0"/>
        <v>225</v>
      </c>
    </row>
    <row r="41" spans="1:6" x14ac:dyDescent="0.25">
      <c r="A41" s="1" t="s">
        <v>38</v>
      </c>
      <c r="B41" s="11">
        <f>February!B41-January!B41</f>
        <v>50</v>
      </c>
      <c r="C41" s="11">
        <f>February!C41-January!C41</f>
        <v>10</v>
      </c>
      <c r="D41" s="11">
        <f>February!D41-January!D41</f>
        <v>7</v>
      </c>
      <c r="E41" s="11">
        <f>February!E41-January!E41</f>
        <v>38</v>
      </c>
      <c r="F41" s="10">
        <f t="shared" si="0"/>
        <v>105</v>
      </c>
    </row>
    <row r="42" spans="1:6" x14ac:dyDescent="0.25">
      <c r="A42" s="1" t="s">
        <v>39</v>
      </c>
      <c r="B42" s="11">
        <f>February!B42-January!B42</f>
        <v>6</v>
      </c>
      <c r="C42" s="11">
        <f>February!C42-January!C42</f>
        <v>-5</v>
      </c>
      <c r="D42" s="11">
        <f>February!D42-January!D42</f>
        <v>0</v>
      </c>
      <c r="E42" s="11">
        <f>February!E42-January!E42</f>
        <v>2</v>
      </c>
      <c r="F42" s="10">
        <f t="shared" si="0"/>
        <v>3</v>
      </c>
    </row>
    <row r="43" spans="1:6" x14ac:dyDescent="0.25">
      <c r="A43" s="1" t="s">
        <v>40</v>
      </c>
      <c r="B43" s="11">
        <f>February!B43-January!B43</f>
        <v>14</v>
      </c>
      <c r="C43" s="11">
        <f>February!C43-January!C43</f>
        <v>-2</v>
      </c>
      <c r="D43" s="11">
        <f>February!D43-January!D43</f>
        <v>2</v>
      </c>
      <c r="E43" s="11">
        <f>February!E43-January!E43</f>
        <v>7</v>
      </c>
      <c r="F43" s="10">
        <f t="shared" si="0"/>
        <v>21</v>
      </c>
    </row>
    <row r="44" spans="1:6" x14ac:dyDescent="0.25">
      <c r="A44" s="1" t="s">
        <v>41</v>
      </c>
      <c r="B44" s="11">
        <f>February!B44-January!B44</f>
        <v>248</v>
      </c>
      <c r="C44" s="11">
        <f>February!C44-January!C44</f>
        <v>102</v>
      </c>
      <c r="D44" s="11">
        <f>February!D44-January!D44</f>
        <v>71</v>
      </c>
      <c r="E44" s="11">
        <f>February!E44-January!E44</f>
        <v>267</v>
      </c>
      <c r="F44" s="10">
        <f t="shared" si="0"/>
        <v>688</v>
      </c>
    </row>
    <row r="45" spans="1:6" x14ac:dyDescent="0.25">
      <c r="A45" s="1" t="s">
        <v>42</v>
      </c>
      <c r="B45" s="11">
        <f>February!B45-January!B45</f>
        <v>293</v>
      </c>
      <c r="C45" s="11">
        <f>February!C45-January!C45</f>
        <v>105</v>
      </c>
      <c r="D45" s="11">
        <f>February!D45-January!D45</f>
        <v>40</v>
      </c>
      <c r="E45" s="11">
        <f>February!E45-January!E45</f>
        <v>221</v>
      </c>
      <c r="F45" s="10">
        <f t="shared" si="0"/>
        <v>659</v>
      </c>
    </row>
    <row r="46" spans="1:6" x14ac:dyDescent="0.25">
      <c r="A46" s="1" t="s">
        <v>43</v>
      </c>
      <c r="B46" s="11">
        <f>February!B46-January!B46</f>
        <v>75</v>
      </c>
      <c r="C46" s="11">
        <f>February!C46-January!C46</f>
        <v>61</v>
      </c>
      <c r="D46" s="11">
        <f>February!D46-January!D46</f>
        <v>42</v>
      </c>
      <c r="E46" s="11">
        <f>February!E46-January!E46</f>
        <v>54</v>
      </c>
      <c r="F46" s="10">
        <f t="shared" si="0"/>
        <v>232</v>
      </c>
    </row>
    <row r="47" spans="1:6" x14ac:dyDescent="0.25">
      <c r="A47" s="1" t="s">
        <v>44</v>
      </c>
      <c r="B47" s="11">
        <f>February!B47-January!B47</f>
        <v>-126</v>
      </c>
      <c r="C47" s="11">
        <f>February!C47-January!C47</f>
        <v>-4</v>
      </c>
      <c r="D47" s="11">
        <f>February!D47-January!D47</f>
        <v>355</v>
      </c>
      <c r="E47" s="11">
        <f>February!E47-January!E47</f>
        <v>785</v>
      </c>
      <c r="F47" s="10">
        <f t="shared" si="0"/>
        <v>1010</v>
      </c>
    </row>
    <row r="48" spans="1:6" x14ac:dyDescent="0.25">
      <c r="A48" s="1" t="s">
        <v>45</v>
      </c>
      <c r="B48" s="11">
        <f>February!B48-January!B48</f>
        <v>34</v>
      </c>
      <c r="C48" s="11">
        <f>February!C48-January!C48</f>
        <v>-17</v>
      </c>
      <c r="D48" s="11">
        <f>February!D48-January!D48</f>
        <v>18</v>
      </c>
      <c r="E48" s="11">
        <f>February!E48-January!E48</f>
        <v>-2</v>
      </c>
      <c r="F48" s="10">
        <f t="shared" si="0"/>
        <v>33</v>
      </c>
    </row>
    <row r="49" spans="1:6" x14ac:dyDescent="0.25">
      <c r="A49" s="1" t="s">
        <v>46</v>
      </c>
      <c r="B49" s="11">
        <f>February!B49-January!B49</f>
        <v>70</v>
      </c>
      <c r="C49" s="11">
        <f>February!C49-January!C49</f>
        <v>2</v>
      </c>
      <c r="D49" s="11">
        <f>February!D49-January!D49</f>
        <v>11</v>
      </c>
      <c r="E49" s="11">
        <f>February!E49-January!E49</f>
        <v>48</v>
      </c>
      <c r="F49" s="10">
        <f t="shared" si="0"/>
        <v>131</v>
      </c>
    </row>
    <row r="50" spans="1:6" x14ac:dyDescent="0.25">
      <c r="A50" s="1" t="s">
        <v>47</v>
      </c>
      <c r="B50" s="11">
        <f>February!B50-January!B50</f>
        <v>166</v>
      </c>
      <c r="C50" s="11">
        <f>February!C50-January!C50</f>
        <v>79</v>
      </c>
      <c r="D50" s="11">
        <f>February!D50-January!D50</f>
        <v>40</v>
      </c>
      <c r="E50" s="11">
        <f>February!E50-January!E50</f>
        <v>208</v>
      </c>
      <c r="F50" s="10">
        <f t="shared" si="0"/>
        <v>493</v>
      </c>
    </row>
    <row r="51" spans="1:6" x14ac:dyDescent="0.25">
      <c r="A51" s="1" t="s">
        <v>48</v>
      </c>
      <c r="B51" s="11">
        <f>February!B51-January!B51</f>
        <v>26</v>
      </c>
      <c r="C51" s="11">
        <f>February!C51-January!C51</f>
        <v>-3</v>
      </c>
      <c r="D51" s="11">
        <f>February!D51-January!D51</f>
        <v>4</v>
      </c>
      <c r="E51" s="11">
        <f>February!E51-January!E51</f>
        <v>19</v>
      </c>
      <c r="F51" s="10">
        <f t="shared" si="0"/>
        <v>46</v>
      </c>
    </row>
    <row r="52" spans="1:6" x14ac:dyDescent="0.25">
      <c r="A52" s="1" t="s">
        <v>49</v>
      </c>
      <c r="B52" s="11">
        <f>February!B52-January!B52</f>
        <v>78</v>
      </c>
      <c r="C52" s="11">
        <f>February!C52-January!C52</f>
        <v>696</v>
      </c>
      <c r="D52" s="11">
        <f>February!D52-January!D52</f>
        <v>190</v>
      </c>
      <c r="E52" s="11">
        <f>February!E52-January!E52</f>
        <v>1102</v>
      </c>
      <c r="F52" s="10">
        <f t="shared" si="0"/>
        <v>2066</v>
      </c>
    </row>
    <row r="53" spans="1:6" x14ac:dyDescent="0.25">
      <c r="A53" s="1" t="s">
        <v>50</v>
      </c>
      <c r="B53" s="11">
        <f>February!B53-January!B53</f>
        <v>121</v>
      </c>
      <c r="C53" s="11">
        <f>February!C53-January!C53</f>
        <v>392</v>
      </c>
      <c r="D53" s="11">
        <f>February!D53-January!D53</f>
        <v>54</v>
      </c>
      <c r="E53" s="11">
        <f>February!E53-January!E53</f>
        <v>681</v>
      </c>
      <c r="F53" s="10">
        <f t="shared" si="0"/>
        <v>1248</v>
      </c>
    </row>
    <row r="54" spans="1:6" x14ac:dyDescent="0.25">
      <c r="A54" s="1" t="s">
        <v>51</v>
      </c>
      <c r="B54" s="11">
        <f>February!B54-January!B54</f>
        <v>205</v>
      </c>
      <c r="C54" s="11">
        <f>February!C54-January!C54</f>
        <v>728</v>
      </c>
      <c r="D54" s="11">
        <f>February!D54-January!D54</f>
        <v>355</v>
      </c>
      <c r="E54" s="11">
        <f>February!E54-January!E54</f>
        <v>644</v>
      </c>
      <c r="F54" s="10">
        <f t="shared" si="0"/>
        <v>1932</v>
      </c>
    </row>
    <row r="55" spans="1:6" x14ac:dyDescent="0.25">
      <c r="A55" s="1" t="s">
        <v>52</v>
      </c>
      <c r="B55" s="11">
        <f>February!B55-January!B55</f>
        <v>459</v>
      </c>
      <c r="C55" s="11">
        <f>February!C55-January!C55</f>
        <v>330</v>
      </c>
      <c r="D55" s="11">
        <f>February!D55-January!D55</f>
        <v>125</v>
      </c>
      <c r="E55" s="11">
        <f>February!E55-January!E55</f>
        <v>563</v>
      </c>
      <c r="F55" s="10">
        <f t="shared" si="0"/>
        <v>1477</v>
      </c>
    </row>
    <row r="56" spans="1:6" x14ac:dyDescent="0.25">
      <c r="A56" s="1" t="s">
        <v>53</v>
      </c>
      <c r="B56" s="11">
        <f>February!B56-January!B56</f>
        <v>381</v>
      </c>
      <c r="C56" s="11">
        <f>February!C56-January!C56</f>
        <v>624</v>
      </c>
      <c r="D56" s="11">
        <f>February!D56-January!D56</f>
        <v>173</v>
      </c>
      <c r="E56" s="11">
        <f>February!E56-January!E56</f>
        <v>908</v>
      </c>
      <c r="F56" s="10">
        <f t="shared" si="0"/>
        <v>2086</v>
      </c>
    </row>
    <row r="57" spans="1:6" x14ac:dyDescent="0.25">
      <c r="A57" s="1" t="s">
        <v>54</v>
      </c>
      <c r="B57" s="11">
        <f>February!B57-January!B57</f>
        <v>251</v>
      </c>
      <c r="C57" s="11">
        <f>February!C57-January!C57</f>
        <v>324</v>
      </c>
      <c r="D57" s="11">
        <f>February!D57-January!D57</f>
        <v>134</v>
      </c>
      <c r="E57" s="11">
        <f>February!E57-January!E57</f>
        <v>716</v>
      </c>
      <c r="F57" s="10">
        <f t="shared" si="0"/>
        <v>1425</v>
      </c>
    </row>
    <row r="58" spans="1:6" x14ac:dyDescent="0.25">
      <c r="A58" s="1" t="s">
        <v>55</v>
      </c>
      <c r="B58" s="11">
        <f>February!B58-January!B58</f>
        <v>118</v>
      </c>
      <c r="C58" s="11">
        <f>February!C58-January!C58</f>
        <v>4</v>
      </c>
      <c r="D58" s="11">
        <f>February!D58-January!D58</f>
        <v>8</v>
      </c>
      <c r="E58" s="11">
        <f>February!E58-January!E58</f>
        <v>115</v>
      </c>
      <c r="F58" s="10">
        <f t="shared" si="0"/>
        <v>245</v>
      </c>
    </row>
    <row r="59" spans="1:6" x14ac:dyDescent="0.25">
      <c r="A59" s="1" t="s">
        <v>56</v>
      </c>
      <c r="B59" s="11">
        <f>February!B59-January!B59</f>
        <v>327</v>
      </c>
      <c r="C59" s="11">
        <f>February!C59-January!C59</f>
        <v>62</v>
      </c>
      <c r="D59" s="11">
        <f>February!D59-January!D59</f>
        <v>87</v>
      </c>
      <c r="E59" s="11">
        <f>February!E59-January!E59</f>
        <v>125</v>
      </c>
      <c r="F59" s="10">
        <f t="shared" si="0"/>
        <v>601</v>
      </c>
    </row>
    <row r="60" spans="1:6" x14ac:dyDescent="0.25">
      <c r="A60" s="1" t="s">
        <v>57</v>
      </c>
      <c r="B60" s="11">
        <f>February!B60-January!B60</f>
        <v>288</v>
      </c>
      <c r="C60" s="11">
        <f>February!C60-January!C60</f>
        <v>353</v>
      </c>
      <c r="D60" s="11">
        <f>February!D60-January!D60</f>
        <v>77</v>
      </c>
      <c r="E60" s="11">
        <f>February!E60-January!E60</f>
        <v>372</v>
      </c>
      <c r="F60" s="10">
        <f t="shared" si="0"/>
        <v>1090</v>
      </c>
    </row>
    <row r="61" spans="1:6" x14ac:dyDescent="0.25">
      <c r="A61" s="1" t="s">
        <v>58</v>
      </c>
      <c r="B61" s="11">
        <f>February!B61-January!B61</f>
        <v>-395</v>
      </c>
      <c r="C61" s="11">
        <f>February!C61-January!C61</f>
        <v>-204</v>
      </c>
      <c r="D61" s="11">
        <f>February!D61-January!D61</f>
        <v>42</v>
      </c>
      <c r="E61" s="11">
        <f>February!E61-January!E61</f>
        <v>-165</v>
      </c>
      <c r="F61" s="10">
        <f t="shared" si="0"/>
        <v>-722</v>
      </c>
    </row>
    <row r="62" spans="1:6" x14ac:dyDescent="0.25">
      <c r="A62" s="1" t="s">
        <v>59</v>
      </c>
      <c r="B62" s="11">
        <f>February!B62-January!B62</f>
        <v>-116</v>
      </c>
      <c r="C62" s="11">
        <f>February!C62-January!C62</f>
        <v>31</v>
      </c>
      <c r="D62" s="11">
        <f>February!D62-January!D62</f>
        <v>45</v>
      </c>
      <c r="E62" s="11">
        <f>February!E62-January!E62</f>
        <v>-11</v>
      </c>
      <c r="F62" s="10">
        <f t="shared" si="0"/>
        <v>-51</v>
      </c>
    </row>
    <row r="63" spans="1:6" x14ac:dyDescent="0.25">
      <c r="A63" s="1" t="s">
        <v>60</v>
      </c>
      <c r="B63" s="11">
        <f>February!B63-January!B63</f>
        <v>138</v>
      </c>
      <c r="C63" s="11">
        <f>February!C63-January!C63</f>
        <v>241</v>
      </c>
      <c r="D63" s="11">
        <f>February!D63-January!D63</f>
        <v>53</v>
      </c>
      <c r="E63" s="11">
        <f>February!E63-January!E63</f>
        <v>266</v>
      </c>
      <c r="F63" s="10">
        <f t="shared" si="0"/>
        <v>698</v>
      </c>
    </row>
    <row r="64" spans="1:6" x14ac:dyDescent="0.25">
      <c r="A64" s="1" t="s">
        <v>61</v>
      </c>
      <c r="B64" s="11">
        <f>February!B64-January!B64</f>
        <v>185</v>
      </c>
      <c r="C64" s="11">
        <f>February!C64-January!C64</f>
        <v>43</v>
      </c>
      <c r="D64" s="11">
        <f>February!D64-January!D64</f>
        <v>12</v>
      </c>
      <c r="E64" s="11">
        <f>February!E64-January!E64</f>
        <v>64</v>
      </c>
      <c r="F64" s="10">
        <f t="shared" si="0"/>
        <v>304</v>
      </c>
    </row>
    <row r="65" spans="1:6" x14ac:dyDescent="0.25">
      <c r="A65" s="1" t="s">
        <v>62</v>
      </c>
      <c r="B65" s="11">
        <f>February!B65-January!B65</f>
        <v>63</v>
      </c>
      <c r="C65" s="11">
        <f>February!C65-January!C65</f>
        <v>-38</v>
      </c>
      <c r="D65" s="11">
        <f>February!D65-January!D65</f>
        <v>12</v>
      </c>
      <c r="E65" s="11">
        <f>February!E65-January!E65</f>
        <v>23</v>
      </c>
      <c r="F65" s="10">
        <f t="shared" si="0"/>
        <v>60</v>
      </c>
    </row>
    <row r="66" spans="1:6" x14ac:dyDescent="0.25">
      <c r="A66" s="1" t="s">
        <v>63</v>
      </c>
      <c r="B66" s="11">
        <f>February!B66-January!B66</f>
        <v>4</v>
      </c>
      <c r="C66" s="11">
        <f>February!C66-January!C66</f>
        <v>-13</v>
      </c>
      <c r="D66" s="11">
        <f>February!D66-January!D66</f>
        <v>6</v>
      </c>
      <c r="E66" s="11">
        <f>February!E66-January!E66</f>
        <v>6</v>
      </c>
      <c r="F66" s="10">
        <f t="shared" si="0"/>
        <v>3</v>
      </c>
    </row>
    <row r="67" spans="1:6" x14ac:dyDescent="0.25">
      <c r="A67" s="1" t="s">
        <v>64</v>
      </c>
      <c r="B67" s="11">
        <f>February!B67-January!B67</f>
        <v>21</v>
      </c>
      <c r="C67" s="11">
        <f>February!C67-January!C67</f>
        <v>-5</v>
      </c>
      <c r="D67" s="11">
        <f>February!D67-January!D67</f>
        <v>0</v>
      </c>
      <c r="E67" s="11">
        <f>February!E67-January!E67</f>
        <v>-4</v>
      </c>
      <c r="F67" s="10">
        <f t="shared" si="0"/>
        <v>12</v>
      </c>
    </row>
    <row r="68" spans="1:6" x14ac:dyDescent="0.25">
      <c r="A68" s="1" t="s">
        <v>65</v>
      </c>
      <c r="B68" s="11">
        <f>February!B68-January!B68</f>
        <v>222</v>
      </c>
      <c r="C68" s="11">
        <f>February!C68-January!C68</f>
        <v>8</v>
      </c>
      <c r="D68" s="11">
        <f>February!D68-January!D68</f>
        <v>69</v>
      </c>
      <c r="E68" s="11">
        <f>February!E68-January!E68</f>
        <v>283</v>
      </c>
      <c r="F68" s="10">
        <f t="shared" si="0"/>
        <v>582</v>
      </c>
    </row>
    <row r="69" spans="1:6" x14ac:dyDescent="0.25">
      <c r="A69" s="1" t="s">
        <v>66</v>
      </c>
      <c r="B69" s="11">
        <f>February!B69-January!B69</f>
        <v>39</v>
      </c>
      <c r="C69" s="11">
        <f>February!C69-January!C69</f>
        <v>-29</v>
      </c>
      <c r="D69" s="11">
        <f>February!D69-January!D69</f>
        <v>1</v>
      </c>
      <c r="E69" s="11">
        <f>February!E69-January!E69</f>
        <v>14</v>
      </c>
      <c r="F69" s="10">
        <f t="shared" si="0"/>
        <v>25</v>
      </c>
    </row>
    <row r="70" spans="1:6" x14ac:dyDescent="0.25">
      <c r="A70" s="1" t="s">
        <v>67</v>
      </c>
      <c r="B70" s="11">
        <f>February!B70-January!B70</f>
        <v>120</v>
      </c>
      <c r="C70" s="11">
        <f>February!C70-January!C70</f>
        <v>22</v>
      </c>
      <c r="D70" s="11">
        <f>February!D70-January!D70</f>
        <v>17</v>
      </c>
      <c r="E70" s="11">
        <f>February!E70-January!E70</f>
        <v>16</v>
      </c>
      <c r="F70" s="10">
        <f t="shared" ref="F70:F71" si="1">SUM(B70:E70)</f>
        <v>175</v>
      </c>
    </row>
    <row r="71" spans="1:6" ht="15.75" thickBot="1" x14ac:dyDescent="0.3">
      <c r="A71" s="1" t="s">
        <v>68</v>
      </c>
      <c r="B71" s="11">
        <f>February!B71-January!B71</f>
        <v>31</v>
      </c>
      <c r="C71" s="11">
        <f>February!C71-January!C71</f>
        <v>-1</v>
      </c>
      <c r="D71" s="11">
        <f>February!D71-January!D71</f>
        <v>2</v>
      </c>
      <c r="E71" s="11">
        <f>February!E71-January!E71</f>
        <v>20</v>
      </c>
      <c r="F71" s="10">
        <f t="shared" si="1"/>
        <v>52</v>
      </c>
    </row>
    <row r="72" spans="1:6" ht="16.5" thickTop="1" thickBot="1" x14ac:dyDescent="0.3">
      <c r="A72" s="3" t="s">
        <v>1</v>
      </c>
      <c r="B72" s="8">
        <f>SUM(B5:B71)</f>
        <v>5845</v>
      </c>
      <c r="C72" s="8">
        <f>SUM(C5:C71)</f>
        <v>4460</v>
      </c>
      <c r="D72" s="8">
        <f>SUM(D5:D71)</f>
        <v>3282</v>
      </c>
      <c r="E72" s="8">
        <f>SUM(E5:E71)</f>
        <v>11431</v>
      </c>
      <c r="F72" s="8">
        <f>SUM(F5:F71)</f>
        <v>25018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opLeftCell="A33" workbookViewId="0">
      <selection activeCell="F10" sqref="F10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x14ac:dyDescent="0.3">
      <c r="A1" s="14" t="s">
        <v>88</v>
      </c>
      <c r="B1" s="15"/>
      <c r="C1" s="15"/>
      <c r="D1" s="15"/>
      <c r="E1" s="15"/>
      <c r="F1" s="16"/>
    </row>
    <row r="2" spans="1:6" x14ac:dyDescent="0.25">
      <c r="A2" s="17" t="s">
        <v>111</v>
      </c>
      <c r="B2" s="18"/>
      <c r="C2" s="18"/>
      <c r="D2" s="18"/>
      <c r="E2" s="18"/>
      <c r="F2" s="19"/>
    </row>
    <row r="3" spans="1:6" x14ac:dyDescent="0.25">
      <c r="A3" s="20" t="s">
        <v>73</v>
      </c>
      <c r="B3" s="21"/>
      <c r="C3" s="21"/>
      <c r="D3" s="21"/>
      <c r="E3" s="21"/>
      <c r="F3" s="22"/>
    </row>
    <row r="4" spans="1:6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11">
        <f>March!B5-February!B5</f>
        <v>35</v>
      </c>
      <c r="C5" s="11">
        <f>March!C5-February!C5</f>
        <v>129</v>
      </c>
      <c r="D5" s="11">
        <f>March!D5-February!D5</f>
        <v>36</v>
      </c>
      <c r="E5" s="11">
        <f>March!E5-February!E5</f>
        <v>182</v>
      </c>
      <c r="F5" s="10">
        <f>SUM(B5:E5)</f>
        <v>382</v>
      </c>
    </row>
    <row r="6" spans="1:6" x14ac:dyDescent="0.25">
      <c r="A6" s="1" t="s">
        <v>3</v>
      </c>
      <c r="B6" s="11">
        <f>March!B6-February!B6</f>
        <v>-10</v>
      </c>
      <c r="C6" s="11">
        <f>March!C6-February!C6</f>
        <v>-18</v>
      </c>
      <c r="D6" s="11">
        <f>March!D6-February!D6</f>
        <v>0</v>
      </c>
      <c r="E6" s="11">
        <f>March!E6-February!E6</f>
        <v>5</v>
      </c>
      <c r="F6" s="10">
        <f t="shared" ref="F6:F69" si="0">SUM(B6:E6)</f>
        <v>-23</v>
      </c>
    </row>
    <row r="7" spans="1:6" x14ac:dyDescent="0.25">
      <c r="A7" s="1" t="s">
        <v>4</v>
      </c>
      <c r="B7" s="11">
        <f>March!B7-February!B7</f>
        <v>202</v>
      </c>
      <c r="C7" s="11">
        <f>March!C7-February!C7</f>
        <v>0</v>
      </c>
      <c r="D7" s="11">
        <f>March!D7-February!D7</f>
        <v>40</v>
      </c>
      <c r="E7" s="11">
        <f>March!E7-February!E7</f>
        <v>157</v>
      </c>
      <c r="F7" s="10">
        <f t="shared" si="0"/>
        <v>399</v>
      </c>
    </row>
    <row r="8" spans="1:6" x14ac:dyDescent="0.25">
      <c r="A8" s="1" t="s">
        <v>5</v>
      </c>
      <c r="B8" s="11">
        <f>March!B8-February!B8</f>
        <v>15</v>
      </c>
      <c r="C8" s="11">
        <f>March!C8-February!C8</f>
        <v>-8</v>
      </c>
      <c r="D8" s="11">
        <f>March!D8-February!D8</f>
        <v>-1</v>
      </c>
      <c r="E8" s="11">
        <f>March!E8-February!E8</f>
        <v>15</v>
      </c>
      <c r="F8" s="10">
        <f t="shared" si="0"/>
        <v>21</v>
      </c>
    </row>
    <row r="9" spans="1:6" x14ac:dyDescent="0.25">
      <c r="A9" s="1" t="s">
        <v>6</v>
      </c>
      <c r="B9" s="11">
        <f>March!B9-February!B9</f>
        <v>-693</v>
      </c>
      <c r="C9" s="11">
        <f>March!C9-February!C9</f>
        <v>-295</v>
      </c>
      <c r="D9" s="11">
        <f>March!D9-February!D9</f>
        <v>-6</v>
      </c>
      <c r="E9" s="11">
        <f>March!E9-February!E9</f>
        <v>-328</v>
      </c>
      <c r="F9" s="10">
        <f t="shared" si="0"/>
        <v>-1322</v>
      </c>
    </row>
    <row r="10" spans="1:6" x14ac:dyDescent="0.25">
      <c r="A10" s="1" t="s">
        <v>7</v>
      </c>
      <c r="B10" s="11">
        <f>March!B10-February!B10</f>
        <v>-4730</v>
      </c>
      <c r="C10" s="11">
        <f>March!C10-February!C10</f>
        <v>-13104</v>
      </c>
      <c r="D10" s="11">
        <f>March!D10-February!D10</f>
        <v>157</v>
      </c>
      <c r="E10" s="11">
        <f>March!E10-February!E10</f>
        <v>-7124</v>
      </c>
      <c r="F10" s="10">
        <f t="shared" si="0"/>
        <v>-24801</v>
      </c>
    </row>
    <row r="11" spans="1:6" x14ac:dyDescent="0.25">
      <c r="A11" s="1" t="s">
        <v>8</v>
      </c>
      <c r="B11" s="11">
        <f>March!B11-February!B11</f>
        <v>10</v>
      </c>
      <c r="C11" s="11">
        <f>March!C11-February!C11</f>
        <v>-23</v>
      </c>
      <c r="D11" s="11">
        <f>March!D11-February!D11</f>
        <v>2</v>
      </c>
      <c r="E11" s="11">
        <f>March!E11-February!E11</f>
        <v>3</v>
      </c>
      <c r="F11" s="10">
        <f t="shared" si="0"/>
        <v>-8</v>
      </c>
    </row>
    <row r="12" spans="1:6" x14ac:dyDescent="0.25">
      <c r="A12" s="1" t="s">
        <v>9</v>
      </c>
      <c r="B12" s="11">
        <f>March!B12-February!B12</f>
        <v>269</v>
      </c>
      <c r="C12" s="11">
        <f>March!C12-February!C12</f>
        <v>75</v>
      </c>
      <c r="D12" s="11">
        <f>March!D12-February!D12</f>
        <v>42</v>
      </c>
      <c r="E12" s="11">
        <f>March!E12-February!E12</f>
        <v>252</v>
      </c>
      <c r="F12" s="10">
        <f t="shared" si="0"/>
        <v>638</v>
      </c>
    </row>
    <row r="13" spans="1:6" x14ac:dyDescent="0.25">
      <c r="A13" s="1" t="s">
        <v>10</v>
      </c>
      <c r="B13" s="11">
        <f>March!B13-February!B13</f>
        <v>153</v>
      </c>
      <c r="C13" s="11">
        <f>March!C13-February!C13</f>
        <v>27</v>
      </c>
      <c r="D13" s="11">
        <f>March!D13-February!D13</f>
        <v>14</v>
      </c>
      <c r="E13" s="11">
        <f>March!E13-February!E13</f>
        <v>119</v>
      </c>
      <c r="F13" s="10">
        <f t="shared" si="0"/>
        <v>313</v>
      </c>
    </row>
    <row r="14" spans="1:6" x14ac:dyDescent="0.25">
      <c r="A14" s="1" t="s">
        <v>11</v>
      </c>
      <c r="B14" s="11">
        <f>March!B14-February!B14</f>
        <v>174</v>
      </c>
      <c r="C14" s="11">
        <f>March!C14-February!C14</f>
        <v>162</v>
      </c>
      <c r="D14" s="11">
        <f>March!D14-February!D14</f>
        <v>44</v>
      </c>
      <c r="E14" s="11">
        <f>March!E14-February!E14</f>
        <v>189</v>
      </c>
      <c r="F14" s="10">
        <f t="shared" si="0"/>
        <v>569</v>
      </c>
    </row>
    <row r="15" spans="1:6" x14ac:dyDescent="0.25">
      <c r="A15" s="1" t="s">
        <v>12</v>
      </c>
      <c r="B15" s="11">
        <f>March!B15-February!B15</f>
        <v>513</v>
      </c>
      <c r="C15" s="11">
        <f>March!C15-February!C15</f>
        <v>394</v>
      </c>
      <c r="D15" s="11">
        <f>March!D15-February!D15</f>
        <v>50</v>
      </c>
      <c r="E15" s="11">
        <f>March!E15-February!E15</f>
        <v>427</v>
      </c>
      <c r="F15" s="10">
        <f t="shared" si="0"/>
        <v>1384</v>
      </c>
    </row>
    <row r="16" spans="1:6" x14ac:dyDescent="0.25">
      <c r="A16" s="1" t="s">
        <v>13</v>
      </c>
      <c r="B16" s="11">
        <f>March!B16-February!B16</f>
        <v>84</v>
      </c>
      <c r="C16" s="11">
        <f>March!C16-February!C16</f>
        <v>3</v>
      </c>
      <c r="D16" s="11">
        <f>March!D16-February!D16</f>
        <v>6</v>
      </c>
      <c r="E16" s="11">
        <f>March!E16-February!E16</f>
        <v>44</v>
      </c>
      <c r="F16" s="10">
        <f t="shared" si="0"/>
        <v>137</v>
      </c>
    </row>
    <row r="17" spans="1:6" x14ac:dyDescent="0.25">
      <c r="A17" s="1" t="s">
        <v>14</v>
      </c>
      <c r="B17" s="11">
        <f>March!B17-February!B17</f>
        <v>14</v>
      </c>
      <c r="C17" s="11">
        <f>March!C17-February!C17</f>
        <v>-32</v>
      </c>
      <c r="D17" s="11">
        <f>March!D17-February!D17</f>
        <v>5</v>
      </c>
      <c r="E17" s="11">
        <f>March!E17-February!E17</f>
        <v>32</v>
      </c>
      <c r="F17" s="10">
        <f t="shared" si="0"/>
        <v>19</v>
      </c>
    </row>
    <row r="18" spans="1:6" x14ac:dyDescent="0.25">
      <c r="A18" s="1" t="s">
        <v>15</v>
      </c>
      <c r="B18" s="11">
        <f>March!B18-February!B18</f>
        <v>23</v>
      </c>
      <c r="C18" s="11">
        <f>March!C18-February!C18</f>
        <v>-21</v>
      </c>
      <c r="D18" s="11">
        <f>March!D18-February!D18</f>
        <v>5</v>
      </c>
      <c r="E18" s="11">
        <f>March!E18-February!E18</f>
        <v>7</v>
      </c>
      <c r="F18" s="10">
        <f t="shared" si="0"/>
        <v>14</v>
      </c>
    </row>
    <row r="19" spans="1:6" x14ac:dyDescent="0.25">
      <c r="A19" s="1" t="s">
        <v>16</v>
      </c>
      <c r="B19" s="11">
        <f>March!B19-February!B19</f>
        <v>17</v>
      </c>
      <c r="C19" s="11">
        <f>March!C19-February!C19</f>
        <v>211</v>
      </c>
      <c r="D19" s="11">
        <f>March!D19-February!D19</f>
        <v>142</v>
      </c>
      <c r="E19" s="11">
        <f>March!E19-February!E19</f>
        <v>464</v>
      </c>
      <c r="F19" s="10">
        <f t="shared" si="0"/>
        <v>834</v>
      </c>
    </row>
    <row r="20" spans="1:6" x14ac:dyDescent="0.25">
      <c r="A20" s="1" t="s">
        <v>17</v>
      </c>
      <c r="B20" s="11">
        <f>March!B20-February!B20</f>
        <v>-118</v>
      </c>
      <c r="C20" s="11">
        <f>March!C20-February!C20</f>
        <v>-105</v>
      </c>
      <c r="D20" s="11">
        <f>March!D20-February!D20</f>
        <v>16</v>
      </c>
      <c r="E20" s="11">
        <f>March!E20-February!E20</f>
        <v>43</v>
      </c>
      <c r="F20" s="10">
        <f t="shared" si="0"/>
        <v>-164</v>
      </c>
    </row>
    <row r="21" spans="1:6" x14ac:dyDescent="0.25">
      <c r="A21" s="1" t="s">
        <v>18</v>
      </c>
      <c r="B21" s="11">
        <f>March!B21-February!B21</f>
        <v>110</v>
      </c>
      <c r="C21" s="11">
        <f>March!C21-February!C21</f>
        <v>49</v>
      </c>
      <c r="D21" s="11">
        <f>March!D21-February!D21</f>
        <v>19</v>
      </c>
      <c r="E21" s="11">
        <f>March!E21-February!E21</f>
        <v>130</v>
      </c>
      <c r="F21" s="10">
        <f t="shared" si="0"/>
        <v>308</v>
      </c>
    </row>
    <row r="22" spans="1:6" x14ac:dyDescent="0.25">
      <c r="A22" s="1" t="s">
        <v>19</v>
      </c>
      <c r="B22" s="11">
        <f>March!B22-February!B22</f>
        <v>19</v>
      </c>
      <c r="C22" s="11">
        <f>March!C22-February!C22</f>
        <v>-7</v>
      </c>
      <c r="D22" s="11">
        <f>March!D22-February!D22</f>
        <v>3</v>
      </c>
      <c r="E22" s="11">
        <f>March!E22-February!E22</f>
        <v>11</v>
      </c>
      <c r="F22" s="10">
        <f t="shared" si="0"/>
        <v>26</v>
      </c>
    </row>
    <row r="23" spans="1:6" x14ac:dyDescent="0.25">
      <c r="A23" s="1" t="s">
        <v>20</v>
      </c>
      <c r="B23" s="11">
        <f>March!B23-February!B23</f>
        <v>3</v>
      </c>
      <c r="C23" s="11">
        <f>March!C23-February!C23</f>
        <v>-23</v>
      </c>
      <c r="D23" s="11">
        <f>March!D23-February!D23</f>
        <v>2</v>
      </c>
      <c r="E23" s="11">
        <f>March!E23-February!E23</f>
        <v>21</v>
      </c>
      <c r="F23" s="10">
        <f t="shared" si="0"/>
        <v>3</v>
      </c>
    </row>
    <row r="24" spans="1:6" x14ac:dyDescent="0.25">
      <c r="A24" s="1" t="s">
        <v>21</v>
      </c>
      <c r="B24" s="11">
        <f>March!B24-February!B24</f>
        <v>14</v>
      </c>
      <c r="C24" s="11">
        <f>March!C24-February!C24</f>
        <v>-2</v>
      </c>
      <c r="D24" s="11">
        <f>March!D24-February!D24</f>
        <v>1</v>
      </c>
      <c r="E24" s="11">
        <f>March!E24-February!E24</f>
        <v>8</v>
      </c>
      <c r="F24" s="10">
        <f t="shared" si="0"/>
        <v>21</v>
      </c>
    </row>
    <row r="25" spans="1:6" x14ac:dyDescent="0.25">
      <c r="A25" s="1" t="s">
        <v>22</v>
      </c>
      <c r="B25" s="11">
        <f>March!B25-February!B25</f>
        <v>25</v>
      </c>
      <c r="C25" s="11">
        <f>March!C25-February!C25</f>
        <v>-30</v>
      </c>
      <c r="D25" s="11">
        <f>March!D25-February!D25</f>
        <v>-1</v>
      </c>
      <c r="E25" s="11">
        <f>March!E25-February!E25</f>
        <v>9</v>
      </c>
      <c r="F25" s="10">
        <f t="shared" si="0"/>
        <v>3</v>
      </c>
    </row>
    <row r="26" spans="1:6" x14ac:dyDescent="0.25">
      <c r="A26" s="1" t="s">
        <v>23</v>
      </c>
      <c r="B26" s="11">
        <f>March!B26-February!B26</f>
        <v>39</v>
      </c>
      <c r="C26" s="11">
        <f>March!C26-February!C26</f>
        <v>2</v>
      </c>
      <c r="D26" s="11">
        <f>March!D26-February!D26</f>
        <v>4</v>
      </c>
      <c r="E26" s="11">
        <f>March!E26-February!E26</f>
        <v>15</v>
      </c>
      <c r="F26" s="10">
        <f t="shared" si="0"/>
        <v>60</v>
      </c>
    </row>
    <row r="27" spans="1:6" x14ac:dyDescent="0.25">
      <c r="A27" s="1" t="s">
        <v>24</v>
      </c>
      <c r="B27" s="11">
        <f>March!B27-February!B27</f>
        <v>14</v>
      </c>
      <c r="C27" s="11">
        <f>March!C27-February!C27</f>
        <v>-18</v>
      </c>
      <c r="D27" s="11">
        <f>March!D27-February!D27</f>
        <v>0</v>
      </c>
      <c r="E27" s="11">
        <f>March!E27-February!E27</f>
        <v>6</v>
      </c>
      <c r="F27" s="10">
        <f t="shared" si="0"/>
        <v>2</v>
      </c>
    </row>
    <row r="28" spans="1:6" x14ac:dyDescent="0.25">
      <c r="A28" s="1" t="s">
        <v>25</v>
      </c>
      <c r="B28" s="11">
        <f>March!B28-February!B28</f>
        <v>8</v>
      </c>
      <c r="C28" s="11">
        <f>March!C28-February!C28</f>
        <v>-17</v>
      </c>
      <c r="D28" s="11">
        <f>March!D28-February!D28</f>
        <v>-4</v>
      </c>
      <c r="E28" s="11">
        <f>March!E28-February!E28</f>
        <v>23</v>
      </c>
      <c r="F28" s="10">
        <f t="shared" si="0"/>
        <v>10</v>
      </c>
    </row>
    <row r="29" spans="1:6" x14ac:dyDescent="0.25">
      <c r="A29" s="1" t="s">
        <v>26</v>
      </c>
      <c r="B29" s="11">
        <f>March!B29-February!B29</f>
        <v>36</v>
      </c>
      <c r="C29" s="11">
        <f>March!C29-February!C29</f>
        <v>9</v>
      </c>
      <c r="D29" s="11">
        <f>March!D29-February!D29</f>
        <v>2</v>
      </c>
      <c r="E29" s="11">
        <f>March!E29-February!E29</f>
        <v>33</v>
      </c>
      <c r="F29" s="10">
        <f t="shared" si="0"/>
        <v>80</v>
      </c>
    </row>
    <row r="30" spans="1:6" x14ac:dyDescent="0.25">
      <c r="A30" s="1" t="s">
        <v>27</v>
      </c>
      <c r="B30" s="11">
        <f>March!B30-February!B30</f>
        <v>-286</v>
      </c>
      <c r="C30" s="11">
        <f>March!C30-February!C30</f>
        <v>-281</v>
      </c>
      <c r="D30" s="11">
        <f>March!D30-February!D30</f>
        <v>21</v>
      </c>
      <c r="E30" s="11">
        <f>March!E30-February!E30</f>
        <v>-253</v>
      </c>
      <c r="F30" s="10">
        <f t="shared" si="0"/>
        <v>-799</v>
      </c>
    </row>
    <row r="31" spans="1:6" x14ac:dyDescent="0.25">
      <c r="A31" s="1" t="s">
        <v>28</v>
      </c>
      <c r="B31" s="11">
        <f>March!B31-February!B31</f>
        <v>-60</v>
      </c>
      <c r="C31" s="11">
        <f>March!C31-February!C31</f>
        <v>-131</v>
      </c>
      <c r="D31" s="11">
        <f>March!D31-February!D31</f>
        <v>-3</v>
      </c>
      <c r="E31" s="11">
        <f>March!E31-February!E31</f>
        <v>14</v>
      </c>
      <c r="F31" s="10">
        <f t="shared" si="0"/>
        <v>-180</v>
      </c>
    </row>
    <row r="32" spans="1:6" x14ac:dyDescent="0.25">
      <c r="A32" s="1" t="s">
        <v>29</v>
      </c>
      <c r="B32" s="11">
        <f>March!B32-February!B32</f>
        <v>65</v>
      </c>
      <c r="C32" s="11">
        <f>March!C32-February!C32</f>
        <v>-308</v>
      </c>
      <c r="D32" s="11">
        <f>March!D32-February!D32</f>
        <v>104</v>
      </c>
      <c r="E32" s="11">
        <f>March!E32-February!E32</f>
        <v>477</v>
      </c>
      <c r="F32" s="10">
        <f t="shared" si="0"/>
        <v>338</v>
      </c>
    </row>
    <row r="33" spans="1:6" x14ac:dyDescent="0.25">
      <c r="A33" s="1" t="s">
        <v>30</v>
      </c>
      <c r="B33" s="11">
        <f>March!B33-February!B33</f>
        <v>35</v>
      </c>
      <c r="C33" s="11">
        <f>March!C33-February!C33</f>
        <v>-11</v>
      </c>
      <c r="D33" s="11">
        <f>March!D33-February!D33</f>
        <v>3</v>
      </c>
      <c r="E33" s="11">
        <f>March!E33-February!E33</f>
        <v>4</v>
      </c>
      <c r="F33" s="10">
        <f t="shared" si="0"/>
        <v>31</v>
      </c>
    </row>
    <row r="34" spans="1:6" x14ac:dyDescent="0.25">
      <c r="A34" s="1" t="s">
        <v>31</v>
      </c>
      <c r="B34" s="11">
        <f>March!B34-February!B34</f>
        <v>126</v>
      </c>
      <c r="C34" s="11">
        <f>March!C34-February!C34</f>
        <v>75</v>
      </c>
      <c r="D34" s="11">
        <f>March!D34-February!D34</f>
        <v>20</v>
      </c>
      <c r="E34" s="11">
        <f>March!E34-February!E34</f>
        <v>124</v>
      </c>
      <c r="F34" s="10">
        <f t="shared" si="0"/>
        <v>345</v>
      </c>
    </row>
    <row r="35" spans="1:6" x14ac:dyDescent="0.25">
      <c r="A35" s="1" t="s">
        <v>32</v>
      </c>
      <c r="B35" s="11">
        <f>March!B35-February!B35</f>
        <v>40</v>
      </c>
      <c r="C35" s="11">
        <f>March!C35-February!C35</f>
        <v>18</v>
      </c>
      <c r="D35" s="11">
        <f>March!D35-February!D35</f>
        <v>-1</v>
      </c>
      <c r="E35" s="11">
        <f>March!E35-February!E35</f>
        <v>21</v>
      </c>
      <c r="F35" s="10">
        <f t="shared" si="0"/>
        <v>78</v>
      </c>
    </row>
    <row r="36" spans="1:6" x14ac:dyDescent="0.25">
      <c r="A36" s="1" t="s">
        <v>33</v>
      </c>
      <c r="B36" s="11">
        <f>March!B36-February!B36</f>
        <v>31</v>
      </c>
      <c r="C36" s="11">
        <f>March!C36-February!C36</f>
        <v>-4</v>
      </c>
      <c r="D36" s="11">
        <f>March!D36-February!D36</f>
        <v>5</v>
      </c>
      <c r="E36" s="11">
        <f>March!E36-February!E36</f>
        <v>-6</v>
      </c>
      <c r="F36" s="10">
        <f t="shared" si="0"/>
        <v>26</v>
      </c>
    </row>
    <row r="37" spans="1:6" x14ac:dyDescent="0.25">
      <c r="A37" s="1" t="s">
        <v>34</v>
      </c>
      <c r="B37" s="11">
        <f>March!B37-February!B37</f>
        <v>5</v>
      </c>
      <c r="C37" s="11">
        <f>March!C37-February!C37</f>
        <v>-3</v>
      </c>
      <c r="D37" s="11">
        <f>March!D37-February!D37</f>
        <v>0</v>
      </c>
      <c r="E37" s="11">
        <f>March!E37-February!E37</f>
        <v>1</v>
      </c>
      <c r="F37" s="10">
        <f t="shared" si="0"/>
        <v>3</v>
      </c>
    </row>
    <row r="38" spans="1:6" x14ac:dyDescent="0.25">
      <c r="A38" s="1" t="s">
        <v>35</v>
      </c>
      <c r="B38" s="11">
        <f>March!B38-February!B38</f>
        <v>313</v>
      </c>
      <c r="C38" s="11">
        <f>March!C38-February!C38</f>
        <v>159</v>
      </c>
      <c r="D38" s="11">
        <f>March!D38-February!D38</f>
        <v>17</v>
      </c>
      <c r="E38" s="11">
        <f>March!E38-February!E38</f>
        <v>363</v>
      </c>
      <c r="F38" s="10">
        <f t="shared" si="0"/>
        <v>852</v>
      </c>
    </row>
    <row r="39" spans="1:6" x14ac:dyDescent="0.25">
      <c r="A39" s="1" t="s">
        <v>36</v>
      </c>
      <c r="B39" s="11">
        <f>March!B39-February!B39</f>
        <v>-412</v>
      </c>
      <c r="C39" s="11">
        <f>March!C39-February!C39</f>
        <v>-149</v>
      </c>
      <c r="D39" s="11">
        <f>March!D39-February!D39</f>
        <v>53</v>
      </c>
      <c r="E39" s="11">
        <f>March!E39-February!E39</f>
        <v>79</v>
      </c>
      <c r="F39" s="10">
        <f t="shared" si="0"/>
        <v>-429</v>
      </c>
    </row>
    <row r="40" spans="1:6" x14ac:dyDescent="0.25">
      <c r="A40" s="1" t="s">
        <v>37</v>
      </c>
      <c r="B40" s="11">
        <f>March!B40-February!B40</f>
        <v>49</v>
      </c>
      <c r="C40" s="11">
        <f>March!C40-February!C40</f>
        <v>87</v>
      </c>
      <c r="D40" s="11">
        <f>March!D40-February!D40</f>
        <v>25</v>
      </c>
      <c r="E40" s="11">
        <f>March!E40-February!E40</f>
        <v>134</v>
      </c>
      <c r="F40" s="10">
        <f t="shared" si="0"/>
        <v>295</v>
      </c>
    </row>
    <row r="41" spans="1:6" x14ac:dyDescent="0.25">
      <c r="A41" s="1" t="s">
        <v>38</v>
      </c>
      <c r="B41" s="11">
        <f>March!B41-February!B41</f>
        <v>38</v>
      </c>
      <c r="C41" s="11">
        <f>March!C41-February!C41</f>
        <v>10</v>
      </c>
      <c r="D41" s="11">
        <f>March!D41-February!D41</f>
        <v>4</v>
      </c>
      <c r="E41" s="11">
        <f>March!E41-February!E41</f>
        <v>27</v>
      </c>
      <c r="F41" s="10">
        <f t="shared" si="0"/>
        <v>79</v>
      </c>
    </row>
    <row r="42" spans="1:6" x14ac:dyDescent="0.25">
      <c r="A42" s="1" t="s">
        <v>39</v>
      </c>
      <c r="B42" s="11">
        <f>March!B42-February!B42</f>
        <v>7</v>
      </c>
      <c r="C42" s="11">
        <f>March!C42-February!C42</f>
        <v>-13</v>
      </c>
      <c r="D42" s="11">
        <f>March!D42-February!D42</f>
        <v>0</v>
      </c>
      <c r="E42" s="11">
        <f>March!E42-February!E42</f>
        <v>2</v>
      </c>
      <c r="F42" s="10">
        <f t="shared" si="0"/>
        <v>-4</v>
      </c>
    </row>
    <row r="43" spans="1:6" x14ac:dyDescent="0.25">
      <c r="A43" s="1" t="s">
        <v>40</v>
      </c>
      <c r="B43" s="11">
        <f>March!B43-February!B43</f>
        <v>16</v>
      </c>
      <c r="C43" s="11">
        <f>March!C43-February!C43</f>
        <v>-4</v>
      </c>
      <c r="D43" s="11">
        <f>March!D43-February!D43</f>
        <v>1</v>
      </c>
      <c r="E43" s="11">
        <f>March!E43-February!E43</f>
        <v>18</v>
      </c>
      <c r="F43" s="10">
        <f t="shared" si="0"/>
        <v>31</v>
      </c>
    </row>
    <row r="44" spans="1:6" x14ac:dyDescent="0.25">
      <c r="A44" s="1" t="s">
        <v>41</v>
      </c>
      <c r="B44" s="11">
        <f>March!B44-February!B44</f>
        <v>209</v>
      </c>
      <c r="C44" s="11">
        <f>March!C44-February!C44</f>
        <v>206</v>
      </c>
      <c r="D44" s="11">
        <f>March!D44-February!D44</f>
        <v>59</v>
      </c>
      <c r="E44" s="11">
        <f>March!E44-February!E44</f>
        <v>324</v>
      </c>
      <c r="F44" s="10">
        <f t="shared" si="0"/>
        <v>798</v>
      </c>
    </row>
    <row r="45" spans="1:6" x14ac:dyDescent="0.25">
      <c r="A45" s="1" t="s">
        <v>42</v>
      </c>
      <c r="B45" s="11">
        <f>March!B45-February!B45</f>
        <v>339</v>
      </c>
      <c r="C45" s="11">
        <f>March!C45-February!C45</f>
        <v>146</v>
      </c>
      <c r="D45" s="11">
        <f>March!D45-February!D45</f>
        <v>-31</v>
      </c>
      <c r="E45" s="11">
        <f>March!E45-February!E45</f>
        <v>370</v>
      </c>
      <c r="F45" s="10">
        <f t="shared" si="0"/>
        <v>824</v>
      </c>
    </row>
    <row r="46" spans="1:6" x14ac:dyDescent="0.25">
      <c r="A46" s="1" t="s">
        <v>43</v>
      </c>
      <c r="B46" s="11">
        <f>March!B46-February!B46</f>
        <v>53</v>
      </c>
      <c r="C46" s="11">
        <f>March!C46-February!C46</f>
        <v>63</v>
      </c>
      <c r="D46" s="11">
        <f>March!D46-February!D46</f>
        <v>30</v>
      </c>
      <c r="E46" s="11">
        <f>March!E46-February!E46</f>
        <v>98</v>
      </c>
      <c r="F46" s="10">
        <f t="shared" si="0"/>
        <v>244</v>
      </c>
    </row>
    <row r="47" spans="1:6" x14ac:dyDescent="0.25">
      <c r="A47" s="1" t="s">
        <v>44</v>
      </c>
      <c r="B47" s="11">
        <f>March!B47-February!B47</f>
        <v>74</v>
      </c>
      <c r="C47" s="11">
        <f>March!C47-February!C47</f>
        <v>716</v>
      </c>
      <c r="D47" s="11">
        <f>March!D47-February!D47</f>
        <v>280</v>
      </c>
      <c r="E47" s="11">
        <f>March!E47-February!E47</f>
        <v>1350</v>
      </c>
      <c r="F47" s="10">
        <f t="shared" si="0"/>
        <v>2420</v>
      </c>
    </row>
    <row r="48" spans="1:6" x14ac:dyDescent="0.25">
      <c r="A48" s="1" t="s">
        <v>45</v>
      </c>
      <c r="B48" s="11">
        <f>March!B48-February!B48</f>
        <v>-339</v>
      </c>
      <c r="C48" s="11">
        <f>March!C48-February!C48</f>
        <v>-219</v>
      </c>
      <c r="D48" s="11">
        <f>March!D48-February!D48</f>
        <v>6</v>
      </c>
      <c r="E48" s="11">
        <f>March!E48-February!E48</f>
        <v>-308</v>
      </c>
      <c r="F48" s="10">
        <f t="shared" si="0"/>
        <v>-860</v>
      </c>
    </row>
    <row r="49" spans="1:6" x14ac:dyDescent="0.25">
      <c r="A49" s="1" t="s">
        <v>46</v>
      </c>
      <c r="B49" s="11">
        <f>March!B49-February!B49</f>
        <v>-110</v>
      </c>
      <c r="C49" s="11">
        <f>March!C49-February!C49</f>
        <v>-70</v>
      </c>
      <c r="D49" s="11">
        <f>March!D49-February!D49</f>
        <v>5</v>
      </c>
      <c r="E49" s="11">
        <f>March!E49-February!E49</f>
        <v>-67</v>
      </c>
      <c r="F49" s="10">
        <f t="shared" si="0"/>
        <v>-242</v>
      </c>
    </row>
    <row r="50" spans="1:6" x14ac:dyDescent="0.25">
      <c r="A50" s="1" t="s">
        <v>47</v>
      </c>
      <c r="B50" s="11">
        <f>March!B50-February!B50</f>
        <v>249</v>
      </c>
      <c r="C50" s="11">
        <f>March!C50-February!C50</f>
        <v>136</v>
      </c>
      <c r="D50" s="11">
        <f>March!D50-February!D50</f>
        <v>35</v>
      </c>
      <c r="E50" s="11">
        <f>March!E50-February!E50</f>
        <v>258</v>
      </c>
      <c r="F50" s="10">
        <f t="shared" si="0"/>
        <v>678</v>
      </c>
    </row>
    <row r="51" spans="1:6" x14ac:dyDescent="0.25">
      <c r="A51" s="1" t="s">
        <v>48</v>
      </c>
      <c r="B51" s="11">
        <f>March!B51-February!B51</f>
        <v>32</v>
      </c>
      <c r="C51" s="11">
        <f>March!C51-February!C51</f>
        <v>21</v>
      </c>
      <c r="D51" s="11">
        <f>March!D51-February!D51</f>
        <v>-1</v>
      </c>
      <c r="E51" s="11">
        <f>March!E51-February!E51</f>
        <v>54</v>
      </c>
      <c r="F51" s="10">
        <f t="shared" si="0"/>
        <v>106</v>
      </c>
    </row>
    <row r="52" spans="1:6" x14ac:dyDescent="0.25">
      <c r="A52" s="1" t="s">
        <v>49</v>
      </c>
      <c r="B52" s="11">
        <f>March!B52-February!B52</f>
        <v>594</v>
      </c>
      <c r="C52" s="11">
        <f>March!C52-February!C52</f>
        <v>1303</v>
      </c>
      <c r="D52" s="11">
        <f>March!D52-February!D52</f>
        <v>195</v>
      </c>
      <c r="E52" s="11">
        <f>March!E52-February!E52</f>
        <v>1947</v>
      </c>
      <c r="F52" s="10">
        <f t="shared" si="0"/>
        <v>4039</v>
      </c>
    </row>
    <row r="53" spans="1:6" x14ac:dyDescent="0.25">
      <c r="A53" s="1" t="s">
        <v>50</v>
      </c>
      <c r="B53" s="11">
        <f>March!B53-February!B53</f>
        <v>148</v>
      </c>
      <c r="C53" s="11">
        <f>March!C53-February!C53</f>
        <v>359</v>
      </c>
      <c r="D53" s="11">
        <f>March!D53-February!D53</f>
        <v>16</v>
      </c>
      <c r="E53" s="11">
        <f>March!E53-February!E53</f>
        <v>764</v>
      </c>
      <c r="F53" s="10">
        <f t="shared" si="0"/>
        <v>1287</v>
      </c>
    </row>
    <row r="54" spans="1:6" x14ac:dyDescent="0.25">
      <c r="A54" s="1" t="s">
        <v>51</v>
      </c>
      <c r="B54" s="11">
        <f>March!B54-February!B54</f>
        <v>425</v>
      </c>
      <c r="C54" s="11">
        <f>March!C54-February!C54</f>
        <v>849</v>
      </c>
      <c r="D54" s="11">
        <f>March!D54-February!D54</f>
        <v>218</v>
      </c>
      <c r="E54" s="11">
        <f>March!E54-February!E54</f>
        <v>1003</v>
      </c>
      <c r="F54" s="10">
        <f t="shared" si="0"/>
        <v>2495</v>
      </c>
    </row>
    <row r="55" spans="1:6" x14ac:dyDescent="0.25">
      <c r="A55" s="1" t="s">
        <v>52</v>
      </c>
      <c r="B55" s="11">
        <f>March!B55-February!B55</f>
        <v>7</v>
      </c>
      <c r="C55" s="11">
        <f>March!C55-February!C55</f>
        <v>-141</v>
      </c>
      <c r="D55" s="11">
        <f>March!D55-February!D55</f>
        <v>66</v>
      </c>
      <c r="E55" s="11">
        <f>March!E55-February!E55</f>
        <v>77</v>
      </c>
      <c r="F55" s="10">
        <f t="shared" si="0"/>
        <v>9</v>
      </c>
    </row>
    <row r="56" spans="1:6" x14ac:dyDescent="0.25">
      <c r="A56" s="1" t="s">
        <v>53</v>
      </c>
      <c r="B56" s="11">
        <f>March!B56-February!B56</f>
        <v>202</v>
      </c>
      <c r="C56" s="11">
        <f>March!C56-February!C56</f>
        <v>349</v>
      </c>
      <c r="D56" s="11">
        <f>March!D56-February!D56</f>
        <v>109</v>
      </c>
      <c r="E56" s="11">
        <f>March!E56-February!E56</f>
        <v>803</v>
      </c>
      <c r="F56" s="10">
        <f t="shared" si="0"/>
        <v>1463</v>
      </c>
    </row>
    <row r="57" spans="1:6" x14ac:dyDescent="0.25">
      <c r="A57" s="1" t="s">
        <v>54</v>
      </c>
      <c r="B57" s="11">
        <f>March!B57-February!B57</f>
        <v>-754</v>
      </c>
      <c r="C57" s="11">
        <f>March!C57-February!C57</f>
        <v>-575</v>
      </c>
      <c r="D57" s="11">
        <f>March!D57-February!D57</f>
        <v>69</v>
      </c>
      <c r="E57" s="11">
        <f>March!E57-February!E57</f>
        <v>-12</v>
      </c>
      <c r="F57" s="10">
        <f t="shared" si="0"/>
        <v>-1272</v>
      </c>
    </row>
    <row r="58" spans="1:6" x14ac:dyDescent="0.25">
      <c r="A58" s="1" t="s">
        <v>55</v>
      </c>
      <c r="B58" s="11">
        <f>March!B58-February!B58</f>
        <v>89</v>
      </c>
      <c r="C58" s="11">
        <f>March!C58-February!C58</f>
        <v>-18</v>
      </c>
      <c r="D58" s="11">
        <f>March!D58-February!D58</f>
        <v>13</v>
      </c>
      <c r="E58" s="11">
        <f>March!E58-February!E58</f>
        <v>54</v>
      </c>
      <c r="F58" s="10">
        <f t="shared" si="0"/>
        <v>138</v>
      </c>
    </row>
    <row r="59" spans="1:6" x14ac:dyDescent="0.25">
      <c r="A59" s="1" t="s">
        <v>56</v>
      </c>
      <c r="B59" s="11">
        <f>March!B59-February!B59</f>
        <v>203</v>
      </c>
      <c r="C59" s="11">
        <f>March!C59-February!C59</f>
        <v>51</v>
      </c>
      <c r="D59" s="11">
        <f>March!D59-February!D59</f>
        <v>39</v>
      </c>
      <c r="E59" s="11">
        <f>March!E59-February!E59</f>
        <v>158</v>
      </c>
      <c r="F59" s="10">
        <f t="shared" si="0"/>
        <v>451</v>
      </c>
    </row>
    <row r="60" spans="1:6" x14ac:dyDescent="0.25">
      <c r="A60" s="1" t="s">
        <v>57</v>
      </c>
      <c r="B60" s="11">
        <f>March!B60-February!B60</f>
        <v>274</v>
      </c>
      <c r="C60" s="11">
        <f>March!C60-February!C60</f>
        <v>301</v>
      </c>
      <c r="D60" s="11">
        <f>March!D60-February!D60</f>
        <v>58</v>
      </c>
      <c r="E60" s="11">
        <f>March!E60-February!E60</f>
        <v>325</v>
      </c>
      <c r="F60" s="10">
        <f t="shared" si="0"/>
        <v>958</v>
      </c>
    </row>
    <row r="61" spans="1:6" x14ac:dyDescent="0.25">
      <c r="A61" s="1" t="s">
        <v>58</v>
      </c>
      <c r="B61" s="11">
        <f>March!B61-February!B61</f>
        <v>-746</v>
      </c>
      <c r="C61" s="11">
        <f>March!C61-February!C61</f>
        <v>-537</v>
      </c>
      <c r="D61" s="11">
        <f>March!D61-February!D61</f>
        <v>53</v>
      </c>
      <c r="E61" s="11">
        <f>March!E61-February!E61</f>
        <v>-379</v>
      </c>
      <c r="F61" s="10">
        <f t="shared" si="0"/>
        <v>-1609</v>
      </c>
    </row>
    <row r="62" spans="1:6" x14ac:dyDescent="0.25">
      <c r="A62" s="1" t="s">
        <v>59</v>
      </c>
      <c r="B62" s="11">
        <f>March!B62-February!B62</f>
        <v>313</v>
      </c>
      <c r="C62" s="11">
        <f>March!C62-February!C62</f>
        <v>184</v>
      </c>
      <c r="D62" s="11">
        <f>March!D62-February!D62</f>
        <v>66</v>
      </c>
      <c r="E62" s="11">
        <f>March!E62-February!E62</f>
        <v>318</v>
      </c>
      <c r="F62" s="10">
        <f t="shared" si="0"/>
        <v>881</v>
      </c>
    </row>
    <row r="63" spans="1:6" x14ac:dyDescent="0.25">
      <c r="A63" s="1" t="s">
        <v>60</v>
      </c>
      <c r="B63" s="11">
        <f>March!B63-February!B63</f>
        <v>225</v>
      </c>
      <c r="C63" s="11">
        <f>March!C63-February!C63</f>
        <v>228</v>
      </c>
      <c r="D63" s="11">
        <f>March!D63-February!D63</f>
        <v>44</v>
      </c>
      <c r="E63" s="11">
        <f>March!E63-February!E63</f>
        <v>302</v>
      </c>
      <c r="F63" s="10">
        <f t="shared" si="0"/>
        <v>799</v>
      </c>
    </row>
    <row r="64" spans="1:6" x14ac:dyDescent="0.25">
      <c r="A64" s="1" t="s">
        <v>61</v>
      </c>
      <c r="B64" s="11">
        <f>March!B64-February!B64</f>
        <v>159</v>
      </c>
      <c r="C64" s="11">
        <f>March!C64-February!C64</f>
        <v>75</v>
      </c>
      <c r="D64" s="11">
        <f>March!D64-February!D64</f>
        <v>7</v>
      </c>
      <c r="E64" s="11">
        <f>March!E64-February!E64</f>
        <v>91</v>
      </c>
      <c r="F64" s="10">
        <f t="shared" si="0"/>
        <v>332</v>
      </c>
    </row>
    <row r="65" spans="1:6" x14ac:dyDescent="0.25">
      <c r="A65" s="1" t="s">
        <v>62</v>
      </c>
      <c r="B65" s="11">
        <f>March!B65-February!B65</f>
        <v>100</v>
      </c>
      <c r="C65" s="11">
        <f>March!C65-February!C65</f>
        <v>-14</v>
      </c>
      <c r="D65" s="11">
        <f>March!D65-February!D65</f>
        <v>10</v>
      </c>
      <c r="E65" s="11">
        <f>March!E65-February!E65</f>
        <v>20</v>
      </c>
      <c r="F65" s="10">
        <f t="shared" si="0"/>
        <v>116</v>
      </c>
    </row>
    <row r="66" spans="1:6" x14ac:dyDescent="0.25">
      <c r="A66" s="1" t="s">
        <v>63</v>
      </c>
      <c r="B66" s="11">
        <f>March!B66-February!B66</f>
        <v>-9</v>
      </c>
      <c r="C66" s="11">
        <f>March!C66-February!C66</f>
        <v>-23</v>
      </c>
      <c r="D66" s="11">
        <f>March!D66-February!D66</f>
        <v>2</v>
      </c>
      <c r="E66" s="11">
        <f>March!E66-February!E66</f>
        <v>4</v>
      </c>
      <c r="F66" s="10">
        <f t="shared" si="0"/>
        <v>-26</v>
      </c>
    </row>
    <row r="67" spans="1:6" x14ac:dyDescent="0.25">
      <c r="A67" s="1" t="s">
        <v>64</v>
      </c>
      <c r="B67" s="11">
        <f>March!B67-February!B67</f>
        <v>8</v>
      </c>
      <c r="C67" s="11">
        <f>March!C67-February!C67</f>
        <v>-3</v>
      </c>
      <c r="D67" s="11">
        <f>March!D67-February!D67</f>
        <v>0</v>
      </c>
      <c r="E67" s="11">
        <f>March!E67-February!E67</f>
        <v>7</v>
      </c>
      <c r="F67" s="10">
        <f t="shared" si="0"/>
        <v>12</v>
      </c>
    </row>
    <row r="68" spans="1:6" x14ac:dyDescent="0.25">
      <c r="A68" s="1" t="s">
        <v>65</v>
      </c>
      <c r="B68" s="11">
        <f>March!B68-February!B68</f>
        <v>292</v>
      </c>
      <c r="C68" s="11">
        <f>March!C68-February!C68</f>
        <v>168</v>
      </c>
      <c r="D68" s="11">
        <f>March!D68-February!D68</f>
        <v>80</v>
      </c>
      <c r="E68" s="11">
        <f>March!E68-February!E68</f>
        <v>396</v>
      </c>
      <c r="F68" s="10">
        <f t="shared" si="0"/>
        <v>936</v>
      </c>
    </row>
    <row r="69" spans="1:6" x14ac:dyDescent="0.25">
      <c r="A69" s="1" t="s">
        <v>66</v>
      </c>
      <c r="B69" s="11">
        <f>March!B69-February!B69</f>
        <v>45</v>
      </c>
      <c r="C69" s="11">
        <f>March!C69-February!C69</f>
        <v>-3</v>
      </c>
      <c r="D69" s="11">
        <f>March!D69-February!D69</f>
        <v>3</v>
      </c>
      <c r="E69" s="11">
        <f>March!E69-February!E69</f>
        <v>3</v>
      </c>
      <c r="F69" s="10">
        <f t="shared" si="0"/>
        <v>48</v>
      </c>
    </row>
    <row r="70" spans="1:6" x14ac:dyDescent="0.25">
      <c r="A70" s="1" t="s">
        <v>67</v>
      </c>
      <c r="B70" s="11">
        <f>March!B70-February!B70</f>
        <v>128</v>
      </c>
      <c r="C70" s="11">
        <f>March!C70-February!C70</f>
        <v>12</v>
      </c>
      <c r="D70" s="11">
        <f>March!D70-February!D70</f>
        <v>15</v>
      </c>
      <c r="E70" s="11">
        <f>March!E70-February!E70</f>
        <v>47</v>
      </c>
      <c r="F70" s="10">
        <f t="shared" ref="F70:F71" si="1">SUM(B70:E70)</f>
        <v>202</v>
      </c>
    </row>
    <row r="71" spans="1:6" ht="15.75" thickBot="1" x14ac:dyDescent="0.3">
      <c r="A71" s="1" t="s">
        <v>68</v>
      </c>
      <c r="B71" s="11">
        <f>March!B71-February!B71</f>
        <v>27</v>
      </c>
      <c r="C71" s="11">
        <f>March!C71-February!C71</f>
        <v>-1</v>
      </c>
      <c r="D71" s="11">
        <f>March!D71-February!D71</f>
        <v>4</v>
      </c>
      <c r="E71" s="11">
        <f>March!E71-February!E71</f>
        <v>0</v>
      </c>
      <c r="F71" s="10">
        <f t="shared" si="1"/>
        <v>30</v>
      </c>
    </row>
    <row r="72" spans="1:6" ht="16.5" thickTop="1" thickBot="1" x14ac:dyDescent="0.3">
      <c r="A72" s="3" t="s">
        <v>1</v>
      </c>
      <c r="B72" s="8">
        <f>SUM(B5:B71)</f>
        <v>-1570</v>
      </c>
      <c r="C72" s="8">
        <f>SUM(C5:C71)</f>
        <v>-9634</v>
      </c>
      <c r="D72" s="8">
        <f>SUM(D5:D71)</f>
        <v>2277</v>
      </c>
      <c r="E72" s="8">
        <f>SUM(E5:E71)</f>
        <v>3755</v>
      </c>
      <c r="F72" s="8">
        <f>SUM(F5:F71)</f>
        <v>-5172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opLeftCell="A41" workbookViewId="0">
      <selection activeCell="B5" sqref="B5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x14ac:dyDescent="0.3">
      <c r="A1" s="14" t="s">
        <v>89</v>
      </c>
      <c r="B1" s="15"/>
      <c r="C1" s="15"/>
      <c r="D1" s="15"/>
      <c r="E1" s="15"/>
      <c r="F1" s="16"/>
    </row>
    <row r="2" spans="1:6" x14ac:dyDescent="0.25">
      <c r="A2" s="17" t="s">
        <v>112</v>
      </c>
      <c r="B2" s="18"/>
      <c r="C2" s="18"/>
      <c r="D2" s="18"/>
      <c r="E2" s="18"/>
      <c r="F2" s="19"/>
    </row>
    <row r="3" spans="1:6" x14ac:dyDescent="0.25">
      <c r="A3" s="20" t="s">
        <v>73</v>
      </c>
      <c r="B3" s="21"/>
      <c r="C3" s="21"/>
      <c r="D3" s="21"/>
      <c r="E3" s="21"/>
      <c r="F3" s="22"/>
    </row>
    <row r="4" spans="1:6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11">
        <f>April!B5-March!B5</f>
        <v>40</v>
      </c>
      <c r="C5" s="11">
        <f>April!C5-March!C5</f>
        <v>67</v>
      </c>
      <c r="D5" s="11">
        <f>April!D5-March!D5</f>
        <v>26</v>
      </c>
      <c r="E5" s="11">
        <f>April!E5-March!E5</f>
        <v>144</v>
      </c>
      <c r="F5" s="10">
        <f>SUM(B5:E5)</f>
        <v>277</v>
      </c>
    </row>
    <row r="6" spans="1:6" x14ac:dyDescent="0.25">
      <c r="A6" s="1" t="s">
        <v>3</v>
      </c>
      <c r="B6" s="11">
        <f>April!B6-March!B6</f>
        <v>-7</v>
      </c>
      <c r="C6" s="11">
        <f>April!C6-March!C6</f>
        <v>-31</v>
      </c>
      <c r="D6" s="11">
        <f>April!D6-March!D6</f>
        <v>2</v>
      </c>
      <c r="E6" s="11">
        <f>April!E6-March!E6</f>
        <v>4</v>
      </c>
      <c r="F6" s="10">
        <f t="shared" ref="F6:F69" si="0">SUM(B6:E6)</f>
        <v>-32</v>
      </c>
    </row>
    <row r="7" spans="1:6" x14ac:dyDescent="0.25">
      <c r="A7" s="1" t="s">
        <v>4</v>
      </c>
      <c r="B7" s="11">
        <f>April!B7-March!B7</f>
        <v>112</v>
      </c>
      <c r="C7" s="11">
        <f>April!C7-March!C7</f>
        <v>17</v>
      </c>
      <c r="D7" s="11">
        <f>April!D7-March!D7</f>
        <v>31</v>
      </c>
      <c r="E7" s="11">
        <f>April!E7-March!E7</f>
        <v>97</v>
      </c>
      <c r="F7" s="10">
        <f t="shared" si="0"/>
        <v>257</v>
      </c>
    </row>
    <row r="8" spans="1:6" x14ac:dyDescent="0.25">
      <c r="A8" s="1" t="s">
        <v>5</v>
      </c>
      <c r="B8" s="11">
        <f>April!B8-March!B8</f>
        <v>17</v>
      </c>
      <c r="C8" s="11">
        <f>April!C8-March!C8</f>
        <v>4</v>
      </c>
      <c r="D8" s="11">
        <f>April!D8-March!D8</f>
        <v>4</v>
      </c>
      <c r="E8" s="11">
        <f>April!E8-March!E8</f>
        <v>10</v>
      </c>
      <c r="F8" s="10">
        <f t="shared" si="0"/>
        <v>35</v>
      </c>
    </row>
    <row r="9" spans="1:6" x14ac:dyDescent="0.25">
      <c r="A9" s="1" t="s">
        <v>6</v>
      </c>
      <c r="B9" s="11">
        <f>April!B9-March!B9</f>
        <v>501</v>
      </c>
      <c r="C9" s="11">
        <f>April!C9-March!C9</f>
        <v>463</v>
      </c>
      <c r="D9" s="11">
        <f>April!D9-March!D9</f>
        <v>133</v>
      </c>
      <c r="E9" s="11">
        <f>April!E9-March!E9</f>
        <v>491</v>
      </c>
      <c r="F9" s="10">
        <f t="shared" si="0"/>
        <v>1588</v>
      </c>
    </row>
    <row r="10" spans="1:6" x14ac:dyDescent="0.25">
      <c r="A10" s="1" t="s">
        <v>7</v>
      </c>
      <c r="B10" s="11">
        <f>April!B10-March!B10</f>
        <v>-4104</v>
      </c>
      <c r="C10" s="11">
        <f>April!C10-March!C10</f>
        <v>-11025</v>
      </c>
      <c r="D10" s="11">
        <f>April!D10-March!D10</f>
        <v>121</v>
      </c>
      <c r="E10" s="11">
        <f>April!E10-March!E10</f>
        <v>-5956</v>
      </c>
      <c r="F10" s="10">
        <f t="shared" si="0"/>
        <v>-20964</v>
      </c>
    </row>
    <row r="11" spans="1:6" x14ac:dyDescent="0.25">
      <c r="A11" s="1" t="s">
        <v>8</v>
      </c>
      <c r="B11" s="11">
        <f>April!B11-March!B11</f>
        <v>9</v>
      </c>
      <c r="C11" s="11">
        <f>April!C11-March!C11</f>
        <v>-8</v>
      </c>
      <c r="D11" s="11">
        <f>April!D11-March!D11</f>
        <v>0</v>
      </c>
      <c r="E11" s="11">
        <f>April!E11-March!E11</f>
        <v>-1</v>
      </c>
      <c r="F11" s="10">
        <f t="shared" si="0"/>
        <v>0</v>
      </c>
    </row>
    <row r="12" spans="1:6" x14ac:dyDescent="0.25">
      <c r="A12" s="1" t="s">
        <v>9</v>
      </c>
      <c r="B12" s="11">
        <f>April!B12-March!B12</f>
        <v>234</v>
      </c>
      <c r="C12" s="11">
        <f>April!C12-March!C12</f>
        <v>14</v>
      </c>
      <c r="D12" s="11">
        <f>April!D12-March!D12</f>
        <v>25</v>
      </c>
      <c r="E12" s="11">
        <f>April!E12-March!E12</f>
        <v>97</v>
      </c>
      <c r="F12" s="10">
        <f t="shared" si="0"/>
        <v>370</v>
      </c>
    </row>
    <row r="13" spans="1:6" x14ac:dyDescent="0.25">
      <c r="A13" s="1" t="s">
        <v>10</v>
      </c>
      <c r="B13" s="11">
        <f>April!B13-March!B13</f>
        <v>245</v>
      </c>
      <c r="C13" s="11">
        <f>April!C13-March!C13</f>
        <v>30</v>
      </c>
      <c r="D13" s="11">
        <f>April!D13-March!D13</f>
        <v>20</v>
      </c>
      <c r="E13" s="11">
        <f>April!E13-March!E13</f>
        <v>61</v>
      </c>
      <c r="F13" s="10">
        <f t="shared" si="0"/>
        <v>356</v>
      </c>
    </row>
    <row r="14" spans="1:6" x14ac:dyDescent="0.25">
      <c r="A14" s="1" t="s">
        <v>11</v>
      </c>
      <c r="B14" s="11">
        <f>April!B14-March!B14</f>
        <v>-33</v>
      </c>
      <c r="C14" s="11">
        <f>April!C14-March!C14</f>
        <v>2</v>
      </c>
      <c r="D14" s="11">
        <f>April!D14-March!D14</f>
        <v>15</v>
      </c>
      <c r="E14" s="11">
        <f>April!E14-March!E14</f>
        <v>99</v>
      </c>
      <c r="F14" s="10">
        <f t="shared" si="0"/>
        <v>83</v>
      </c>
    </row>
    <row r="15" spans="1:6" x14ac:dyDescent="0.25">
      <c r="A15" s="1" t="s">
        <v>12</v>
      </c>
      <c r="B15" s="11">
        <f>April!B15-March!B15</f>
        <v>423</v>
      </c>
      <c r="C15" s="11">
        <f>April!C15-March!C15</f>
        <v>283</v>
      </c>
      <c r="D15" s="11">
        <f>April!D15-March!D15</f>
        <v>22</v>
      </c>
      <c r="E15" s="11">
        <f>April!E15-March!E15</f>
        <v>323</v>
      </c>
      <c r="F15" s="10">
        <f t="shared" si="0"/>
        <v>1051</v>
      </c>
    </row>
    <row r="16" spans="1:6" x14ac:dyDescent="0.25">
      <c r="A16" s="1" t="s">
        <v>13</v>
      </c>
      <c r="B16" s="11">
        <f>April!B16-March!B16</f>
        <v>101</v>
      </c>
      <c r="C16" s="11">
        <f>April!C16-March!C16</f>
        <v>11</v>
      </c>
      <c r="D16" s="11">
        <f>April!D16-March!D16</f>
        <v>7</v>
      </c>
      <c r="E16" s="11">
        <f>April!E16-March!E16</f>
        <v>58</v>
      </c>
      <c r="F16" s="10">
        <f t="shared" si="0"/>
        <v>177</v>
      </c>
    </row>
    <row r="17" spans="1:6" x14ac:dyDescent="0.25">
      <c r="A17" s="1" t="s">
        <v>14</v>
      </c>
      <c r="B17" s="11">
        <f>April!B17-March!B17</f>
        <v>19</v>
      </c>
      <c r="C17" s="11">
        <f>April!C17-March!C17</f>
        <v>-9</v>
      </c>
      <c r="D17" s="11">
        <f>April!D17-March!D17</f>
        <v>0</v>
      </c>
      <c r="E17" s="11">
        <f>April!E17-March!E17</f>
        <v>32</v>
      </c>
      <c r="F17" s="10">
        <f t="shared" si="0"/>
        <v>42</v>
      </c>
    </row>
    <row r="18" spans="1:6" x14ac:dyDescent="0.25">
      <c r="A18" s="1" t="s">
        <v>15</v>
      </c>
      <c r="B18" s="11">
        <f>April!B18-March!B18</f>
        <v>25</v>
      </c>
      <c r="C18" s="11">
        <f>April!C18-March!C18</f>
        <v>-4</v>
      </c>
      <c r="D18" s="11">
        <f>April!D18-March!D18</f>
        <v>1</v>
      </c>
      <c r="E18" s="11">
        <f>April!E18-March!E18</f>
        <v>11</v>
      </c>
      <c r="F18" s="10">
        <f t="shared" si="0"/>
        <v>33</v>
      </c>
    </row>
    <row r="19" spans="1:6" x14ac:dyDescent="0.25">
      <c r="A19" s="1" t="s">
        <v>16</v>
      </c>
      <c r="B19" s="11">
        <f>April!B19-March!B19</f>
        <v>321</v>
      </c>
      <c r="C19" s="11">
        <f>April!C19-March!C19</f>
        <v>715</v>
      </c>
      <c r="D19" s="11">
        <f>April!D19-March!D19</f>
        <v>92</v>
      </c>
      <c r="E19" s="11">
        <f>April!E19-March!E19</f>
        <v>1091</v>
      </c>
      <c r="F19" s="10">
        <f t="shared" si="0"/>
        <v>2219</v>
      </c>
    </row>
    <row r="20" spans="1:6" x14ac:dyDescent="0.25">
      <c r="A20" s="1" t="s">
        <v>17</v>
      </c>
      <c r="B20" s="11">
        <f>April!B20-March!B20</f>
        <v>243</v>
      </c>
      <c r="C20" s="11">
        <f>April!C20-March!C20</f>
        <v>101</v>
      </c>
      <c r="D20" s="11">
        <f>April!D20-March!D20</f>
        <v>51</v>
      </c>
      <c r="E20" s="11">
        <f>April!E20-March!E20</f>
        <v>281</v>
      </c>
      <c r="F20" s="10">
        <f t="shared" si="0"/>
        <v>676</v>
      </c>
    </row>
    <row r="21" spans="1:6" x14ac:dyDescent="0.25">
      <c r="A21" s="1" t="s">
        <v>18</v>
      </c>
      <c r="B21" s="11">
        <f>April!B21-March!B21</f>
        <v>149</v>
      </c>
      <c r="C21" s="11">
        <f>April!C21-March!C21</f>
        <v>90</v>
      </c>
      <c r="D21" s="11">
        <f>April!D21-March!D21</f>
        <v>6</v>
      </c>
      <c r="E21" s="11">
        <f>April!E21-March!E21</f>
        <v>115</v>
      </c>
      <c r="F21" s="10">
        <f t="shared" si="0"/>
        <v>360</v>
      </c>
    </row>
    <row r="22" spans="1:6" x14ac:dyDescent="0.25">
      <c r="A22" s="1" t="s">
        <v>19</v>
      </c>
      <c r="B22" s="11">
        <f>April!B22-March!B22</f>
        <v>-44</v>
      </c>
      <c r="C22" s="11">
        <f>April!C22-March!C22</f>
        <v>-83</v>
      </c>
      <c r="D22" s="11">
        <f>April!D22-March!D22</f>
        <v>-1</v>
      </c>
      <c r="E22" s="11">
        <f>April!E22-March!E22</f>
        <v>-22</v>
      </c>
      <c r="F22" s="10">
        <f t="shared" si="0"/>
        <v>-150</v>
      </c>
    </row>
    <row r="23" spans="1:6" x14ac:dyDescent="0.25">
      <c r="A23" s="1" t="s">
        <v>20</v>
      </c>
      <c r="B23" s="11">
        <f>April!B23-March!B23</f>
        <v>36</v>
      </c>
      <c r="C23" s="11">
        <f>April!C23-March!C23</f>
        <v>83</v>
      </c>
      <c r="D23" s="11">
        <f>April!D23-March!D23</f>
        <v>2</v>
      </c>
      <c r="E23" s="11">
        <f>April!E23-March!E23</f>
        <v>52</v>
      </c>
      <c r="F23" s="10">
        <f t="shared" si="0"/>
        <v>173</v>
      </c>
    </row>
    <row r="24" spans="1:6" x14ac:dyDescent="0.25">
      <c r="A24" s="1" t="s">
        <v>21</v>
      </c>
      <c r="B24" s="11">
        <f>April!B24-March!B24</f>
        <v>7</v>
      </c>
      <c r="C24" s="11">
        <f>April!C24-March!C24</f>
        <v>-5</v>
      </c>
      <c r="D24" s="11">
        <f>April!D24-March!D24</f>
        <v>1</v>
      </c>
      <c r="E24" s="11">
        <f>April!E24-March!E24</f>
        <v>15</v>
      </c>
      <c r="F24" s="10">
        <f t="shared" si="0"/>
        <v>18</v>
      </c>
    </row>
    <row r="25" spans="1:6" x14ac:dyDescent="0.25">
      <c r="A25" s="1" t="s">
        <v>22</v>
      </c>
      <c r="B25" s="11">
        <f>April!B25-March!B25</f>
        <v>13</v>
      </c>
      <c r="C25" s="11">
        <f>April!C25-March!C25</f>
        <v>-8</v>
      </c>
      <c r="D25" s="11">
        <f>April!D25-March!D25</f>
        <v>1</v>
      </c>
      <c r="E25" s="11">
        <f>April!E25-March!E25</f>
        <v>7</v>
      </c>
      <c r="F25" s="10">
        <f t="shared" si="0"/>
        <v>13</v>
      </c>
    </row>
    <row r="26" spans="1:6" x14ac:dyDescent="0.25">
      <c r="A26" s="1" t="s">
        <v>23</v>
      </c>
      <c r="B26" s="11">
        <f>April!B26-March!B26</f>
        <v>28</v>
      </c>
      <c r="C26" s="11">
        <f>April!C26-March!C26</f>
        <v>2</v>
      </c>
      <c r="D26" s="11">
        <f>April!D26-March!D26</f>
        <v>7</v>
      </c>
      <c r="E26" s="11">
        <f>April!E26-March!E26</f>
        <v>-5</v>
      </c>
      <c r="F26" s="10">
        <f t="shared" si="0"/>
        <v>32</v>
      </c>
    </row>
    <row r="27" spans="1:6" x14ac:dyDescent="0.25">
      <c r="A27" s="1" t="s">
        <v>24</v>
      </c>
      <c r="B27" s="11">
        <f>April!B27-March!B27</f>
        <v>2</v>
      </c>
      <c r="C27" s="11">
        <f>April!C27-March!C27</f>
        <v>-9</v>
      </c>
      <c r="D27" s="11">
        <f>April!D27-March!D27</f>
        <v>2</v>
      </c>
      <c r="E27" s="11">
        <f>April!E27-March!E27</f>
        <v>4</v>
      </c>
      <c r="F27" s="10">
        <f t="shared" si="0"/>
        <v>-1</v>
      </c>
    </row>
    <row r="28" spans="1:6" x14ac:dyDescent="0.25">
      <c r="A28" s="1" t="s">
        <v>25</v>
      </c>
      <c r="B28" s="11">
        <f>April!B28-March!B28</f>
        <v>11</v>
      </c>
      <c r="C28" s="11">
        <f>April!C28-March!C28</f>
        <v>-5</v>
      </c>
      <c r="D28" s="11">
        <f>April!D28-March!D28</f>
        <v>1</v>
      </c>
      <c r="E28" s="11">
        <f>April!E28-March!E28</f>
        <v>27</v>
      </c>
      <c r="F28" s="10">
        <f t="shared" si="0"/>
        <v>34</v>
      </c>
    </row>
    <row r="29" spans="1:6" x14ac:dyDescent="0.25">
      <c r="A29" s="1" t="s">
        <v>26</v>
      </c>
      <c r="B29" s="11">
        <f>April!B29-March!B29</f>
        <v>11</v>
      </c>
      <c r="C29" s="11">
        <f>April!C29-March!C29</f>
        <v>-5</v>
      </c>
      <c r="D29" s="11">
        <f>April!D29-March!D29</f>
        <v>-3</v>
      </c>
      <c r="E29" s="11">
        <f>April!E29-March!E29</f>
        <v>22</v>
      </c>
      <c r="F29" s="10">
        <f t="shared" si="0"/>
        <v>25</v>
      </c>
    </row>
    <row r="30" spans="1:6" x14ac:dyDescent="0.25">
      <c r="A30" s="1" t="s">
        <v>27</v>
      </c>
      <c r="B30" s="11">
        <f>April!B30-March!B30</f>
        <v>192</v>
      </c>
      <c r="C30" s="11">
        <f>April!C30-March!C30</f>
        <v>89</v>
      </c>
      <c r="D30" s="11">
        <f>April!D30-March!D30</f>
        <v>43</v>
      </c>
      <c r="E30" s="11">
        <f>April!E30-March!E30</f>
        <v>140</v>
      </c>
      <c r="F30" s="10">
        <f t="shared" si="0"/>
        <v>464</v>
      </c>
    </row>
    <row r="31" spans="1:6" x14ac:dyDescent="0.25">
      <c r="A31" s="1" t="s">
        <v>28</v>
      </c>
      <c r="B31" s="11">
        <f>April!B31-March!B31</f>
        <v>70</v>
      </c>
      <c r="C31" s="11">
        <f>April!C31-March!C31</f>
        <v>-34</v>
      </c>
      <c r="D31" s="11">
        <f>April!D31-March!D31</f>
        <v>13</v>
      </c>
      <c r="E31" s="11">
        <f>April!E31-March!E31</f>
        <v>39</v>
      </c>
      <c r="F31" s="10">
        <f t="shared" si="0"/>
        <v>88</v>
      </c>
    </row>
    <row r="32" spans="1:6" x14ac:dyDescent="0.25">
      <c r="A32" s="1" t="s">
        <v>29</v>
      </c>
      <c r="B32" s="11">
        <f>April!B32-March!B32</f>
        <v>549</v>
      </c>
      <c r="C32" s="11">
        <f>April!C32-March!C32</f>
        <v>888</v>
      </c>
      <c r="D32" s="11">
        <f>April!D32-March!D32</f>
        <v>192</v>
      </c>
      <c r="E32" s="11">
        <f>April!E32-March!E32</f>
        <v>1140</v>
      </c>
      <c r="F32" s="10">
        <f t="shared" si="0"/>
        <v>2769</v>
      </c>
    </row>
    <row r="33" spans="1:6" x14ac:dyDescent="0.25">
      <c r="A33" s="1" t="s">
        <v>30</v>
      </c>
      <c r="B33" s="11">
        <f>April!B33-March!B33</f>
        <v>33</v>
      </c>
      <c r="C33" s="11">
        <f>April!C33-March!C33</f>
        <v>-8</v>
      </c>
      <c r="D33" s="11">
        <f>April!D33-March!D33</f>
        <v>0</v>
      </c>
      <c r="E33" s="11">
        <f>April!E33-March!E33</f>
        <v>7</v>
      </c>
      <c r="F33" s="10">
        <f t="shared" si="0"/>
        <v>32</v>
      </c>
    </row>
    <row r="34" spans="1:6" x14ac:dyDescent="0.25">
      <c r="A34" s="1" t="s">
        <v>31</v>
      </c>
      <c r="B34" s="11">
        <f>April!B34-March!B34</f>
        <v>-18</v>
      </c>
      <c r="C34" s="11">
        <f>April!C34-March!C34</f>
        <v>-23</v>
      </c>
      <c r="D34" s="11">
        <f>April!D34-March!D34</f>
        <v>22</v>
      </c>
      <c r="E34" s="11">
        <f>April!E34-March!E34</f>
        <v>6</v>
      </c>
      <c r="F34" s="10">
        <f t="shared" si="0"/>
        <v>-13</v>
      </c>
    </row>
    <row r="35" spans="1:6" x14ac:dyDescent="0.25">
      <c r="A35" s="1" t="s">
        <v>32</v>
      </c>
      <c r="B35" s="11">
        <f>April!B35-March!B35</f>
        <v>43</v>
      </c>
      <c r="C35" s="11">
        <f>April!C35-March!C35</f>
        <v>-34</v>
      </c>
      <c r="D35" s="11">
        <f>April!D35-March!D35</f>
        <v>4</v>
      </c>
      <c r="E35" s="11">
        <f>April!E35-March!E35</f>
        <v>8</v>
      </c>
      <c r="F35" s="10">
        <f t="shared" si="0"/>
        <v>21</v>
      </c>
    </row>
    <row r="36" spans="1:6" x14ac:dyDescent="0.25">
      <c r="A36" s="1" t="s">
        <v>33</v>
      </c>
      <c r="B36" s="11">
        <f>April!B36-March!B36</f>
        <v>50</v>
      </c>
      <c r="C36" s="11">
        <f>April!C36-March!C36</f>
        <v>-8</v>
      </c>
      <c r="D36" s="11">
        <f>April!D36-March!D36</f>
        <v>1</v>
      </c>
      <c r="E36" s="11">
        <f>April!E36-March!E36</f>
        <v>21</v>
      </c>
      <c r="F36" s="10">
        <f t="shared" si="0"/>
        <v>64</v>
      </c>
    </row>
    <row r="37" spans="1:6" x14ac:dyDescent="0.25">
      <c r="A37" s="1" t="s">
        <v>34</v>
      </c>
      <c r="B37" s="11">
        <f>April!B37-March!B37</f>
        <v>10</v>
      </c>
      <c r="C37" s="11">
        <f>April!C37-March!C37</f>
        <v>-11</v>
      </c>
      <c r="D37" s="11">
        <f>April!D37-March!D37</f>
        <v>2</v>
      </c>
      <c r="E37" s="11">
        <f>April!E37-March!E37</f>
        <v>0</v>
      </c>
      <c r="F37" s="10">
        <f t="shared" si="0"/>
        <v>1</v>
      </c>
    </row>
    <row r="38" spans="1:6" x14ac:dyDescent="0.25">
      <c r="A38" s="1" t="s">
        <v>35</v>
      </c>
      <c r="B38" s="11">
        <f>April!B38-March!B38</f>
        <v>731</v>
      </c>
      <c r="C38" s="11">
        <f>April!C38-March!C38</f>
        <v>751</v>
      </c>
      <c r="D38" s="11">
        <f>April!D38-March!D38</f>
        <v>60</v>
      </c>
      <c r="E38" s="11">
        <f>April!E38-March!E38</f>
        <v>862</v>
      </c>
      <c r="F38" s="10">
        <f t="shared" si="0"/>
        <v>2404</v>
      </c>
    </row>
    <row r="39" spans="1:6" x14ac:dyDescent="0.25">
      <c r="A39" s="1" t="s">
        <v>36</v>
      </c>
      <c r="B39" s="11">
        <f>April!B39-March!B39</f>
        <v>-1562</v>
      </c>
      <c r="C39" s="11">
        <f>April!C39-March!C39</f>
        <v>-829</v>
      </c>
      <c r="D39" s="11">
        <f>April!D39-March!D39</f>
        <v>67</v>
      </c>
      <c r="E39" s="11">
        <f>April!E39-March!E39</f>
        <v>-923</v>
      </c>
      <c r="F39" s="10">
        <f t="shared" si="0"/>
        <v>-3247</v>
      </c>
    </row>
    <row r="40" spans="1:6" x14ac:dyDescent="0.25">
      <c r="A40" s="1" t="s">
        <v>37</v>
      </c>
      <c r="B40" s="11">
        <f>April!B40-March!B40</f>
        <v>-358</v>
      </c>
      <c r="C40" s="11">
        <f>April!C40-March!C40</f>
        <v>-536</v>
      </c>
      <c r="D40" s="11">
        <f>April!D40-March!D40</f>
        <v>29</v>
      </c>
      <c r="E40" s="11">
        <f>April!E40-March!E40</f>
        <v>-208</v>
      </c>
      <c r="F40" s="10">
        <f t="shared" si="0"/>
        <v>-1073</v>
      </c>
    </row>
    <row r="41" spans="1:6" x14ac:dyDescent="0.25">
      <c r="A41" s="1" t="s">
        <v>38</v>
      </c>
      <c r="B41" s="11">
        <f>April!B41-March!B41</f>
        <v>41</v>
      </c>
      <c r="C41" s="11">
        <f>April!C41-March!C41</f>
        <v>15</v>
      </c>
      <c r="D41" s="11">
        <f>April!D41-March!D41</f>
        <v>1</v>
      </c>
      <c r="E41" s="11">
        <f>April!E41-March!E41</f>
        <v>45</v>
      </c>
      <c r="F41" s="10">
        <f t="shared" si="0"/>
        <v>102</v>
      </c>
    </row>
    <row r="42" spans="1:6" x14ac:dyDescent="0.25">
      <c r="A42" s="1" t="s">
        <v>39</v>
      </c>
      <c r="B42" s="11">
        <f>April!B42-March!B42</f>
        <v>21</v>
      </c>
      <c r="C42" s="11">
        <f>April!C42-March!C42</f>
        <v>-3</v>
      </c>
      <c r="D42" s="11">
        <f>April!D42-March!D42</f>
        <v>-2</v>
      </c>
      <c r="E42" s="11">
        <f>April!E42-March!E42</f>
        <v>12</v>
      </c>
      <c r="F42" s="10">
        <f t="shared" si="0"/>
        <v>28</v>
      </c>
    </row>
    <row r="43" spans="1:6" x14ac:dyDescent="0.25">
      <c r="A43" s="1" t="s">
        <v>40</v>
      </c>
      <c r="B43" s="11">
        <f>April!B43-March!B43</f>
        <v>24</v>
      </c>
      <c r="C43" s="11">
        <f>April!C43-March!C43</f>
        <v>-13</v>
      </c>
      <c r="D43" s="11">
        <f>April!D43-March!D43</f>
        <v>-1</v>
      </c>
      <c r="E43" s="11">
        <f>April!E43-March!E43</f>
        <v>10</v>
      </c>
      <c r="F43" s="10">
        <f t="shared" si="0"/>
        <v>20</v>
      </c>
    </row>
    <row r="44" spans="1:6" x14ac:dyDescent="0.25">
      <c r="A44" s="1" t="s">
        <v>41</v>
      </c>
      <c r="B44" s="11">
        <f>April!B44-March!B44</f>
        <v>292</v>
      </c>
      <c r="C44" s="11">
        <f>April!C44-March!C44</f>
        <v>263</v>
      </c>
      <c r="D44" s="11">
        <f>April!D44-March!D44</f>
        <v>74</v>
      </c>
      <c r="E44" s="11">
        <f>April!E44-March!E44</f>
        <v>352</v>
      </c>
      <c r="F44" s="10">
        <f t="shared" si="0"/>
        <v>981</v>
      </c>
    </row>
    <row r="45" spans="1:6" x14ac:dyDescent="0.25">
      <c r="A45" s="1" t="s">
        <v>42</v>
      </c>
      <c r="B45" s="11">
        <f>April!B45-March!B45</f>
        <v>270</v>
      </c>
      <c r="C45" s="11">
        <f>April!C45-March!C45</f>
        <v>216</v>
      </c>
      <c r="D45" s="11">
        <f>April!D45-March!D45</f>
        <v>55</v>
      </c>
      <c r="E45" s="11">
        <f>April!E45-March!E45</f>
        <v>275</v>
      </c>
      <c r="F45" s="10">
        <f t="shared" si="0"/>
        <v>816</v>
      </c>
    </row>
    <row r="46" spans="1:6" x14ac:dyDescent="0.25">
      <c r="A46" s="1" t="s">
        <v>43</v>
      </c>
      <c r="B46" s="11">
        <f>April!B46-March!B46</f>
        <v>93</v>
      </c>
      <c r="C46" s="11">
        <f>April!C46-March!C46</f>
        <v>37</v>
      </c>
      <c r="D46" s="11">
        <f>April!D46-March!D46</f>
        <v>35</v>
      </c>
      <c r="E46" s="11">
        <f>April!E46-March!E46</f>
        <v>104</v>
      </c>
      <c r="F46" s="10">
        <f t="shared" si="0"/>
        <v>269</v>
      </c>
    </row>
    <row r="47" spans="1:6" x14ac:dyDescent="0.25">
      <c r="A47" s="1" t="s">
        <v>44</v>
      </c>
      <c r="B47" s="11">
        <f>April!B47-March!B47</f>
        <v>224</v>
      </c>
      <c r="C47" s="11">
        <f>April!C47-March!C47</f>
        <v>770</v>
      </c>
      <c r="D47" s="11">
        <f>April!D47-March!D47</f>
        <v>160</v>
      </c>
      <c r="E47" s="11">
        <f>April!E47-March!E47</f>
        <v>1662</v>
      </c>
      <c r="F47" s="10">
        <f t="shared" si="0"/>
        <v>2816</v>
      </c>
    </row>
    <row r="48" spans="1:6" x14ac:dyDescent="0.25">
      <c r="A48" s="1" t="s">
        <v>45</v>
      </c>
      <c r="B48" s="11">
        <f>April!B48-March!B48</f>
        <v>-570</v>
      </c>
      <c r="C48" s="11">
        <f>April!C48-March!C48</f>
        <v>-361</v>
      </c>
      <c r="D48" s="11">
        <f>April!D48-March!D48</f>
        <v>6</v>
      </c>
      <c r="E48" s="11">
        <f>April!E48-March!E48</f>
        <v>-496</v>
      </c>
      <c r="F48" s="10">
        <f t="shared" si="0"/>
        <v>-1421</v>
      </c>
    </row>
    <row r="49" spans="1:6" x14ac:dyDescent="0.25">
      <c r="A49" s="1" t="s">
        <v>46</v>
      </c>
      <c r="B49" s="11">
        <f>April!B49-March!B49</f>
        <v>106</v>
      </c>
      <c r="C49" s="11">
        <f>April!C49-March!C49</f>
        <v>31</v>
      </c>
      <c r="D49" s="11">
        <f>April!D49-March!D49</f>
        <v>18</v>
      </c>
      <c r="E49" s="11">
        <f>April!E49-March!E49</f>
        <v>74</v>
      </c>
      <c r="F49" s="10">
        <f t="shared" si="0"/>
        <v>229</v>
      </c>
    </row>
    <row r="50" spans="1:6" x14ac:dyDescent="0.25">
      <c r="A50" s="1" t="s">
        <v>47</v>
      </c>
      <c r="B50" s="11">
        <f>April!B50-March!B50</f>
        <v>218</v>
      </c>
      <c r="C50" s="11">
        <f>April!C50-March!C50</f>
        <v>48</v>
      </c>
      <c r="D50" s="11">
        <f>April!D50-March!D50</f>
        <v>31</v>
      </c>
      <c r="E50" s="11">
        <f>April!E50-March!E50</f>
        <v>226</v>
      </c>
      <c r="F50" s="10">
        <f t="shared" si="0"/>
        <v>523</v>
      </c>
    </row>
    <row r="51" spans="1:6" x14ac:dyDescent="0.25">
      <c r="A51" s="1" t="s">
        <v>48</v>
      </c>
      <c r="B51" s="11">
        <f>April!B51-March!B51</f>
        <v>31</v>
      </c>
      <c r="C51" s="11">
        <f>April!C51-March!C51</f>
        <v>6</v>
      </c>
      <c r="D51" s="11">
        <f>April!D51-March!D51</f>
        <v>6</v>
      </c>
      <c r="E51" s="11">
        <f>April!E51-March!E51</f>
        <v>16</v>
      </c>
      <c r="F51" s="10">
        <f t="shared" si="0"/>
        <v>59</v>
      </c>
    </row>
    <row r="52" spans="1:6" x14ac:dyDescent="0.25">
      <c r="A52" s="1" t="s">
        <v>49</v>
      </c>
      <c r="B52" s="11">
        <f>April!B52-March!B52</f>
        <v>-2498</v>
      </c>
      <c r="C52" s="11">
        <f>April!C52-March!C52</f>
        <v>-3407</v>
      </c>
      <c r="D52" s="11">
        <f>April!D52-March!D52</f>
        <v>128</v>
      </c>
      <c r="E52" s="11">
        <f>April!E52-March!E52</f>
        <v>-2685</v>
      </c>
      <c r="F52" s="10">
        <f t="shared" si="0"/>
        <v>-8462</v>
      </c>
    </row>
    <row r="53" spans="1:6" x14ac:dyDescent="0.25">
      <c r="A53" s="1" t="s">
        <v>50</v>
      </c>
      <c r="B53" s="11">
        <f>April!B53-March!B53</f>
        <v>-93</v>
      </c>
      <c r="C53" s="11">
        <f>April!C53-March!C53</f>
        <v>98</v>
      </c>
      <c r="D53" s="11">
        <f>April!D53-March!D53</f>
        <v>30</v>
      </c>
      <c r="E53" s="11">
        <f>April!E53-March!E53</f>
        <v>185</v>
      </c>
      <c r="F53" s="10">
        <f t="shared" si="0"/>
        <v>220</v>
      </c>
    </row>
    <row r="54" spans="1:6" x14ac:dyDescent="0.25">
      <c r="A54" s="1" t="s">
        <v>51</v>
      </c>
      <c r="B54" s="11">
        <f>April!B54-March!B54</f>
        <v>645</v>
      </c>
      <c r="C54" s="11">
        <f>April!C54-March!C54</f>
        <v>675</v>
      </c>
      <c r="D54" s="11">
        <f>April!D54-March!D54</f>
        <v>327</v>
      </c>
      <c r="E54" s="11">
        <f>April!E54-March!E54</f>
        <v>973</v>
      </c>
      <c r="F54" s="10">
        <f t="shared" si="0"/>
        <v>2620</v>
      </c>
    </row>
    <row r="55" spans="1:6" x14ac:dyDescent="0.25">
      <c r="A55" s="1" t="s">
        <v>52</v>
      </c>
      <c r="B55" s="11">
        <f>April!B55-March!B55</f>
        <v>753</v>
      </c>
      <c r="C55" s="11">
        <f>April!C55-March!C55</f>
        <v>542</v>
      </c>
      <c r="D55" s="11">
        <f>April!D55-March!D55</f>
        <v>92</v>
      </c>
      <c r="E55" s="11">
        <f>April!E55-March!E55</f>
        <v>805</v>
      </c>
      <c r="F55" s="10">
        <f t="shared" si="0"/>
        <v>2192</v>
      </c>
    </row>
    <row r="56" spans="1:6" x14ac:dyDescent="0.25">
      <c r="A56" s="1" t="s">
        <v>53</v>
      </c>
      <c r="B56" s="11">
        <f>April!B56-March!B56</f>
        <v>12</v>
      </c>
      <c r="C56" s="11">
        <f>April!C56-March!C56</f>
        <v>218</v>
      </c>
      <c r="D56" s="11">
        <f>April!D56-March!D56</f>
        <v>171</v>
      </c>
      <c r="E56" s="11">
        <f>April!E56-March!E56</f>
        <v>484</v>
      </c>
      <c r="F56" s="10">
        <f t="shared" si="0"/>
        <v>885</v>
      </c>
    </row>
    <row r="57" spans="1:6" x14ac:dyDescent="0.25">
      <c r="A57" s="1" t="s">
        <v>54</v>
      </c>
      <c r="B57" s="11">
        <f>April!B57-March!B57</f>
        <v>694</v>
      </c>
      <c r="C57" s="11">
        <f>April!C57-March!C57</f>
        <v>775</v>
      </c>
      <c r="D57" s="11">
        <f>April!D57-March!D57</f>
        <v>15</v>
      </c>
      <c r="E57" s="11">
        <f>April!E57-March!E57</f>
        <v>1236</v>
      </c>
      <c r="F57" s="10">
        <f t="shared" si="0"/>
        <v>2720</v>
      </c>
    </row>
    <row r="58" spans="1:6" x14ac:dyDescent="0.25">
      <c r="A58" s="1" t="s">
        <v>55</v>
      </c>
      <c r="B58" s="11">
        <f>April!B58-March!B58</f>
        <v>52</v>
      </c>
      <c r="C58" s="11">
        <f>April!C58-March!C58</f>
        <v>-31</v>
      </c>
      <c r="D58" s="11">
        <f>April!D58-March!D58</f>
        <v>7</v>
      </c>
      <c r="E58" s="11">
        <f>April!E58-March!E58</f>
        <v>37</v>
      </c>
      <c r="F58" s="10">
        <f t="shared" si="0"/>
        <v>65</v>
      </c>
    </row>
    <row r="59" spans="1:6" x14ac:dyDescent="0.25">
      <c r="A59" s="1" t="s">
        <v>56</v>
      </c>
      <c r="B59" s="11">
        <f>April!B59-March!B59</f>
        <v>259</v>
      </c>
      <c r="C59" s="11">
        <f>April!C59-March!C59</f>
        <v>49</v>
      </c>
      <c r="D59" s="11">
        <f>April!D59-March!D59</f>
        <v>49</v>
      </c>
      <c r="E59" s="11">
        <f>April!E59-March!E59</f>
        <v>174</v>
      </c>
      <c r="F59" s="10">
        <f t="shared" si="0"/>
        <v>531</v>
      </c>
    </row>
    <row r="60" spans="1:6" x14ac:dyDescent="0.25">
      <c r="A60" s="1" t="s">
        <v>57</v>
      </c>
      <c r="B60" s="11">
        <f>April!B60-March!B60</f>
        <v>258</v>
      </c>
      <c r="C60" s="11">
        <f>April!C60-March!C60</f>
        <v>292</v>
      </c>
      <c r="D60" s="11">
        <f>April!D60-March!D60</f>
        <v>68</v>
      </c>
      <c r="E60" s="11">
        <f>April!E60-March!E60</f>
        <v>341</v>
      </c>
      <c r="F60" s="10">
        <f t="shared" si="0"/>
        <v>959</v>
      </c>
    </row>
    <row r="61" spans="1:6" x14ac:dyDescent="0.25">
      <c r="A61" s="1" t="s">
        <v>58</v>
      </c>
      <c r="B61" s="11">
        <f>April!B61-March!B61</f>
        <v>701</v>
      </c>
      <c r="C61" s="11">
        <f>April!C61-March!C61</f>
        <v>1357</v>
      </c>
      <c r="D61" s="11">
        <f>April!D61-March!D61</f>
        <v>74</v>
      </c>
      <c r="E61" s="11">
        <f>April!E61-March!E61</f>
        <v>1299</v>
      </c>
      <c r="F61" s="10">
        <f t="shared" si="0"/>
        <v>3431</v>
      </c>
    </row>
    <row r="62" spans="1:6" x14ac:dyDescent="0.25">
      <c r="A62" s="1" t="s">
        <v>59</v>
      </c>
      <c r="B62" s="11">
        <f>April!B62-March!B62</f>
        <v>91</v>
      </c>
      <c r="C62" s="11">
        <f>April!C62-March!C62</f>
        <v>57</v>
      </c>
      <c r="D62" s="11">
        <f>April!D62-March!D62</f>
        <v>17</v>
      </c>
      <c r="E62" s="11">
        <f>April!E62-March!E62</f>
        <v>96</v>
      </c>
      <c r="F62" s="10">
        <f t="shared" si="0"/>
        <v>261</v>
      </c>
    </row>
    <row r="63" spans="1:6" x14ac:dyDescent="0.25">
      <c r="A63" s="1" t="s">
        <v>60</v>
      </c>
      <c r="B63" s="11">
        <f>April!B63-March!B63</f>
        <v>278</v>
      </c>
      <c r="C63" s="11">
        <f>April!C63-March!C63</f>
        <v>324</v>
      </c>
      <c r="D63" s="11">
        <f>April!D63-March!D63</f>
        <v>38</v>
      </c>
      <c r="E63" s="11">
        <f>April!E63-March!E63</f>
        <v>493</v>
      </c>
      <c r="F63" s="10">
        <f t="shared" si="0"/>
        <v>1133</v>
      </c>
    </row>
    <row r="64" spans="1:6" x14ac:dyDescent="0.25">
      <c r="A64" s="1" t="s">
        <v>61</v>
      </c>
      <c r="B64" s="11">
        <f>April!B64-March!B64</f>
        <v>242</v>
      </c>
      <c r="C64" s="11">
        <f>April!C64-March!C64</f>
        <v>85</v>
      </c>
      <c r="D64" s="11">
        <f>April!D64-March!D64</f>
        <v>12</v>
      </c>
      <c r="E64" s="11">
        <f>April!E64-March!E64</f>
        <v>117</v>
      </c>
      <c r="F64" s="10">
        <f t="shared" si="0"/>
        <v>456</v>
      </c>
    </row>
    <row r="65" spans="1:6" x14ac:dyDescent="0.25">
      <c r="A65" s="1" t="s">
        <v>62</v>
      </c>
      <c r="B65" s="11">
        <f>April!B65-March!B65</f>
        <v>44</v>
      </c>
      <c r="C65" s="11">
        <f>April!C65-March!C65</f>
        <v>-25</v>
      </c>
      <c r="D65" s="11">
        <f>April!D65-March!D65</f>
        <v>-2</v>
      </c>
      <c r="E65" s="11">
        <f>April!E65-March!E65</f>
        <v>28</v>
      </c>
      <c r="F65" s="10">
        <f t="shared" si="0"/>
        <v>45</v>
      </c>
    </row>
    <row r="66" spans="1:6" x14ac:dyDescent="0.25">
      <c r="A66" s="1" t="s">
        <v>63</v>
      </c>
      <c r="B66" s="11">
        <f>April!B66-March!B66</f>
        <v>-85</v>
      </c>
      <c r="C66" s="11">
        <f>April!C66-March!C66</f>
        <v>-150</v>
      </c>
      <c r="D66" s="11">
        <f>April!D66-March!D66</f>
        <v>-2</v>
      </c>
      <c r="E66" s="11">
        <f>April!E66-March!E66</f>
        <v>-23</v>
      </c>
      <c r="F66" s="10">
        <f t="shared" si="0"/>
        <v>-260</v>
      </c>
    </row>
    <row r="67" spans="1:6" x14ac:dyDescent="0.25">
      <c r="A67" s="1" t="s">
        <v>64</v>
      </c>
      <c r="B67" s="11">
        <f>April!B67-March!B67</f>
        <v>-8</v>
      </c>
      <c r="C67" s="11">
        <f>April!C67-March!C67</f>
        <v>-6</v>
      </c>
      <c r="D67" s="11">
        <f>April!D67-March!D67</f>
        <v>-1</v>
      </c>
      <c r="E67" s="11">
        <f>April!E67-March!E67</f>
        <v>-4</v>
      </c>
      <c r="F67" s="10">
        <f t="shared" si="0"/>
        <v>-19</v>
      </c>
    </row>
    <row r="68" spans="1:6" x14ac:dyDescent="0.25">
      <c r="A68" s="1" t="s">
        <v>65</v>
      </c>
      <c r="B68" s="11">
        <f>April!B68-March!B68</f>
        <v>477</v>
      </c>
      <c r="C68" s="11">
        <f>April!C68-March!C68</f>
        <v>398</v>
      </c>
      <c r="D68" s="11">
        <f>April!D68-March!D68</f>
        <v>91</v>
      </c>
      <c r="E68" s="11">
        <f>April!E68-March!E68</f>
        <v>690</v>
      </c>
      <c r="F68" s="10">
        <f t="shared" si="0"/>
        <v>1656</v>
      </c>
    </row>
    <row r="69" spans="1:6" x14ac:dyDescent="0.25">
      <c r="A69" s="1" t="s">
        <v>66</v>
      </c>
      <c r="B69" s="11">
        <f>April!B69-March!B69</f>
        <v>97</v>
      </c>
      <c r="C69" s="11">
        <f>April!C69-March!C69</f>
        <v>32</v>
      </c>
      <c r="D69" s="11">
        <f>April!D69-March!D69</f>
        <v>6</v>
      </c>
      <c r="E69" s="11">
        <f>April!E69-March!E69</f>
        <v>35</v>
      </c>
      <c r="F69" s="10">
        <f t="shared" si="0"/>
        <v>170</v>
      </c>
    </row>
    <row r="70" spans="1:6" x14ac:dyDescent="0.25">
      <c r="A70" s="1" t="s">
        <v>67</v>
      </c>
      <c r="B70" s="11">
        <f>April!B70-March!B70</f>
        <v>143</v>
      </c>
      <c r="C70" s="11">
        <f>April!C70-March!C70</f>
        <v>22</v>
      </c>
      <c r="D70" s="11">
        <f>April!D70-March!D70</f>
        <v>10</v>
      </c>
      <c r="E70" s="11">
        <f>April!E70-March!E70</f>
        <v>62</v>
      </c>
      <c r="F70" s="10">
        <f t="shared" ref="F70:F71" si="1">SUM(B70:E70)</f>
        <v>237</v>
      </c>
    </row>
    <row r="71" spans="1:6" ht="15.75" thickBot="1" x14ac:dyDescent="0.3">
      <c r="A71" s="1" t="s">
        <v>68</v>
      </c>
      <c r="B71" s="11">
        <f>April!B71-March!B71</f>
        <v>31</v>
      </c>
      <c r="C71" s="11">
        <f>April!C71-March!C71</f>
        <v>-11</v>
      </c>
      <c r="D71" s="11">
        <f>April!D71-March!D71</f>
        <v>-2</v>
      </c>
      <c r="E71" s="11">
        <f>April!E71-March!E71</f>
        <v>14</v>
      </c>
      <c r="F71" s="10">
        <f t="shared" si="1"/>
        <v>32</v>
      </c>
    </row>
    <row r="72" spans="1:6" ht="16.5" thickTop="1" thickBot="1" x14ac:dyDescent="0.3">
      <c r="A72" s="3" t="s">
        <v>1</v>
      </c>
      <c r="B72" s="8">
        <f>SUM(B5:B71)</f>
        <v>942</v>
      </c>
      <c r="C72" s="8">
        <f>SUM(C5:C71)</f>
        <v>-6762</v>
      </c>
      <c r="D72" s="8">
        <f>SUM(D5:D71)</f>
        <v>2510</v>
      </c>
      <c r="E72" s="8">
        <f>SUM(E5:E71)</f>
        <v>4786</v>
      </c>
      <c r="F72" s="8">
        <f>SUM(F5:F71)</f>
        <v>1476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>
      <selection activeCell="B5" sqref="B5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x14ac:dyDescent="0.3">
      <c r="A1" s="14" t="s">
        <v>90</v>
      </c>
      <c r="B1" s="15"/>
      <c r="C1" s="15"/>
      <c r="D1" s="15"/>
      <c r="E1" s="15"/>
      <c r="F1" s="16"/>
    </row>
    <row r="2" spans="1:6" x14ac:dyDescent="0.25">
      <c r="A2" s="17" t="s">
        <v>113</v>
      </c>
      <c r="B2" s="18"/>
      <c r="C2" s="18"/>
      <c r="D2" s="18"/>
      <c r="E2" s="18"/>
      <c r="F2" s="19"/>
    </row>
    <row r="3" spans="1:6" x14ac:dyDescent="0.25">
      <c r="A3" s="20" t="s">
        <v>73</v>
      </c>
      <c r="B3" s="21"/>
      <c r="C3" s="21"/>
      <c r="D3" s="21"/>
      <c r="E3" s="21"/>
      <c r="F3" s="22"/>
    </row>
    <row r="4" spans="1:6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11">
        <f>May!B5-April!B5</f>
        <v>-22</v>
      </c>
      <c r="C5" s="11">
        <f>May!C5-April!C5</f>
        <v>90</v>
      </c>
      <c r="D5" s="11">
        <f>May!D5-April!D5</f>
        <v>32</v>
      </c>
      <c r="E5" s="11">
        <f>May!E5-April!E5</f>
        <v>120</v>
      </c>
      <c r="F5" s="10">
        <f>SUM(B5:E5)</f>
        <v>220</v>
      </c>
    </row>
    <row r="6" spans="1:6" x14ac:dyDescent="0.25">
      <c r="A6" s="1" t="s">
        <v>3</v>
      </c>
      <c r="B6" s="11">
        <f>May!B6-April!B6</f>
        <v>-3</v>
      </c>
      <c r="C6" s="11">
        <f>May!C6-April!C6</f>
        <v>-41</v>
      </c>
      <c r="D6" s="11">
        <f>May!D6-April!D6</f>
        <v>2</v>
      </c>
      <c r="E6" s="11">
        <f>May!E6-April!E6</f>
        <v>-9</v>
      </c>
      <c r="F6" s="10">
        <f t="shared" ref="F6:F69" si="0">SUM(B6:E6)</f>
        <v>-51</v>
      </c>
    </row>
    <row r="7" spans="1:6" x14ac:dyDescent="0.25">
      <c r="A7" s="1" t="s">
        <v>4</v>
      </c>
      <c r="B7" s="11">
        <f>May!B7-April!B7</f>
        <v>175</v>
      </c>
      <c r="C7" s="11">
        <f>May!C7-April!C7</f>
        <v>-14</v>
      </c>
      <c r="D7" s="11">
        <f>May!D7-April!D7</f>
        <v>33</v>
      </c>
      <c r="E7" s="11">
        <f>May!E7-April!E7</f>
        <v>154</v>
      </c>
      <c r="F7" s="10">
        <f t="shared" si="0"/>
        <v>348</v>
      </c>
    </row>
    <row r="8" spans="1:6" x14ac:dyDescent="0.25">
      <c r="A8" s="1" t="s">
        <v>5</v>
      </c>
      <c r="B8" s="11">
        <f>May!B8-April!B8</f>
        <v>6</v>
      </c>
      <c r="C8" s="11">
        <f>May!C8-April!C8</f>
        <v>-19</v>
      </c>
      <c r="D8" s="11">
        <f>May!D8-April!D8</f>
        <v>0</v>
      </c>
      <c r="E8" s="11">
        <f>May!E8-April!E8</f>
        <v>7</v>
      </c>
      <c r="F8" s="10">
        <f t="shared" si="0"/>
        <v>-6</v>
      </c>
    </row>
    <row r="9" spans="1:6" x14ac:dyDescent="0.25">
      <c r="A9" s="1" t="s">
        <v>6</v>
      </c>
      <c r="B9" s="11">
        <f>May!B9-April!B9</f>
        <v>573</v>
      </c>
      <c r="C9" s="11">
        <f>May!C9-April!C9</f>
        <v>234</v>
      </c>
      <c r="D9" s="11">
        <f>May!D9-April!D9</f>
        <v>119</v>
      </c>
      <c r="E9" s="11">
        <f>May!E9-April!E9</f>
        <v>502</v>
      </c>
      <c r="F9" s="10">
        <f t="shared" si="0"/>
        <v>1428</v>
      </c>
    </row>
    <row r="10" spans="1:6" x14ac:dyDescent="0.25">
      <c r="A10" s="1" t="s">
        <v>7</v>
      </c>
      <c r="B10" s="11">
        <f>May!B10-April!B10</f>
        <v>361</v>
      </c>
      <c r="C10" s="11">
        <f>May!C10-April!C10</f>
        <v>1017</v>
      </c>
      <c r="D10" s="11">
        <f>May!D10-April!D10</f>
        <v>246</v>
      </c>
      <c r="E10" s="11">
        <f>May!E10-April!E10</f>
        <v>1465</v>
      </c>
      <c r="F10" s="10">
        <f t="shared" si="0"/>
        <v>3089</v>
      </c>
    </row>
    <row r="11" spans="1:6" x14ac:dyDescent="0.25">
      <c r="A11" s="1" t="s">
        <v>8</v>
      </c>
      <c r="B11" s="11">
        <f>May!B11-April!B11</f>
        <v>15</v>
      </c>
      <c r="C11" s="11">
        <f>May!C11-April!C11</f>
        <v>-11</v>
      </c>
      <c r="D11" s="11">
        <f>May!D11-April!D11</f>
        <v>-2</v>
      </c>
      <c r="E11" s="11">
        <f>May!E11-April!E11</f>
        <v>17</v>
      </c>
      <c r="F11" s="10">
        <f t="shared" si="0"/>
        <v>19</v>
      </c>
    </row>
    <row r="12" spans="1:6" x14ac:dyDescent="0.25">
      <c r="A12" s="1" t="s">
        <v>9</v>
      </c>
      <c r="B12" s="11">
        <f>May!B12-April!B12</f>
        <v>220</v>
      </c>
      <c r="C12" s="11">
        <f>May!C12-April!C12</f>
        <v>61</v>
      </c>
      <c r="D12" s="11">
        <f>May!D12-April!D12</f>
        <v>51</v>
      </c>
      <c r="E12" s="11">
        <f>May!E12-April!E12</f>
        <v>126</v>
      </c>
      <c r="F12" s="10">
        <f t="shared" si="0"/>
        <v>458</v>
      </c>
    </row>
    <row r="13" spans="1:6" x14ac:dyDescent="0.25">
      <c r="A13" s="1" t="s">
        <v>10</v>
      </c>
      <c r="B13" s="11">
        <f>May!B13-April!B13</f>
        <v>208</v>
      </c>
      <c r="C13" s="11">
        <f>May!C13-April!C13</f>
        <v>20</v>
      </c>
      <c r="D13" s="11">
        <f>May!D13-April!D13</f>
        <v>30</v>
      </c>
      <c r="E13" s="11">
        <f>May!E13-April!E13</f>
        <v>107</v>
      </c>
      <c r="F13" s="10">
        <f t="shared" si="0"/>
        <v>365</v>
      </c>
    </row>
    <row r="14" spans="1:6" x14ac:dyDescent="0.25">
      <c r="A14" s="1" t="s">
        <v>11</v>
      </c>
      <c r="B14" s="11">
        <f>May!B14-April!B14</f>
        <v>-33</v>
      </c>
      <c r="C14" s="11">
        <f>May!C14-April!C14</f>
        <v>11</v>
      </c>
      <c r="D14" s="11">
        <f>May!D14-April!D14</f>
        <v>28</v>
      </c>
      <c r="E14" s="11">
        <f>May!E14-April!E14</f>
        <v>-30</v>
      </c>
      <c r="F14" s="10">
        <f t="shared" si="0"/>
        <v>-24</v>
      </c>
    </row>
    <row r="15" spans="1:6" x14ac:dyDescent="0.25">
      <c r="A15" s="1" t="s">
        <v>12</v>
      </c>
      <c r="B15" s="11">
        <f>May!B15-April!B15</f>
        <v>419</v>
      </c>
      <c r="C15" s="11">
        <f>May!C15-April!C15</f>
        <v>309</v>
      </c>
      <c r="D15" s="11">
        <f>May!D15-April!D15</f>
        <v>40</v>
      </c>
      <c r="E15" s="11">
        <f>May!E15-April!E15</f>
        <v>250</v>
      </c>
      <c r="F15" s="10">
        <f t="shared" si="0"/>
        <v>1018</v>
      </c>
    </row>
    <row r="16" spans="1:6" x14ac:dyDescent="0.25">
      <c r="A16" s="1" t="s">
        <v>13</v>
      </c>
      <c r="B16" s="11">
        <f>May!B16-April!B16</f>
        <v>60</v>
      </c>
      <c r="C16" s="11">
        <f>May!C16-April!C16</f>
        <v>25</v>
      </c>
      <c r="D16" s="11">
        <f>May!D16-April!D16</f>
        <v>2</v>
      </c>
      <c r="E16" s="11">
        <f>May!E16-April!E16</f>
        <v>29</v>
      </c>
      <c r="F16" s="10">
        <f t="shared" si="0"/>
        <v>116</v>
      </c>
    </row>
    <row r="17" spans="1:6" x14ac:dyDescent="0.25">
      <c r="A17" s="1" t="s">
        <v>14</v>
      </c>
      <c r="B17" s="11">
        <f>May!B17-April!B17</f>
        <v>28</v>
      </c>
      <c r="C17" s="11">
        <f>May!C17-April!C17</f>
        <v>-3</v>
      </c>
      <c r="D17" s="11">
        <f>May!D17-April!D17</f>
        <v>1</v>
      </c>
      <c r="E17" s="11">
        <f>May!E17-April!E17</f>
        <v>26</v>
      </c>
      <c r="F17" s="10">
        <f t="shared" si="0"/>
        <v>52</v>
      </c>
    </row>
    <row r="18" spans="1:6" x14ac:dyDescent="0.25">
      <c r="A18" s="1" t="s">
        <v>15</v>
      </c>
      <c r="B18" s="11">
        <f>May!B18-April!B18</f>
        <v>14</v>
      </c>
      <c r="C18" s="11">
        <f>May!C18-April!C18</f>
        <v>-15</v>
      </c>
      <c r="D18" s="11">
        <f>May!D18-April!D18</f>
        <v>0</v>
      </c>
      <c r="E18" s="11">
        <f>May!E18-April!E18</f>
        <v>7</v>
      </c>
      <c r="F18" s="10">
        <f t="shared" si="0"/>
        <v>6</v>
      </c>
    </row>
    <row r="19" spans="1:6" x14ac:dyDescent="0.25">
      <c r="A19" s="1" t="s">
        <v>16</v>
      </c>
      <c r="B19" s="11">
        <f>May!B19-April!B19</f>
        <v>-434</v>
      </c>
      <c r="C19" s="11">
        <f>May!C19-April!C19</f>
        <v>-364</v>
      </c>
      <c r="D19" s="11">
        <f>May!D19-April!D19</f>
        <v>102</v>
      </c>
      <c r="E19" s="11">
        <f>May!E19-April!E19</f>
        <v>367</v>
      </c>
      <c r="F19" s="10">
        <f t="shared" si="0"/>
        <v>-329</v>
      </c>
    </row>
    <row r="20" spans="1:6" x14ac:dyDescent="0.25">
      <c r="A20" s="1" t="s">
        <v>17</v>
      </c>
      <c r="B20" s="11">
        <f>May!B20-April!B20</f>
        <v>244</v>
      </c>
      <c r="C20" s="11">
        <f>May!C20-April!C20</f>
        <v>169</v>
      </c>
      <c r="D20" s="11">
        <f>May!D20-April!D20</f>
        <v>51</v>
      </c>
      <c r="E20" s="11">
        <f>May!E20-April!E20</f>
        <v>294</v>
      </c>
      <c r="F20" s="10">
        <f t="shared" si="0"/>
        <v>758</v>
      </c>
    </row>
    <row r="21" spans="1:6" x14ac:dyDescent="0.25">
      <c r="A21" s="1" t="s">
        <v>18</v>
      </c>
      <c r="B21" s="11">
        <f>May!B21-April!B21</f>
        <v>139</v>
      </c>
      <c r="C21" s="11">
        <f>May!C21-April!C21</f>
        <v>73</v>
      </c>
      <c r="D21" s="11">
        <f>May!D21-April!D21</f>
        <v>17</v>
      </c>
      <c r="E21" s="11">
        <f>May!E21-April!E21</f>
        <v>78</v>
      </c>
      <c r="F21" s="10">
        <f t="shared" si="0"/>
        <v>307</v>
      </c>
    </row>
    <row r="22" spans="1:6" x14ac:dyDescent="0.25">
      <c r="A22" s="1" t="s">
        <v>19</v>
      </c>
      <c r="B22" s="11">
        <f>May!B22-April!B22</f>
        <v>19</v>
      </c>
      <c r="C22" s="11">
        <f>May!C22-April!C22</f>
        <v>4</v>
      </c>
      <c r="D22" s="11">
        <f>May!D22-April!D22</f>
        <v>-1</v>
      </c>
      <c r="E22" s="11">
        <f>May!E22-April!E22</f>
        <v>7</v>
      </c>
      <c r="F22" s="10">
        <f t="shared" si="0"/>
        <v>29</v>
      </c>
    </row>
    <row r="23" spans="1:6" x14ac:dyDescent="0.25">
      <c r="A23" s="1" t="s">
        <v>20</v>
      </c>
      <c r="B23" s="11">
        <f>May!B23-April!B23</f>
        <v>21</v>
      </c>
      <c r="C23" s="11">
        <f>May!C23-April!C23</f>
        <v>-34</v>
      </c>
      <c r="D23" s="11">
        <f>May!D23-April!D23</f>
        <v>5</v>
      </c>
      <c r="E23" s="11">
        <f>May!E23-April!E23</f>
        <v>21</v>
      </c>
      <c r="F23" s="10">
        <f t="shared" si="0"/>
        <v>13</v>
      </c>
    </row>
    <row r="24" spans="1:6" x14ac:dyDescent="0.25">
      <c r="A24" s="1" t="s">
        <v>21</v>
      </c>
      <c r="B24" s="11">
        <f>May!B24-April!B24</f>
        <v>12</v>
      </c>
      <c r="C24" s="11">
        <f>May!C24-April!C24</f>
        <v>-2</v>
      </c>
      <c r="D24" s="11">
        <f>May!D24-April!D24</f>
        <v>3</v>
      </c>
      <c r="E24" s="11">
        <f>May!E24-April!E24</f>
        <v>9</v>
      </c>
      <c r="F24" s="10">
        <f t="shared" si="0"/>
        <v>22</v>
      </c>
    </row>
    <row r="25" spans="1:6" x14ac:dyDescent="0.25">
      <c r="A25" s="1" t="s">
        <v>22</v>
      </c>
      <c r="B25" s="11">
        <f>May!B25-April!B25</f>
        <v>6</v>
      </c>
      <c r="C25" s="11">
        <f>May!C25-April!C25</f>
        <v>-6</v>
      </c>
      <c r="D25" s="11">
        <f>May!D25-April!D25</f>
        <v>1</v>
      </c>
      <c r="E25" s="11">
        <f>May!E25-April!E25</f>
        <v>15</v>
      </c>
      <c r="F25" s="10">
        <f t="shared" si="0"/>
        <v>16</v>
      </c>
    </row>
    <row r="26" spans="1:6" x14ac:dyDescent="0.25">
      <c r="A26" s="1" t="s">
        <v>23</v>
      </c>
      <c r="B26" s="11">
        <f>May!B26-April!B26</f>
        <v>16</v>
      </c>
      <c r="C26" s="11">
        <f>May!C26-April!C26</f>
        <v>-14</v>
      </c>
      <c r="D26" s="11">
        <f>May!D26-April!D26</f>
        <v>6</v>
      </c>
      <c r="E26" s="11">
        <f>May!E26-April!E26</f>
        <v>5</v>
      </c>
      <c r="F26" s="10">
        <f t="shared" si="0"/>
        <v>13</v>
      </c>
    </row>
    <row r="27" spans="1:6" x14ac:dyDescent="0.25">
      <c r="A27" s="1" t="s">
        <v>24</v>
      </c>
      <c r="B27" s="11">
        <f>May!B27-April!B27</f>
        <v>-3</v>
      </c>
      <c r="C27" s="11">
        <f>May!C27-April!C27</f>
        <v>-24</v>
      </c>
      <c r="D27" s="11">
        <f>May!D27-April!D27</f>
        <v>3</v>
      </c>
      <c r="E27" s="11">
        <f>May!E27-April!E27</f>
        <v>4</v>
      </c>
      <c r="F27" s="10">
        <f t="shared" si="0"/>
        <v>-20</v>
      </c>
    </row>
    <row r="28" spans="1:6" x14ac:dyDescent="0.25">
      <c r="A28" s="1" t="s">
        <v>25</v>
      </c>
      <c r="B28" s="11">
        <f>May!B28-April!B28</f>
        <v>28</v>
      </c>
      <c r="C28" s="11">
        <f>May!C28-April!C28</f>
        <v>19</v>
      </c>
      <c r="D28" s="11">
        <f>May!D28-April!D28</f>
        <v>-1</v>
      </c>
      <c r="E28" s="11">
        <f>May!E28-April!E28</f>
        <v>36</v>
      </c>
      <c r="F28" s="10">
        <f t="shared" si="0"/>
        <v>82</v>
      </c>
    </row>
    <row r="29" spans="1:6" x14ac:dyDescent="0.25">
      <c r="A29" s="1" t="s">
        <v>26</v>
      </c>
      <c r="B29" s="11">
        <f>May!B29-April!B29</f>
        <v>21</v>
      </c>
      <c r="C29" s="11">
        <f>May!C29-April!C29</f>
        <v>-2</v>
      </c>
      <c r="D29" s="11">
        <f>May!D29-April!D29</f>
        <v>9</v>
      </c>
      <c r="E29" s="11">
        <f>May!E29-April!E29</f>
        <v>27</v>
      </c>
      <c r="F29" s="10">
        <f t="shared" si="0"/>
        <v>55</v>
      </c>
    </row>
    <row r="30" spans="1:6" x14ac:dyDescent="0.25">
      <c r="A30" s="1" t="s">
        <v>27</v>
      </c>
      <c r="B30" s="11">
        <f>May!B30-April!B30</f>
        <v>140</v>
      </c>
      <c r="C30" s="11">
        <f>May!C30-April!C30</f>
        <v>-1</v>
      </c>
      <c r="D30" s="11">
        <f>May!D30-April!D30</f>
        <v>52</v>
      </c>
      <c r="E30" s="11">
        <f>May!E30-April!E30</f>
        <v>187</v>
      </c>
      <c r="F30" s="10">
        <f t="shared" si="0"/>
        <v>378</v>
      </c>
    </row>
    <row r="31" spans="1:6" x14ac:dyDescent="0.25">
      <c r="A31" s="1" t="s">
        <v>28</v>
      </c>
      <c r="B31" s="11">
        <f>May!B31-April!B31</f>
        <v>46</v>
      </c>
      <c r="C31" s="11">
        <f>May!C31-April!C31</f>
        <v>-74</v>
      </c>
      <c r="D31" s="11">
        <f>May!D31-April!D31</f>
        <v>15</v>
      </c>
      <c r="E31" s="11">
        <f>May!E31-April!E31</f>
        <v>15</v>
      </c>
      <c r="F31" s="10">
        <f t="shared" si="0"/>
        <v>2</v>
      </c>
    </row>
    <row r="32" spans="1:6" x14ac:dyDescent="0.25">
      <c r="A32" s="1" t="s">
        <v>29</v>
      </c>
      <c r="B32" s="11">
        <f>May!B32-April!B32</f>
        <v>-283</v>
      </c>
      <c r="C32" s="11">
        <f>May!C32-April!C32</f>
        <v>-777</v>
      </c>
      <c r="D32" s="11">
        <f>May!D32-April!D32</f>
        <v>165</v>
      </c>
      <c r="E32" s="11">
        <f>May!E32-April!E32</f>
        <v>-173</v>
      </c>
      <c r="F32" s="10">
        <f t="shared" si="0"/>
        <v>-1068</v>
      </c>
    </row>
    <row r="33" spans="1:6" x14ac:dyDescent="0.25">
      <c r="A33" s="1" t="s">
        <v>30</v>
      </c>
      <c r="B33" s="11">
        <f>May!B33-April!B33</f>
        <v>14</v>
      </c>
      <c r="C33" s="11">
        <f>May!C33-April!C33</f>
        <v>-10</v>
      </c>
      <c r="D33" s="11">
        <f>May!D33-April!D33</f>
        <v>0</v>
      </c>
      <c r="E33" s="11">
        <f>May!E33-April!E33</f>
        <v>4</v>
      </c>
      <c r="F33" s="10">
        <f t="shared" si="0"/>
        <v>8</v>
      </c>
    </row>
    <row r="34" spans="1:6" x14ac:dyDescent="0.25">
      <c r="A34" s="1" t="s">
        <v>31</v>
      </c>
      <c r="B34" s="11">
        <f>May!B34-April!B34</f>
        <v>91</v>
      </c>
      <c r="C34" s="11">
        <f>May!C34-April!C34</f>
        <v>60</v>
      </c>
      <c r="D34" s="11">
        <f>May!D34-April!D34</f>
        <v>18</v>
      </c>
      <c r="E34" s="11">
        <f>May!E34-April!E34</f>
        <v>4</v>
      </c>
      <c r="F34" s="10">
        <f t="shared" si="0"/>
        <v>173</v>
      </c>
    </row>
    <row r="35" spans="1:6" x14ac:dyDescent="0.25">
      <c r="A35" s="1" t="s">
        <v>32</v>
      </c>
      <c r="B35" s="11">
        <f>May!B35-April!B35</f>
        <v>19</v>
      </c>
      <c r="C35" s="11">
        <f>May!C35-April!C35</f>
        <v>-38</v>
      </c>
      <c r="D35" s="11">
        <f>May!D35-April!D35</f>
        <v>0</v>
      </c>
      <c r="E35" s="11">
        <f>May!E35-April!E35</f>
        <v>10</v>
      </c>
      <c r="F35" s="10">
        <f t="shared" si="0"/>
        <v>-9</v>
      </c>
    </row>
    <row r="36" spans="1:6" x14ac:dyDescent="0.25">
      <c r="A36" s="1" t="s">
        <v>33</v>
      </c>
      <c r="B36" s="11">
        <f>May!B36-April!B36</f>
        <v>36</v>
      </c>
      <c r="C36" s="11">
        <f>May!C36-April!C36</f>
        <v>-37</v>
      </c>
      <c r="D36" s="11">
        <f>May!D36-April!D36</f>
        <v>0</v>
      </c>
      <c r="E36" s="11">
        <f>May!E36-April!E36</f>
        <v>8</v>
      </c>
      <c r="F36" s="10">
        <f t="shared" si="0"/>
        <v>7</v>
      </c>
    </row>
    <row r="37" spans="1:6" x14ac:dyDescent="0.25">
      <c r="A37" s="1" t="s">
        <v>34</v>
      </c>
      <c r="B37" s="11">
        <f>May!B37-April!B37</f>
        <v>4</v>
      </c>
      <c r="C37" s="11">
        <f>May!C37-April!C37</f>
        <v>-7</v>
      </c>
      <c r="D37" s="11">
        <f>May!D37-April!D37</f>
        <v>-1</v>
      </c>
      <c r="E37" s="11">
        <f>May!E37-April!E37</f>
        <v>2</v>
      </c>
      <c r="F37" s="10">
        <f t="shared" si="0"/>
        <v>-2</v>
      </c>
    </row>
    <row r="38" spans="1:6" x14ac:dyDescent="0.25">
      <c r="A38" s="1" t="s">
        <v>35</v>
      </c>
      <c r="B38" s="11">
        <f>May!B38-April!B38</f>
        <v>-412</v>
      </c>
      <c r="C38" s="11">
        <f>May!C38-April!C38</f>
        <v>-529</v>
      </c>
      <c r="D38" s="11">
        <f>May!D38-April!D38</f>
        <v>21</v>
      </c>
      <c r="E38" s="11">
        <f>May!E38-April!E38</f>
        <v>-388</v>
      </c>
      <c r="F38" s="10">
        <f t="shared" si="0"/>
        <v>-1308</v>
      </c>
    </row>
    <row r="39" spans="1:6" x14ac:dyDescent="0.25">
      <c r="A39" s="1" t="s">
        <v>36</v>
      </c>
      <c r="B39" s="11">
        <f>May!B39-April!B39</f>
        <v>-475</v>
      </c>
      <c r="C39" s="11">
        <f>May!C39-April!C39</f>
        <v>-354</v>
      </c>
      <c r="D39" s="11">
        <f>May!D39-April!D39</f>
        <v>72</v>
      </c>
      <c r="E39" s="11">
        <f>May!E39-April!E39</f>
        <v>-158</v>
      </c>
      <c r="F39" s="10">
        <f t="shared" si="0"/>
        <v>-915</v>
      </c>
    </row>
    <row r="40" spans="1:6" x14ac:dyDescent="0.25">
      <c r="A40" s="1" t="s">
        <v>37</v>
      </c>
      <c r="B40" s="11">
        <f>May!B40-April!B40</f>
        <v>56</v>
      </c>
      <c r="C40" s="11">
        <f>May!C40-April!C40</f>
        <v>173</v>
      </c>
      <c r="D40" s="11">
        <f>May!D40-April!D40</f>
        <v>55</v>
      </c>
      <c r="E40" s="11">
        <f>May!E40-April!E40</f>
        <v>278</v>
      </c>
      <c r="F40" s="10">
        <f t="shared" si="0"/>
        <v>562</v>
      </c>
    </row>
    <row r="41" spans="1:6" x14ac:dyDescent="0.25">
      <c r="A41" s="1" t="s">
        <v>38</v>
      </c>
      <c r="B41" s="11">
        <f>May!B41-April!B41</f>
        <v>-16</v>
      </c>
      <c r="C41" s="11">
        <f>May!C41-April!C41</f>
        <v>-52</v>
      </c>
      <c r="D41" s="11">
        <f>May!D41-April!D41</f>
        <v>3</v>
      </c>
      <c r="E41" s="11">
        <f>May!E41-April!E41</f>
        <v>-12</v>
      </c>
      <c r="F41" s="10">
        <f t="shared" si="0"/>
        <v>-77</v>
      </c>
    </row>
    <row r="42" spans="1:6" x14ac:dyDescent="0.25">
      <c r="A42" s="1" t="s">
        <v>39</v>
      </c>
      <c r="B42" s="11">
        <f>May!B42-April!B42</f>
        <v>9</v>
      </c>
      <c r="C42" s="11">
        <f>May!C42-April!C42</f>
        <v>-10</v>
      </c>
      <c r="D42" s="11">
        <f>May!D42-April!D42</f>
        <v>0</v>
      </c>
      <c r="E42" s="11">
        <f>May!E42-April!E42</f>
        <v>6</v>
      </c>
      <c r="F42" s="10">
        <f t="shared" si="0"/>
        <v>5</v>
      </c>
    </row>
    <row r="43" spans="1:6" x14ac:dyDescent="0.25">
      <c r="A43" s="1" t="s">
        <v>40</v>
      </c>
      <c r="B43" s="11">
        <f>May!B43-April!B43</f>
        <v>15</v>
      </c>
      <c r="C43" s="11">
        <f>May!C43-April!C43</f>
        <v>-6</v>
      </c>
      <c r="D43" s="11">
        <f>May!D43-April!D43</f>
        <v>1</v>
      </c>
      <c r="E43" s="11">
        <f>May!E43-April!E43</f>
        <v>3</v>
      </c>
      <c r="F43" s="10">
        <f t="shared" si="0"/>
        <v>13</v>
      </c>
    </row>
    <row r="44" spans="1:6" x14ac:dyDescent="0.25">
      <c r="A44" s="1" t="s">
        <v>41</v>
      </c>
      <c r="B44" s="11">
        <f>May!B44-April!B44</f>
        <v>256</v>
      </c>
      <c r="C44" s="11">
        <f>May!C44-April!C44</f>
        <v>169</v>
      </c>
      <c r="D44" s="11">
        <f>May!D44-April!D44</f>
        <v>68</v>
      </c>
      <c r="E44" s="11">
        <f>May!E44-April!E44</f>
        <v>198</v>
      </c>
      <c r="F44" s="10">
        <f t="shared" si="0"/>
        <v>691</v>
      </c>
    </row>
    <row r="45" spans="1:6" x14ac:dyDescent="0.25">
      <c r="A45" s="1" t="s">
        <v>42</v>
      </c>
      <c r="B45" s="11">
        <f>May!B45-April!B45</f>
        <v>268</v>
      </c>
      <c r="C45" s="11">
        <f>May!C45-April!C45</f>
        <v>91</v>
      </c>
      <c r="D45" s="11">
        <f>May!D45-April!D45</f>
        <v>40</v>
      </c>
      <c r="E45" s="11">
        <f>May!E45-April!E45</f>
        <v>204</v>
      </c>
      <c r="F45" s="10">
        <f t="shared" si="0"/>
        <v>603</v>
      </c>
    </row>
    <row r="46" spans="1:6" x14ac:dyDescent="0.25">
      <c r="A46" s="1" t="s">
        <v>43</v>
      </c>
      <c r="B46" s="11">
        <f>May!B46-April!B46</f>
        <v>70</v>
      </c>
      <c r="C46" s="11">
        <f>May!C46-April!C46</f>
        <v>58</v>
      </c>
      <c r="D46" s="11">
        <f>May!D46-April!D46</f>
        <v>33</v>
      </c>
      <c r="E46" s="11">
        <f>May!E46-April!E46</f>
        <v>62</v>
      </c>
      <c r="F46" s="10">
        <f t="shared" si="0"/>
        <v>223</v>
      </c>
    </row>
    <row r="47" spans="1:6" x14ac:dyDescent="0.25">
      <c r="A47" s="1" t="s">
        <v>44</v>
      </c>
      <c r="B47" s="11">
        <f>May!B47-April!B47</f>
        <v>396</v>
      </c>
      <c r="C47" s="11">
        <f>May!C47-April!C47</f>
        <v>820</v>
      </c>
      <c r="D47" s="11">
        <f>May!D47-April!D47</f>
        <v>235</v>
      </c>
      <c r="E47" s="11">
        <f>May!E47-April!E47</f>
        <v>2042</v>
      </c>
      <c r="F47" s="10">
        <f t="shared" si="0"/>
        <v>3493</v>
      </c>
    </row>
    <row r="48" spans="1:6" x14ac:dyDescent="0.25">
      <c r="A48" s="1" t="s">
        <v>45</v>
      </c>
      <c r="B48" s="11">
        <f>May!B48-April!B48</f>
        <v>62</v>
      </c>
      <c r="C48" s="11">
        <f>May!C48-April!C48</f>
        <v>16</v>
      </c>
      <c r="D48" s="11">
        <f>May!D48-April!D48</f>
        <v>10</v>
      </c>
      <c r="E48" s="11">
        <f>May!E48-April!E48</f>
        <v>46</v>
      </c>
      <c r="F48" s="10">
        <f t="shared" si="0"/>
        <v>134</v>
      </c>
    </row>
    <row r="49" spans="1:6" x14ac:dyDescent="0.25">
      <c r="A49" s="1" t="s">
        <v>46</v>
      </c>
      <c r="B49" s="11">
        <f>May!B49-April!B49</f>
        <v>166</v>
      </c>
      <c r="C49" s="11">
        <f>May!C49-April!C49</f>
        <v>52</v>
      </c>
      <c r="D49" s="11">
        <f>May!D49-April!D49</f>
        <v>24</v>
      </c>
      <c r="E49" s="11">
        <f>May!E49-April!E49</f>
        <v>47</v>
      </c>
      <c r="F49" s="10">
        <f t="shared" si="0"/>
        <v>289</v>
      </c>
    </row>
    <row r="50" spans="1:6" x14ac:dyDescent="0.25">
      <c r="A50" s="1" t="s">
        <v>47</v>
      </c>
      <c r="B50" s="11">
        <f>May!B50-April!B50</f>
        <v>213</v>
      </c>
      <c r="C50" s="11">
        <f>May!C50-April!C50</f>
        <v>133</v>
      </c>
      <c r="D50" s="11">
        <f>May!D50-April!D50</f>
        <v>44</v>
      </c>
      <c r="E50" s="11">
        <f>May!E50-April!E50</f>
        <v>152</v>
      </c>
      <c r="F50" s="10">
        <f t="shared" si="0"/>
        <v>542</v>
      </c>
    </row>
    <row r="51" spans="1:6" x14ac:dyDescent="0.25">
      <c r="A51" s="1" t="s">
        <v>48</v>
      </c>
      <c r="B51" s="11">
        <f>May!B51-April!B51</f>
        <v>21</v>
      </c>
      <c r="C51" s="11">
        <f>May!C51-April!C51</f>
        <v>-20</v>
      </c>
      <c r="D51" s="11">
        <f>May!D51-April!D51</f>
        <v>5</v>
      </c>
      <c r="E51" s="11">
        <f>May!E51-April!E51</f>
        <v>-3</v>
      </c>
      <c r="F51" s="10">
        <f t="shared" si="0"/>
        <v>3</v>
      </c>
    </row>
    <row r="52" spans="1:6" x14ac:dyDescent="0.25">
      <c r="A52" s="1" t="s">
        <v>49</v>
      </c>
      <c r="B52" s="11">
        <f>May!B52-April!B52</f>
        <v>-9706</v>
      </c>
      <c r="C52" s="11">
        <f>May!C52-April!C52</f>
        <v>-20630</v>
      </c>
      <c r="D52" s="11">
        <f>May!D52-April!D52</f>
        <v>-82</v>
      </c>
      <c r="E52" s="11">
        <f>May!E52-April!E52</f>
        <v>-15554</v>
      </c>
      <c r="F52" s="10">
        <f t="shared" si="0"/>
        <v>-45972</v>
      </c>
    </row>
    <row r="53" spans="1:6" x14ac:dyDescent="0.25">
      <c r="A53" s="1" t="s">
        <v>50</v>
      </c>
      <c r="B53" s="11">
        <f>May!B53-April!B53</f>
        <v>-15</v>
      </c>
      <c r="C53" s="11">
        <f>May!C53-April!C53</f>
        <v>214</v>
      </c>
      <c r="D53" s="11">
        <f>May!D53-April!D53</f>
        <v>18</v>
      </c>
      <c r="E53" s="11">
        <f>May!E53-April!E53</f>
        <v>251</v>
      </c>
      <c r="F53" s="10">
        <f t="shared" si="0"/>
        <v>468</v>
      </c>
    </row>
    <row r="54" spans="1:6" x14ac:dyDescent="0.25">
      <c r="A54" s="1" t="s">
        <v>51</v>
      </c>
      <c r="B54" s="11">
        <f>May!B54-April!B54</f>
        <v>-3221</v>
      </c>
      <c r="C54" s="11">
        <f>May!C54-April!C54</f>
        <v>-4659</v>
      </c>
      <c r="D54" s="11">
        <f>May!D54-April!D54</f>
        <v>283</v>
      </c>
      <c r="E54" s="11">
        <f>May!E54-April!E54</f>
        <v>-3525</v>
      </c>
      <c r="F54" s="10">
        <f t="shared" si="0"/>
        <v>-11122</v>
      </c>
    </row>
    <row r="55" spans="1:6" x14ac:dyDescent="0.25">
      <c r="A55" s="1" t="s">
        <v>52</v>
      </c>
      <c r="B55" s="11">
        <f>May!B55-April!B55</f>
        <v>403</v>
      </c>
      <c r="C55" s="11">
        <f>May!C55-April!C55</f>
        <v>283</v>
      </c>
      <c r="D55" s="11">
        <f>May!D55-April!D55</f>
        <v>89</v>
      </c>
      <c r="E55" s="11">
        <f>May!E55-April!E55</f>
        <v>383</v>
      </c>
      <c r="F55" s="10">
        <f t="shared" si="0"/>
        <v>1158</v>
      </c>
    </row>
    <row r="56" spans="1:6" x14ac:dyDescent="0.25">
      <c r="A56" s="1" t="s">
        <v>53</v>
      </c>
      <c r="B56" s="11">
        <f>May!B56-April!B56</f>
        <v>230</v>
      </c>
      <c r="C56" s="11">
        <f>May!C56-April!C56</f>
        <v>264</v>
      </c>
      <c r="D56" s="11">
        <f>May!D56-April!D56</f>
        <v>151</v>
      </c>
      <c r="E56" s="11">
        <f>May!E56-April!E56</f>
        <v>412</v>
      </c>
      <c r="F56" s="10">
        <f t="shared" si="0"/>
        <v>1057</v>
      </c>
    </row>
    <row r="57" spans="1:6" x14ac:dyDescent="0.25">
      <c r="A57" s="1" t="s">
        <v>54</v>
      </c>
      <c r="B57" s="11">
        <f>May!B57-April!B57</f>
        <v>25</v>
      </c>
      <c r="C57" s="11">
        <f>May!C57-April!C57</f>
        <v>-306</v>
      </c>
      <c r="D57" s="11">
        <f>May!D57-April!D57</f>
        <v>89</v>
      </c>
      <c r="E57" s="11">
        <f>May!E57-April!E57</f>
        <v>199</v>
      </c>
      <c r="F57" s="10">
        <f t="shared" si="0"/>
        <v>7</v>
      </c>
    </row>
    <row r="58" spans="1:6" x14ac:dyDescent="0.25">
      <c r="A58" s="1" t="s">
        <v>55</v>
      </c>
      <c r="B58" s="11">
        <f>May!B58-April!B58</f>
        <v>26</v>
      </c>
      <c r="C58" s="11">
        <f>May!C58-April!C58</f>
        <v>-38</v>
      </c>
      <c r="D58" s="11">
        <f>May!D58-April!D58</f>
        <v>4</v>
      </c>
      <c r="E58" s="11">
        <f>May!E58-April!E58</f>
        <v>35</v>
      </c>
      <c r="F58" s="10">
        <f t="shared" si="0"/>
        <v>27</v>
      </c>
    </row>
    <row r="59" spans="1:6" x14ac:dyDescent="0.25">
      <c r="A59" s="1" t="s">
        <v>56</v>
      </c>
      <c r="B59" s="11">
        <f>May!B59-April!B59</f>
        <v>-350</v>
      </c>
      <c r="C59" s="11">
        <f>May!C59-April!C59</f>
        <v>-109</v>
      </c>
      <c r="D59" s="11">
        <f>May!D59-April!D59</f>
        <v>31</v>
      </c>
      <c r="E59" s="11">
        <f>May!E59-April!E59</f>
        <v>-105</v>
      </c>
      <c r="F59" s="10">
        <f t="shared" si="0"/>
        <v>-533</v>
      </c>
    </row>
    <row r="60" spans="1:6" x14ac:dyDescent="0.25">
      <c r="A60" s="1" t="s">
        <v>57</v>
      </c>
      <c r="B60" s="11">
        <f>May!B60-April!B60</f>
        <v>271</v>
      </c>
      <c r="C60" s="11">
        <f>May!C60-April!C60</f>
        <v>226</v>
      </c>
      <c r="D60" s="11">
        <f>May!D60-April!D60</f>
        <v>66</v>
      </c>
      <c r="E60" s="11">
        <f>May!E60-April!E60</f>
        <v>310</v>
      </c>
      <c r="F60" s="10">
        <f t="shared" si="0"/>
        <v>873</v>
      </c>
    </row>
    <row r="61" spans="1:6" x14ac:dyDescent="0.25">
      <c r="A61" s="1" t="s">
        <v>58</v>
      </c>
      <c r="B61" s="11">
        <f>May!B61-April!B61</f>
        <v>392</v>
      </c>
      <c r="C61" s="11">
        <f>May!C61-April!C61</f>
        <v>577</v>
      </c>
      <c r="D61" s="11">
        <f>May!D61-April!D61</f>
        <v>80</v>
      </c>
      <c r="E61" s="11">
        <f>May!E61-April!E61</f>
        <v>869</v>
      </c>
      <c r="F61" s="10">
        <f t="shared" si="0"/>
        <v>1918</v>
      </c>
    </row>
    <row r="62" spans="1:6" x14ac:dyDescent="0.25">
      <c r="A62" s="1" t="s">
        <v>59</v>
      </c>
      <c r="B62" s="11">
        <f>May!B62-April!B62</f>
        <v>401</v>
      </c>
      <c r="C62" s="11">
        <f>May!C62-April!C62</f>
        <v>254</v>
      </c>
      <c r="D62" s="11">
        <f>May!D62-April!D62</f>
        <v>65</v>
      </c>
      <c r="E62" s="11">
        <f>May!E62-April!E62</f>
        <v>184</v>
      </c>
      <c r="F62" s="10">
        <f t="shared" si="0"/>
        <v>904</v>
      </c>
    </row>
    <row r="63" spans="1:6" x14ac:dyDescent="0.25">
      <c r="A63" s="1" t="s">
        <v>60</v>
      </c>
      <c r="B63" s="11">
        <f>May!B63-April!B63</f>
        <v>63</v>
      </c>
      <c r="C63" s="11">
        <f>May!C63-April!C63</f>
        <v>-189</v>
      </c>
      <c r="D63" s="11">
        <f>May!D63-April!D63</f>
        <v>47</v>
      </c>
      <c r="E63" s="11">
        <f>May!E63-April!E63</f>
        <v>10</v>
      </c>
      <c r="F63" s="10">
        <f t="shared" si="0"/>
        <v>-69</v>
      </c>
    </row>
    <row r="64" spans="1:6" x14ac:dyDescent="0.25">
      <c r="A64" s="1" t="s">
        <v>61</v>
      </c>
      <c r="B64" s="11">
        <f>May!B64-April!B64</f>
        <v>194</v>
      </c>
      <c r="C64" s="11">
        <f>May!C64-April!C64</f>
        <v>98</v>
      </c>
      <c r="D64" s="11">
        <f>May!D64-April!D64</f>
        <v>13</v>
      </c>
      <c r="E64" s="11">
        <f>May!E64-April!E64</f>
        <v>72</v>
      </c>
      <c r="F64" s="10">
        <f t="shared" si="0"/>
        <v>377</v>
      </c>
    </row>
    <row r="65" spans="1:6" x14ac:dyDescent="0.25">
      <c r="A65" s="1" t="s">
        <v>62</v>
      </c>
      <c r="B65" s="11">
        <f>May!B65-April!B65</f>
        <v>44</v>
      </c>
      <c r="C65" s="11">
        <f>May!C65-April!C65</f>
        <v>-18</v>
      </c>
      <c r="D65" s="11">
        <f>May!D65-April!D65</f>
        <v>3</v>
      </c>
      <c r="E65" s="11">
        <f>May!E65-April!E65</f>
        <v>13</v>
      </c>
      <c r="F65" s="10">
        <f t="shared" si="0"/>
        <v>42</v>
      </c>
    </row>
    <row r="66" spans="1:6" x14ac:dyDescent="0.25">
      <c r="A66" s="1" t="s">
        <v>63</v>
      </c>
      <c r="B66" s="11">
        <f>May!B66-April!B66</f>
        <v>2</v>
      </c>
      <c r="C66" s="11">
        <f>May!C66-April!C66</f>
        <v>-45</v>
      </c>
      <c r="D66" s="11">
        <f>May!D66-April!D66</f>
        <v>-1</v>
      </c>
      <c r="E66" s="11">
        <f>May!E66-April!E66</f>
        <v>-6</v>
      </c>
      <c r="F66" s="10">
        <f t="shared" si="0"/>
        <v>-50</v>
      </c>
    </row>
    <row r="67" spans="1:6" x14ac:dyDescent="0.25">
      <c r="A67" s="1" t="s">
        <v>64</v>
      </c>
      <c r="B67" s="11">
        <f>May!B67-April!B67</f>
        <v>11</v>
      </c>
      <c r="C67" s="11">
        <f>May!C67-April!C67</f>
        <v>-22</v>
      </c>
      <c r="D67" s="11">
        <f>May!D67-April!D67</f>
        <v>1</v>
      </c>
      <c r="E67" s="11">
        <f>May!E67-April!E67</f>
        <v>0</v>
      </c>
      <c r="F67" s="10">
        <f t="shared" si="0"/>
        <v>-10</v>
      </c>
    </row>
    <row r="68" spans="1:6" x14ac:dyDescent="0.25">
      <c r="A68" s="1" t="s">
        <v>65</v>
      </c>
      <c r="B68" s="11">
        <f>May!B68-April!B68</f>
        <v>142</v>
      </c>
      <c r="C68" s="11">
        <f>May!C68-April!C68</f>
        <v>148</v>
      </c>
      <c r="D68" s="11">
        <f>May!D68-April!D68</f>
        <v>116</v>
      </c>
      <c r="E68" s="11">
        <f>May!E68-April!E68</f>
        <v>237</v>
      </c>
      <c r="F68" s="10">
        <f t="shared" si="0"/>
        <v>643</v>
      </c>
    </row>
    <row r="69" spans="1:6" x14ac:dyDescent="0.25">
      <c r="A69" s="1" t="s">
        <v>66</v>
      </c>
      <c r="B69" s="11">
        <f>May!B69-April!B69</f>
        <v>29</v>
      </c>
      <c r="C69" s="11">
        <f>May!C69-April!C69</f>
        <v>2</v>
      </c>
      <c r="D69" s="11">
        <f>May!D69-April!D69</f>
        <v>7</v>
      </c>
      <c r="E69" s="11">
        <f>May!E69-April!E69</f>
        <v>18</v>
      </c>
      <c r="F69" s="10">
        <f t="shared" si="0"/>
        <v>56</v>
      </c>
    </row>
    <row r="70" spans="1:6" x14ac:dyDescent="0.25">
      <c r="A70" s="1" t="s">
        <v>67</v>
      </c>
      <c r="B70" s="11">
        <f>May!B70-April!B70</f>
        <v>188</v>
      </c>
      <c r="C70" s="11">
        <f>May!C70-April!C70</f>
        <v>5</v>
      </c>
      <c r="D70" s="11">
        <f>May!D70-April!D70</f>
        <v>14</v>
      </c>
      <c r="E70" s="11">
        <f>May!E70-April!E70</f>
        <v>29</v>
      </c>
      <c r="F70" s="10">
        <f t="shared" ref="F70:F71" si="1">SUM(B70:E70)</f>
        <v>236</v>
      </c>
    </row>
    <row r="71" spans="1:6" ht="15.75" thickBot="1" x14ac:dyDescent="0.3">
      <c r="A71" s="1" t="s">
        <v>68</v>
      </c>
      <c r="B71" s="11">
        <f>May!B71-April!B71</f>
        <v>-53</v>
      </c>
      <c r="C71" s="11">
        <f>May!C71-April!C71</f>
        <v>-76</v>
      </c>
      <c r="D71" s="11">
        <f>May!D71-April!D71</f>
        <v>3</v>
      </c>
      <c r="E71" s="11">
        <f>May!E71-April!E71</f>
        <v>-23</v>
      </c>
      <c r="F71" s="10">
        <f t="shared" si="1"/>
        <v>-149</v>
      </c>
    </row>
    <row r="72" spans="1:6" ht="16.5" thickTop="1" thickBot="1" x14ac:dyDescent="0.3">
      <c r="A72" s="3" t="s">
        <v>1</v>
      </c>
      <c r="B72" s="8">
        <f>SUM(B5:B71)</f>
        <v>-8138</v>
      </c>
      <c r="C72" s="8">
        <f>SUM(C5:C71)</f>
        <v>-22881</v>
      </c>
      <c r="D72" s="8">
        <f>SUM(D5:D71)</f>
        <v>2634</v>
      </c>
      <c r="E72" s="8">
        <f>SUM(E5:E71)</f>
        <v>-10023</v>
      </c>
      <c r="F72" s="8">
        <f>SUM(F5:F71)</f>
        <v>-38408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>
      <selection activeCell="B5" sqref="B5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x14ac:dyDescent="0.3">
      <c r="A1" s="14" t="s">
        <v>91</v>
      </c>
      <c r="B1" s="15"/>
      <c r="C1" s="15"/>
      <c r="D1" s="15"/>
      <c r="E1" s="15"/>
      <c r="F1" s="16"/>
    </row>
    <row r="2" spans="1:6" x14ac:dyDescent="0.25">
      <c r="A2" s="17" t="s">
        <v>114</v>
      </c>
      <c r="B2" s="18"/>
      <c r="C2" s="18"/>
      <c r="D2" s="18"/>
      <c r="E2" s="18"/>
      <c r="F2" s="19"/>
    </row>
    <row r="3" spans="1:6" x14ac:dyDescent="0.25">
      <c r="A3" s="20" t="s">
        <v>73</v>
      </c>
      <c r="B3" s="21"/>
      <c r="C3" s="21"/>
      <c r="D3" s="21"/>
      <c r="E3" s="21"/>
      <c r="F3" s="22"/>
    </row>
    <row r="4" spans="1:6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11">
        <f>June!B5-May!B5</f>
        <v>-1</v>
      </c>
      <c r="C5" s="11">
        <f>June!C5-May!C5</f>
        <v>119</v>
      </c>
      <c r="D5" s="11">
        <f>June!D5-May!D5</f>
        <v>28</v>
      </c>
      <c r="E5" s="11">
        <f>June!E5-May!E5</f>
        <v>180</v>
      </c>
      <c r="F5" s="10">
        <f>SUM(B5:E5)</f>
        <v>326</v>
      </c>
    </row>
    <row r="6" spans="1:6" x14ac:dyDescent="0.25">
      <c r="A6" s="1" t="s">
        <v>3</v>
      </c>
      <c r="B6" s="11">
        <f>June!B6-May!B6</f>
        <v>-118</v>
      </c>
      <c r="C6" s="11">
        <f>June!C6-May!C6</f>
        <v>-205</v>
      </c>
      <c r="D6" s="11">
        <f>June!D6-May!D6</f>
        <v>0</v>
      </c>
      <c r="E6" s="11">
        <f>June!E6-May!E6</f>
        <v>-44</v>
      </c>
      <c r="F6" s="10">
        <f t="shared" ref="F6:F69" si="0">SUM(B6:E6)</f>
        <v>-367</v>
      </c>
    </row>
    <row r="7" spans="1:6" x14ac:dyDescent="0.25">
      <c r="A7" s="1" t="s">
        <v>4</v>
      </c>
      <c r="B7" s="11">
        <f>June!B7-May!B7</f>
        <v>219</v>
      </c>
      <c r="C7" s="11">
        <f>June!C7-May!C7</f>
        <v>18</v>
      </c>
      <c r="D7" s="11">
        <f>June!D7-May!D7</f>
        <v>29</v>
      </c>
      <c r="E7" s="11">
        <f>June!E7-May!E7</f>
        <v>129</v>
      </c>
      <c r="F7" s="10">
        <f t="shared" si="0"/>
        <v>395</v>
      </c>
    </row>
    <row r="8" spans="1:6" x14ac:dyDescent="0.25">
      <c r="A8" s="1" t="s">
        <v>5</v>
      </c>
      <c r="B8" s="11">
        <f>June!B8-May!B8</f>
        <v>29</v>
      </c>
      <c r="C8" s="11">
        <f>June!C8-May!C8</f>
        <v>-37</v>
      </c>
      <c r="D8" s="11">
        <f>June!D8-May!D8</f>
        <v>0</v>
      </c>
      <c r="E8" s="11">
        <f>June!E8-May!E8</f>
        <v>19</v>
      </c>
      <c r="F8" s="10">
        <f t="shared" si="0"/>
        <v>11</v>
      </c>
    </row>
    <row r="9" spans="1:6" x14ac:dyDescent="0.25">
      <c r="A9" s="1" t="s">
        <v>6</v>
      </c>
      <c r="B9" s="11">
        <f>June!B9-May!B9</f>
        <v>784</v>
      </c>
      <c r="C9" s="11">
        <f>June!C9-May!C9</f>
        <v>411</v>
      </c>
      <c r="D9" s="11">
        <f>June!D9-May!D9</f>
        <v>146</v>
      </c>
      <c r="E9" s="11">
        <f>June!E9-May!E9</f>
        <v>361</v>
      </c>
      <c r="F9" s="10">
        <f t="shared" si="0"/>
        <v>1702</v>
      </c>
    </row>
    <row r="10" spans="1:6" x14ac:dyDescent="0.25">
      <c r="A10" s="1" t="s">
        <v>7</v>
      </c>
      <c r="B10" s="11">
        <f>June!B10-May!B10</f>
        <v>614</v>
      </c>
      <c r="C10" s="11">
        <f>June!C10-May!C10</f>
        <v>2175</v>
      </c>
      <c r="D10" s="11">
        <f>June!D10-May!D10</f>
        <v>253</v>
      </c>
      <c r="E10" s="11">
        <f>June!E10-May!E10</f>
        <v>1902</v>
      </c>
      <c r="F10" s="10">
        <f t="shared" si="0"/>
        <v>4944</v>
      </c>
    </row>
    <row r="11" spans="1:6" x14ac:dyDescent="0.25">
      <c r="A11" s="1" t="s">
        <v>8</v>
      </c>
      <c r="B11" s="11">
        <f>June!B11-May!B11</f>
        <v>22</v>
      </c>
      <c r="C11" s="11">
        <f>June!C11-May!C11</f>
        <v>-27</v>
      </c>
      <c r="D11" s="11">
        <f>June!D11-May!D11</f>
        <v>2</v>
      </c>
      <c r="E11" s="11">
        <f>June!E11-May!E11</f>
        <v>7</v>
      </c>
      <c r="F11" s="10">
        <f t="shared" si="0"/>
        <v>4</v>
      </c>
    </row>
    <row r="12" spans="1:6" x14ac:dyDescent="0.25">
      <c r="A12" s="1" t="s">
        <v>9</v>
      </c>
      <c r="B12" s="11">
        <f>June!B12-May!B12</f>
        <v>214</v>
      </c>
      <c r="C12" s="11">
        <f>June!C12-May!C12</f>
        <v>161</v>
      </c>
      <c r="D12" s="11">
        <f>June!D12-May!D12</f>
        <v>50</v>
      </c>
      <c r="E12" s="11">
        <f>June!E12-May!E12</f>
        <v>66</v>
      </c>
      <c r="F12" s="10">
        <f t="shared" si="0"/>
        <v>491</v>
      </c>
    </row>
    <row r="13" spans="1:6" x14ac:dyDescent="0.25">
      <c r="A13" s="1" t="s">
        <v>10</v>
      </c>
      <c r="B13" s="11">
        <f>June!B13-May!B13</f>
        <v>232</v>
      </c>
      <c r="C13" s="11">
        <f>June!C13-May!C13</f>
        <v>28</v>
      </c>
      <c r="D13" s="11">
        <f>June!D13-May!D13</f>
        <v>28</v>
      </c>
      <c r="E13" s="11">
        <f>June!E13-May!E13</f>
        <v>62</v>
      </c>
      <c r="F13" s="10">
        <f t="shared" si="0"/>
        <v>350</v>
      </c>
    </row>
    <row r="14" spans="1:6" x14ac:dyDescent="0.25">
      <c r="A14" s="1" t="s">
        <v>11</v>
      </c>
      <c r="B14" s="11">
        <f>June!B14-May!B14</f>
        <v>147</v>
      </c>
      <c r="C14" s="11">
        <f>June!C14-May!C14</f>
        <v>102</v>
      </c>
      <c r="D14" s="11">
        <f>June!D14-May!D14</f>
        <v>26</v>
      </c>
      <c r="E14" s="11">
        <f>June!E14-May!E14</f>
        <v>109</v>
      </c>
      <c r="F14" s="10">
        <f t="shared" si="0"/>
        <v>384</v>
      </c>
    </row>
    <row r="15" spans="1:6" x14ac:dyDescent="0.25">
      <c r="A15" s="1" t="s">
        <v>12</v>
      </c>
      <c r="B15" s="11">
        <f>June!B15-May!B15</f>
        <v>401</v>
      </c>
      <c r="C15" s="11">
        <f>June!C15-May!C15</f>
        <v>275</v>
      </c>
      <c r="D15" s="11">
        <f>June!D15-May!D15</f>
        <v>53</v>
      </c>
      <c r="E15" s="11">
        <f>June!E15-May!E15</f>
        <v>238</v>
      </c>
      <c r="F15" s="10">
        <f t="shared" si="0"/>
        <v>967</v>
      </c>
    </row>
    <row r="16" spans="1:6" x14ac:dyDescent="0.25">
      <c r="A16" s="1" t="s">
        <v>13</v>
      </c>
      <c r="B16" s="11">
        <f>June!B16-May!B16</f>
        <v>78</v>
      </c>
      <c r="C16" s="11">
        <f>June!C16-May!C16</f>
        <v>4</v>
      </c>
      <c r="D16" s="11">
        <f>June!D16-May!D16</f>
        <v>8</v>
      </c>
      <c r="E16" s="11">
        <f>June!E16-May!E16</f>
        <v>35</v>
      </c>
      <c r="F16" s="10">
        <f t="shared" si="0"/>
        <v>125</v>
      </c>
    </row>
    <row r="17" spans="1:6" x14ac:dyDescent="0.25">
      <c r="A17" s="1" t="s">
        <v>14</v>
      </c>
      <c r="B17" s="11">
        <f>June!B17-May!B17</f>
        <v>40</v>
      </c>
      <c r="C17" s="11">
        <f>June!C17-May!C17</f>
        <v>-3</v>
      </c>
      <c r="D17" s="11">
        <f>June!D17-May!D17</f>
        <v>-1</v>
      </c>
      <c r="E17" s="11">
        <f>June!E17-May!E17</f>
        <v>10</v>
      </c>
      <c r="F17" s="10">
        <f t="shared" si="0"/>
        <v>46</v>
      </c>
    </row>
    <row r="18" spans="1:6" x14ac:dyDescent="0.25">
      <c r="A18" s="1" t="s">
        <v>15</v>
      </c>
      <c r="B18" s="11">
        <f>June!B18-May!B18</f>
        <v>16</v>
      </c>
      <c r="C18" s="11">
        <f>June!C18-May!C18</f>
        <v>-16</v>
      </c>
      <c r="D18" s="11">
        <f>June!D18-May!D18</f>
        <v>1</v>
      </c>
      <c r="E18" s="11">
        <f>June!E18-May!E18</f>
        <v>4</v>
      </c>
      <c r="F18" s="10">
        <f t="shared" si="0"/>
        <v>5</v>
      </c>
    </row>
    <row r="19" spans="1:6" x14ac:dyDescent="0.25">
      <c r="A19" s="1" t="s">
        <v>16</v>
      </c>
      <c r="B19" s="11">
        <f>June!B19-May!B19</f>
        <v>550</v>
      </c>
      <c r="C19" s="11">
        <f>June!C19-May!C19</f>
        <v>1186</v>
      </c>
      <c r="D19" s="11">
        <f>June!D19-May!D19</f>
        <v>142</v>
      </c>
      <c r="E19" s="11">
        <f>June!E19-May!E19</f>
        <v>1318</v>
      </c>
      <c r="F19" s="10">
        <f t="shared" si="0"/>
        <v>3196</v>
      </c>
    </row>
    <row r="20" spans="1:6" x14ac:dyDescent="0.25">
      <c r="A20" s="1" t="s">
        <v>17</v>
      </c>
      <c r="B20" s="11">
        <f>June!B20-May!B20</f>
        <v>316</v>
      </c>
      <c r="C20" s="11">
        <f>June!C20-May!C20</f>
        <v>262</v>
      </c>
      <c r="D20" s="11">
        <f>June!D20-May!D20</f>
        <v>53</v>
      </c>
      <c r="E20" s="11">
        <f>June!E20-May!E20</f>
        <v>223</v>
      </c>
      <c r="F20" s="10">
        <f t="shared" si="0"/>
        <v>854</v>
      </c>
    </row>
    <row r="21" spans="1:6" x14ac:dyDescent="0.25">
      <c r="A21" s="1" t="s">
        <v>18</v>
      </c>
      <c r="B21" s="11">
        <f>June!B21-May!B21</f>
        <v>186</v>
      </c>
      <c r="C21" s="11">
        <f>June!C21-May!C21</f>
        <v>88</v>
      </c>
      <c r="D21" s="11">
        <f>June!D21-May!D21</f>
        <v>20</v>
      </c>
      <c r="E21" s="11">
        <f>June!E21-May!E21</f>
        <v>14</v>
      </c>
      <c r="F21" s="10">
        <f t="shared" si="0"/>
        <v>308</v>
      </c>
    </row>
    <row r="22" spans="1:6" x14ac:dyDescent="0.25">
      <c r="A22" s="1" t="s">
        <v>19</v>
      </c>
      <c r="B22" s="11">
        <f>June!B22-May!B22</f>
        <v>21</v>
      </c>
      <c r="C22" s="11">
        <f>June!C22-May!C22</f>
        <v>-19</v>
      </c>
      <c r="D22" s="11">
        <f>June!D22-May!D22</f>
        <v>4</v>
      </c>
      <c r="E22" s="11">
        <f>June!E22-May!E22</f>
        <v>4</v>
      </c>
      <c r="F22" s="10">
        <f t="shared" si="0"/>
        <v>10</v>
      </c>
    </row>
    <row r="23" spans="1:6" x14ac:dyDescent="0.25">
      <c r="A23" s="1" t="s">
        <v>20</v>
      </c>
      <c r="B23" s="11">
        <f>June!B23-May!B23</f>
        <v>-59</v>
      </c>
      <c r="C23" s="11">
        <f>June!C23-May!C23</f>
        <v>-325</v>
      </c>
      <c r="D23" s="11">
        <f>June!D23-May!D23</f>
        <v>1</v>
      </c>
      <c r="E23" s="11">
        <f>June!E23-May!E23</f>
        <v>33</v>
      </c>
      <c r="F23" s="10">
        <f t="shared" si="0"/>
        <v>-350</v>
      </c>
    </row>
    <row r="24" spans="1:6" x14ac:dyDescent="0.25">
      <c r="A24" s="1" t="s">
        <v>21</v>
      </c>
      <c r="B24" s="11">
        <f>June!B24-May!B24</f>
        <v>22</v>
      </c>
      <c r="C24" s="11">
        <f>June!C24-May!C24</f>
        <v>-5</v>
      </c>
      <c r="D24" s="11">
        <f>June!D24-May!D24</f>
        <v>1</v>
      </c>
      <c r="E24" s="11">
        <f>June!E24-May!E24</f>
        <v>4</v>
      </c>
      <c r="F24" s="10">
        <f t="shared" si="0"/>
        <v>22</v>
      </c>
    </row>
    <row r="25" spans="1:6" x14ac:dyDescent="0.25">
      <c r="A25" s="1" t="s">
        <v>22</v>
      </c>
      <c r="B25" s="11">
        <f>June!B25-May!B25</f>
        <v>10</v>
      </c>
      <c r="C25" s="11">
        <f>June!C25-May!C25</f>
        <v>-6</v>
      </c>
      <c r="D25" s="11">
        <f>June!D25-May!D25</f>
        <v>-1</v>
      </c>
      <c r="E25" s="11">
        <f>June!E25-May!E25</f>
        <v>12</v>
      </c>
      <c r="F25" s="10">
        <f t="shared" si="0"/>
        <v>15</v>
      </c>
    </row>
    <row r="26" spans="1:6" x14ac:dyDescent="0.25">
      <c r="A26" s="1" t="s">
        <v>23</v>
      </c>
      <c r="B26" s="11">
        <f>June!B26-May!B26</f>
        <v>33</v>
      </c>
      <c r="C26" s="11">
        <f>June!C26-May!C26</f>
        <v>-2</v>
      </c>
      <c r="D26" s="11">
        <f>June!D26-May!D26</f>
        <v>6</v>
      </c>
      <c r="E26" s="11">
        <f>June!E26-May!E26</f>
        <v>4</v>
      </c>
      <c r="F26" s="10">
        <f t="shared" si="0"/>
        <v>41</v>
      </c>
    </row>
    <row r="27" spans="1:6" x14ac:dyDescent="0.25">
      <c r="A27" s="1" t="s">
        <v>24</v>
      </c>
      <c r="B27" s="11">
        <f>June!B27-May!B27</f>
        <v>23</v>
      </c>
      <c r="C27" s="11">
        <f>June!C27-May!C27</f>
        <v>-13</v>
      </c>
      <c r="D27" s="11">
        <f>June!D27-May!D27</f>
        <v>0</v>
      </c>
      <c r="E27" s="11">
        <f>June!E27-May!E27</f>
        <v>-5</v>
      </c>
      <c r="F27" s="10">
        <f t="shared" si="0"/>
        <v>5</v>
      </c>
    </row>
    <row r="28" spans="1:6" x14ac:dyDescent="0.25">
      <c r="A28" s="1" t="s">
        <v>25</v>
      </c>
      <c r="B28" s="11">
        <f>June!B28-May!B28</f>
        <v>18</v>
      </c>
      <c r="C28" s="11">
        <f>June!C28-May!C28</f>
        <v>-19</v>
      </c>
      <c r="D28" s="11">
        <f>June!D28-May!D28</f>
        <v>-4</v>
      </c>
      <c r="E28" s="11">
        <f>June!E28-May!E28</f>
        <v>12</v>
      </c>
      <c r="F28" s="10">
        <f t="shared" si="0"/>
        <v>7</v>
      </c>
    </row>
    <row r="29" spans="1:6" x14ac:dyDescent="0.25">
      <c r="A29" s="1" t="s">
        <v>26</v>
      </c>
      <c r="B29" s="11">
        <f>June!B29-May!B29</f>
        <v>12</v>
      </c>
      <c r="C29" s="11">
        <f>June!C29-May!C29</f>
        <v>0</v>
      </c>
      <c r="D29" s="11">
        <f>June!D29-May!D29</f>
        <v>4</v>
      </c>
      <c r="E29" s="11">
        <f>June!E29-May!E29</f>
        <v>19</v>
      </c>
      <c r="F29" s="10">
        <f t="shared" si="0"/>
        <v>35</v>
      </c>
    </row>
    <row r="30" spans="1:6" x14ac:dyDescent="0.25">
      <c r="A30" s="1" t="s">
        <v>27</v>
      </c>
      <c r="B30" s="11">
        <f>June!B30-May!B30</f>
        <v>289</v>
      </c>
      <c r="C30" s="11">
        <f>June!C30-May!C30</f>
        <v>77</v>
      </c>
      <c r="D30" s="11">
        <f>June!D30-May!D30</f>
        <v>49</v>
      </c>
      <c r="E30" s="11">
        <f>June!E30-May!E30</f>
        <v>71</v>
      </c>
      <c r="F30" s="10">
        <f t="shared" si="0"/>
        <v>486</v>
      </c>
    </row>
    <row r="31" spans="1:6" x14ac:dyDescent="0.25">
      <c r="A31" s="1" t="s">
        <v>28</v>
      </c>
      <c r="B31" s="11">
        <f>June!B31-May!B31</f>
        <v>47</v>
      </c>
      <c r="C31" s="11">
        <f>June!C31-May!C31</f>
        <v>-37</v>
      </c>
      <c r="D31" s="11">
        <f>June!D31-May!D31</f>
        <v>4</v>
      </c>
      <c r="E31" s="11">
        <f>June!E31-May!E31</f>
        <v>13</v>
      </c>
      <c r="F31" s="10">
        <f t="shared" si="0"/>
        <v>27</v>
      </c>
    </row>
    <row r="32" spans="1:6" x14ac:dyDescent="0.25">
      <c r="A32" s="1" t="s">
        <v>29</v>
      </c>
      <c r="B32" s="11">
        <f>June!B32-May!B32</f>
        <v>866</v>
      </c>
      <c r="C32" s="11">
        <f>June!C32-May!C32</f>
        <v>1769</v>
      </c>
      <c r="D32" s="11">
        <f>June!D32-May!D32</f>
        <v>221</v>
      </c>
      <c r="E32" s="11">
        <f>June!E32-May!E32</f>
        <v>1460</v>
      </c>
      <c r="F32" s="10">
        <f t="shared" si="0"/>
        <v>4316</v>
      </c>
    </row>
    <row r="33" spans="1:6" x14ac:dyDescent="0.25">
      <c r="A33" s="1" t="s">
        <v>30</v>
      </c>
      <c r="B33" s="11">
        <f>June!B33-May!B33</f>
        <v>46</v>
      </c>
      <c r="C33" s="11">
        <f>June!C33-May!C33</f>
        <v>-17</v>
      </c>
      <c r="D33" s="11">
        <f>June!D33-May!D33</f>
        <v>1</v>
      </c>
      <c r="E33" s="11">
        <f>June!E33-May!E33</f>
        <v>14</v>
      </c>
      <c r="F33" s="10">
        <f t="shared" si="0"/>
        <v>44</v>
      </c>
    </row>
    <row r="34" spans="1:6" x14ac:dyDescent="0.25">
      <c r="A34" s="1" t="s">
        <v>31</v>
      </c>
      <c r="B34" s="11">
        <f>June!B34-May!B34</f>
        <v>229</v>
      </c>
      <c r="C34" s="11">
        <f>June!C34-May!C34</f>
        <v>146</v>
      </c>
      <c r="D34" s="11">
        <f>June!D34-May!D34</f>
        <v>35</v>
      </c>
      <c r="E34" s="11">
        <f>June!E34-May!E34</f>
        <v>27</v>
      </c>
      <c r="F34" s="10">
        <f t="shared" si="0"/>
        <v>437</v>
      </c>
    </row>
    <row r="35" spans="1:6" x14ac:dyDescent="0.25">
      <c r="A35" s="1" t="s">
        <v>32</v>
      </c>
      <c r="B35" s="11">
        <f>June!B35-May!B35</f>
        <v>52</v>
      </c>
      <c r="C35" s="11">
        <f>June!C35-May!C35</f>
        <v>-21</v>
      </c>
      <c r="D35" s="11">
        <f>June!D35-May!D35</f>
        <v>3</v>
      </c>
      <c r="E35" s="11">
        <f>June!E35-May!E35</f>
        <v>18</v>
      </c>
      <c r="F35" s="10">
        <f t="shared" si="0"/>
        <v>52</v>
      </c>
    </row>
    <row r="36" spans="1:6" x14ac:dyDescent="0.25">
      <c r="A36" s="1" t="s">
        <v>33</v>
      </c>
      <c r="B36" s="11">
        <f>June!B36-May!B36</f>
        <v>60</v>
      </c>
      <c r="C36" s="11">
        <f>June!C36-May!C36</f>
        <v>-62</v>
      </c>
      <c r="D36" s="11">
        <f>June!D36-May!D36</f>
        <v>3</v>
      </c>
      <c r="E36" s="11">
        <f>June!E36-May!E36</f>
        <v>8</v>
      </c>
      <c r="F36" s="10">
        <f t="shared" si="0"/>
        <v>9</v>
      </c>
    </row>
    <row r="37" spans="1:6" x14ac:dyDescent="0.25">
      <c r="A37" s="1" t="s">
        <v>34</v>
      </c>
      <c r="B37" s="11">
        <f>June!B37-May!B37</f>
        <v>12</v>
      </c>
      <c r="C37" s="11">
        <f>June!C37-May!C37</f>
        <v>-13</v>
      </c>
      <c r="D37" s="11">
        <f>June!D37-May!D37</f>
        <v>0</v>
      </c>
      <c r="E37" s="11">
        <f>June!E37-May!E37</f>
        <v>-1</v>
      </c>
      <c r="F37" s="10">
        <f t="shared" si="0"/>
        <v>-2</v>
      </c>
    </row>
    <row r="38" spans="1:6" x14ac:dyDescent="0.25">
      <c r="A38" s="1" t="s">
        <v>35</v>
      </c>
      <c r="B38" s="11">
        <f>June!B38-May!B38</f>
        <v>451</v>
      </c>
      <c r="C38" s="11">
        <f>June!C38-May!C38</f>
        <v>233</v>
      </c>
      <c r="D38" s="11">
        <f>June!D38-May!D38</f>
        <v>40</v>
      </c>
      <c r="E38" s="11">
        <f>June!E38-May!E38</f>
        <v>276</v>
      </c>
      <c r="F38" s="10">
        <f t="shared" si="0"/>
        <v>1000</v>
      </c>
    </row>
    <row r="39" spans="1:6" x14ac:dyDescent="0.25">
      <c r="A39" s="1" t="s">
        <v>36</v>
      </c>
      <c r="B39" s="11">
        <f>June!B39-May!B39</f>
        <v>603</v>
      </c>
      <c r="C39" s="11">
        <f>June!C39-May!C39</f>
        <v>420</v>
      </c>
      <c r="D39" s="11">
        <f>June!D39-May!D39</f>
        <v>102</v>
      </c>
      <c r="E39" s="11">
        <f>June!E39-May!E39</f>
        <v>491</v>
      </c>
      <c r="F39" s="10">
        <f t="shared" si="0"/>
        <v>1616</v>
      </c>
    </row>
    <row r="40" spans="1:6" x14ac:dyDescent="0.25">
      <c r="A40" s="1" t="s">
        <v>37</v>
      </c>
      <c r="B40" s="11">
        <f>June!B40-May!B40</f>
        <v>-184</v>
      </c>
      <c r="C40" s="11">
        <f>June!C40-May!C40</f>
        <v>-44</v>
      </c>
      <c r="D40" s="11">
        <f>June!D40-May!D40</f>
        <v>56</v>
      </c>
      <c r="E40" s="11">
        <f>June!E40-May!E40</f>
        <v>80</v>
      </c>
      <c r="F40" s="10">
        <f t="shared" si="0"/>
        <v>-92</v>
      </c>
    </row>
    <row r="41" spans="1:6" x14ac:dyDescent="0.25">
      <c r="A41" s="1" t="s">
        <v>38</v>
      </c>
      <c r="B41" s="11">
        <f>June!B41-May!B41</f>
        <v>63</v>
      </c>
      <c r="C41" s="11">
        <f>June!C41-May!C41</f>
        <v>-17</v>
      </c>
      <c r="D41" s="11">
        <f>June!D41-May!D41</f>
        <v>9</v>
      </c>
      <c r="E41" s="11">
        <f>June!E41-May!E41</f>
        <v>25</v>
      </c>
      <c r="F41" s="10">
        <f t="shared" si="0"/>
        <v>80</v>
      </c>
    </row>
    <row r="42" spans="1:6" x14ac:dyDescent="0.25">
      <c r="A42" s="1" t="s">
        <v>39</v>
      </c>
      <c r="B42" s="11">
        <f>June!B42-May!B42</f>
        <v>15</v>
      </c>
      <c r="C42" s="11">
        <f>June!C42-May!C42</f>
        <v>-14</v>
      </c>
      <c r="D42" s="11">
        <f>June!D42-May!D42</f>
        <v>0</v>
      </c>
      <c r="E42" s="11">
        <f>June!E42-May!E42</f>
        <v>8</v>
      </c>
      <c r="F42" s="10">
        <f t="shared" si="0"/>
        <v>9</v>
      </c>
    </row>
    <row r="43" spans="1:6" x14ac:dyDescent="0.25">
      <c r="A43" s="1" t="s">
        <v>40</v>
      </c>
      <c r="B43" s="11">
        <f>June!B43-May!B43</f>
        <v>26</v>
      </c>
      <c r="C43" s="11">
        <f>June!C43-May!C43</f>
        <v>-27</v>
      </c>
      <c r="D43" s="11">
        <f>June!D43-May!D43</f>
        <v>1</v>
      </c>
      <c r="E43" s="11">
        <f>June!E43-May!E43</f>
        <v>6</v>
      </c>
      <c r="F43" s="10">
        <f t="shared" si="0"/>
        <v>6</v>
      </c>
    </row>
    <row r="44" spans="1:6" x14ac:dyDescent="0.25">
      <c r="A44" s="1" t="s">
        <v>41</v>
      </c>
      <c r="B44" s="11">
        <f>June!B44-May!B44</f>
        <v>410</v>
      </c>
      <c r="C44" s="11">
        <f>June!C44-May!C44</f>
        <v>327</v>
      </c>
      <c r="D44" s="11">
        <f>June!D44-May!D44</f>
        <v>59</v>
      </c>
      <c r="E44" s="11">
        <f>June!E44-May!E44</f>
        <v>330</v>
      </c>
      <c r="F44" s="10">
        <f t="shared" si="0"/>
        <v>1126</v>
      </c>
    </row>
    <row r="45" spans="1:6" x14ac:dyDescent="0.25">
      <c r="A45" s="1" t="s">
        <v>42</v>
      </c>
      <c r="B45" s="11">
        <f>June!B45-May!B45</f>
        <v>435</v>
      </c>
      <c r="C45" s="11">
        <f>June!C45-May!C45</f>
        <v>256</v>
      </c>
      <c r="D45" s="11">
        <f>June!D45-May!D45</f>
        <v>37</v>
      </c>
      <c r="E45" s="11">
        <f>June!E45-May!E45</f>
        <v>270</v>
      </c>
      <c r="F45" s="10">
        <f t="shared" si="0"/>
        <v>998</v>
      </c>
    </row>
    <row r="46" spans="1:6" x14ac:dyDescent="0.25">
      <c r="A46" s="1" t="s">
        <v>43</v>
      </c>
      <c r="B46" s="11">
        <f>June!B46-May!B46</f>
        <v>157</v>
      </c>
      <c r="C46" s="11">
        <f>June!C46-May!C46</f>
        <v>118</v>
      </c>
      <c r="D46" s="11">
        <f>June!D46-May!D46</f>
        <v>43</v>
      </c>
      <c r="E46" s="11">
        <f>June!E46-May!E46</f>
        <v>1</v>
      </c>
      <c r="F46" s="10">
        <f t="shared" si="0"/>
        <v>319</v>
      </c>
    </row>
    <row r="47" spans="1:6" x14ac:dyDescent="0.25">
      <c r="A47" s="1" t="s">
        <v>44</v>
      </c>
      <c r="B47" s="11">
        <f>June!B47-May!B47</f>
        <v>489</v>
      </c>
      <c r="C47" s="11">
        <f>June!C47-May!C47</f>
        <v>818</v>
      </c>
      <c r="D47" s="11">
        <f>June!D47-May!D47</f>
        <v>250</v>
      </c>
      <c r="E47" s="11">
        <f>June!E47-May!E47</f>
        <v>1691</v>
      </c>
      <c r="F47" s="10">
        <f t="shared" si="0"/>
        <v>3248</v>
      </c>
    </row>
    <row r="48" spans="1:6" x14ac:dyDescent="0.25">
      <c r="A48" s="1" t="s">
        <v>45</v>
      </c>
      <c r="B48" s="11">
        <f>June!B48-May!B48</f>
        <v>44</v>
      </c>
      <c r="C48" s="11">
        <f>June!C48-May!C48</f>
        <v>56</v>
      </c>
      <c r="D48" s="11">
        <f>June!D48-May!D48</f>
        <v>10</v>
      </c>
      <c r="E48" s="11">
        <f>June!E48-May!E48</f>
        <v>-6</v>
      </c>
      <c r="F48" s="10">
        <f t="shared" si="0"/>
        <v>104</v>
      </c>
    </row>
    <row r="49" spans="1:6" x14ac:dyDescent="0.25">
      <c r="A49" s="1" t="s">
        <v>46</v>
      </c>
      <c r="B49" s="11">
        <f>June!B49-May!B49</f>
        <v>192</v>
      </c>
      <c r="C49" s="11">
        <f>June!C49-May!C49</f>
        <v>49</v>
      </c>
      <c r="D49" s="11">
        <f>June!D49-May!D49</f>
        <v>26</v>
      </c>
      <c r="E49" s="11">
        <f>June!E49-May!E49</f>
        <v>84</v>
      </c>
      <c r="F49" s="10">
        <f t="shared" si="0"/>
        <v>351</v>
      </c>
    </row>
    <row r="50" spans="1:6" x14ac:dyDescent="0.25">
      <c r="A50" s="1" t="s">
        <v>47</v>
      </c>
      <c r="B50" s="11">
        <f>June!B50-May!B50</f>
        <v>277</v>
      </c>
      <c r="C50" s="11">
        <f>June!C50-May!C50</f>
        <v>103</v>
      </c>
      <c r="D50" s="11">
        <f>June!D50-May!D50</f>
        <v>33</v>
      </c>
      <c r="E50" s="11">
        <f>June!E50-May!E50</f>
        <v>162</v>
      </c>
      <c r="F50" s="10">
        <f t="shared" si="0"/>
        <v>575</v>
      </c>
    </row>
    <row r="51" spans="1:6" x14ac:dyDescent="0.25">
      <c r="A51" s="1" t="s">
        <v>48</v>
      </c>
      <c r="B51" s="11">
        <f>June!B51-May!B51</f>
        <v>15</v>
      </c>
      <c r="C51" s="11">
        <f>June!C51-May!C51</f>
        <v>-7</v>
      </c>
      <c r="D51" s="11">
        <f>June!D51-May!D51</f>
        <v>5</v>
      </c>
      <c r="E51" s="11">
        <f>June!E51-May!E51</f>
        <v>21</v>
      </c>
      <c r="F51" s="10">
        <f t="shared" si="0"/>
        <v>34</v>
      </c>
    </row>
    <row r="52" spans="1:6" x14ac:dyDescent="0.25">
      <c r="A52" s="1" t="s">
        <v>49</v>
      </c>
      <c r="B52" s="11">
        <f>June!B52-May!B52</f>
        <v>749</v>
      </c>
      <c r="C52" s="11">
        <f>June!C52-May!C52</f>
        <v>2289</v>
      </c>
      <c r="D52" s="11">
        <f>June!D52-May!D52</f>
        <v>172</v>
      </c>
      <c r="E52" s="11">
        <f>June!E52-May!E52</f>
        <v>1996</v>
      </c>
      <c r="F52" s="10">
        <f t="shared" si="0"/>
        <v>5206</v>
      </c>
    </row>
    <row r="53" spans="1:6" x14ac:dyDescent="0.25">
      <c r="A53" s="1" t="s">
        <v>50</v>
      </c>
      <c r="B53" s="11">
        <f>June!B53-May!B53</f>
        <v>314</v>
      </c>
      <c r="C53" s="11">
        <f>June!C53-May!C53</f>
        <v>726</v>
      </c>
      <c r="D53" s="11">
        <f>June!D53-May!D53</f>
        <v>36</v>
      </c>
      <c r="E53" s="11">
        <f>June!E53-May!E53</f>
        <v>633</v>
      </c>
      <c r="F53" s="10">
        <f t="shared" si="0"/>
        <v>1709</v>
      </c>
    </row>
    <row r="54" spans="1:6" x14ac:dyDescent="0.25">
      <c r="A54" s="1" t="s">
        <v>51</v>
      </c>
      <c r="B54" s="11">
        <f>June!B54-May!B54</f>
        <v>497</v>
      </c>
      <c r="C54" s="11">
        <f>June!C54-May!C54</f>
        <v>997</v>
      </c>
      <c r="D54" s="11">
        <f>June!D54-May!D54</f>
        <v>256</v>
      </c>
      <c r="E54" s="11">
        <f>June!E54-May!E54</f>
        <v>849</v>
      </c>
      <c r="F54" s="10">
        <f t="shared" si="0"/>
        <v>2599</v>
      </c>
    </row>
    <row r="55" spans="1:6" x14ac:dyDescent="0.25">
      <c r="A55" s="1" t="s">
        <v>52</v>
      </c>
      <c r="B55" s="11">
        <f>June!B55-May!B55</f>
        <v>709</v>
      </c>
      <c r="C55" s="11">
        <f>June!C55-May!C55</f>
        <v>509</v>
      </c>
      <c r="D55" s="11">
        <f>June!D55-May!D55</f>
        <v>138</v>
      </c>
      <c r="E55" s="11">
        <f>June!E55-May!E55</f>
        <v>430</v>
      </c>
      <c r="F55" s="10">
        <f t="shared" si="0"/>
        <v>1786</v>
      </c>
    </row>
    <row r="56" spans="1:6" x14ac:dyDescent="0.25">
      <c r="A56" s="1" t="s">
        <v>53</v>
      </c>
      <c r="B56" s="11">
        <f>June!B56-May!B56</f>
        <v>583</v>
      </c>
      <c r="C56" s="11">
        <f>June!C56-May!C56</f>
        <v>1038</v>
      </c>
      <c r="D56" s="11">
        <f>June!D56-May!D56</f>
        <v>179</v>
      </c>
      <c r="E56" s="11">
        <f>June!E56-May!E56</f>
        <v>595</v>
      </c>
      <c r="F56" s="10">
        <f t="shared" si="0"/>
        <v>2395</v>
      </c>
    </row>
    <row r="57" spans="1:6" x14ac:dyDescent="0.25">
      <c r="A57" s="1" t="s">
        <v>54</v>
      </c>
      <c r="B57" s="11">
        <f>June!B57-May!B57</f>
        <v>513</v>
      </c>
      <c r="C57" s="11">
        <f>June!C57-May!C57</f>
        <v>314</v>
      </c>
      <c r="D57" s="11">
        <f>June!D57-May!D57</f>
        <v>93</v>
      </c>
      <c r="E57" s="11">
        <f>June!E57-May!E57</f>
        <v>617</v>
      </c>
      <c r="F57" s="10">
        <f t="shared" si="0"/>
        <v>1537</v>
      </c>
    </row>
    <row r="58" spans="1:6" x14ac:dyDescent="0.25">
      <c r="A58" s="1" t="s">
        <v>55</v>
      </c>
      <c r="B58" s="11">
        <f>June!B58-May!B58</f>
        <v>111</v>
      </c>
      <c r="C58" s="11">
        <f>June!C58-May!C58</f>
        <v>-24</v>
      </c>
      <c r="D58" s="11">
        <f>June!D58-May!D58</f>
        <v>13</v>
      </c>
      <c r="E58" s="11">
        <f>June!E58-May!E58</f>
        <v>25</v>
      </c>
      <c r="F58" s="10">
        <f t="shared" si="0"/>
        <v>125</v>
      </c>
    </row>
    <row r="59" spans="1:6" x14ac:dyDescent="0.25">
      <c r="A59" s="1" t="s">
        <v>56</v>
      </c>
      <c r="B59" s="11">
        <f>June!B59-May!B59</f>
        <v>316</v>
      </c>
      <c r="C59" s="11">
        <f>June!C59-May!C59</f>
        <v>48</v>
      </c>
      <c r="D59" s="11">
        <f>June!D59-May!D59</f>
        <v>68</v>
      </c>
      <c r="E59" s="11">
        <f>June!E59-May!E59</f>
        <v>111</v>
      </c>
      <c r="F59" s="10">
        <f t="shared" si="0"/>
        <v>543</v>
      </c>
    </row>
    <row r="60" spans="1:6" x14ac:dyDescent="0.25">
      <c r="A60" s="1" t="s">
        <v>57</v>
      </c>
      <c r="B60" s="11">
        <f>June!B60-May!B60</f>
        <v>432</v>
      </c>
      <c r="C60" s="11">
        <f>June!C60-May!C60</f>
        <v>437</v>
      </c>
      <c r="D60" s="11">
        <f>June!D60-May!D60</f>
        <v>53</v>
      </c>
      <c r="E60" s="11">
        <f>June!E60-May!E60</f>
        <v>106</v>
      </c>
      <c r="F60" s="10">
        <f t="shared" si="0"/>
        <v>1028</v>
      </c>
    </row>
    <row r="61" spans="1:6" x14ac:dyDescent="0.25">
      <c r="A61" s="1" t="s">
        <v>58</v>
      </c>
      <c r="B61" s="11">
        <f>June!B61-May!B61</f>
        <v>161</v>
      </c>
      <c r="C61" s="11">
        <f>June!C61-May!C61</f>
        <v>495</v>
      </c>
      <c r="D61" s="11">
        <f>June!D61-May!D61</f>
        <v>61</v>
      </c>
      <c r="E61" s="11">
        <f>June!E61-May!E61</f>
        <v>618</v>
      </c>
      <c r="F61" s="10">
        <f t="shared" si="0"/>
        <v>1335</v>
      </c>
    </row>
    <row r="62" spans="1:6" x14ac:dyDescent="0.25">
      <c r="A62" s="1" t="s">
        <v>59</v>
      </c>
      <c r="B62" s="11">
        <f>June!B62-May!B62</f>
        <v>505</v>
      </c>
      <c r="C62" s="11">
        <f>June!C62-May!C62</f>
        <v>332</v>
      </c>
      <c r="D62" s="11">
        <f>June!D62-May!D62</f>
        <v>58</v>
      </c>
      <c r="E62" s="11">
        <f>June!E62-May!E62</f>
        <v>151</v>
      </c>
      <c r="F62" s="10">
        <f t="shared" si="0"/>
        <v>1046</v>
      </c>
    </row>
    <row r="63" spans="1:6" x14ac:dyDescent="0.25">
      <c r="A63" s="1" t="s">
        <v>60</v>
      </c>
      <c r="B63" s="11">
        <f>June!B63-May!B63</f>
        <v>283</v>
      </c>
      <c r="C63" s="11">
        <f>June!C63-May!C63</f>
        <v>357</v>
      </c>
      <c r="D63" s="11">
        <f>June!D63-May!D63</f>
        <v>45</v>
      </c>
      <c r="E63" s="11">
        <f>June!E63-May!E63</f>
        <v>279</v>
      </c>
      <c r="F63" s="10">
        <f t="shared" si="0"/>
        <v>964</v>
      </c>
    </row>
    <row r="64" spans="1:6" x14ac:dyDescent="0.25">
      <c r="A64" s="1" t="s">
        <v>61</v>
      </c>
      <c r="B64" s="11">
        <f>June!B64-May!B64</f>
        <v>298</v>
      </c>
      <c r="C64" s="11">
        <f>June!C64-May!C64</f>
        <v>166</v>
      </c>
      <c r="D64" s="11">
        <f>June!D64-May!D64</f>
        <v>16</v>
      </c>
      <c r="E64" s="11">
        <f>June!E64-May!E64</f>
        <v>-9</v>
      </c>
      <c r="F64" s="10">
        <f t="shared" si="0"/>
        <v>471</v>
      </c>
    </row>
    <row r="65" spans="1:6" x14ac:dyDescent="0.25">
      <c r="A65" s="1" t="s">
        <v>62</v>
      </c>
      <c r="B65" s="11">
        <f>June!B65-May!B65</f>
        <v>65</v>
      </c>
      <c r="C65" s="11">
        <f>June!C65-May!C65</f>
        <v>-37</v>
      </c>
      <c r="D65" s="11">
        <f>June!D65-May!D65</f>
        <v>5</v>
      </c>
      <c r="E65" s="11">
        <f>June!E65-May!E65</f>
        <v>3</v>
      </c>
      <c r="F65" s="10">
        <f t="shared" si="0"/>
        <v>36</v>
      </c>
    </row>
    <row r="66" spans="1:6" x14ac:dyDescent="0.25">
      <c r="A66" s="1" t="s">
        <v>63</v>
      </c>
      <c r="B66" s="11">
        <f>June!B66-May!B66</f>
        <v>18</v>
      </c>
      <c r="C66" s="11">
        <f>June!C66-May!C66</f>
        <v>-23</v>
      </c>
      <c r="D66" s="11">
        <f>June!D66-May!D66</f>
        <v>2</v>
      </c>
      <c r="E66" s="11">
        <f>June!E66-May!E66</f>
        <v>2</v>
      </c>
      <c r="F66" s="10">
        <f t="shared" si="0"/>
        <v>-1</v>
      </c>
    </row>
    <row r="67" spans="1:6" x14ac:dyDescent="0.25">
      <c r="A67" s="1" t="s">
        <v>64</v>
      </c>
      <c r="B67" s="11">
        <f>June!B67-May!B67</f>
        <v>13</v>
      </c>
      <c r="C67" s="11">
        <f>June!C67-May!C67</f>
        <v>23</v>
      </c>
      <c r="D67" s="11">
        <f>June!D67-May!D67</f>
        <v>0</v>
      </c>
      <c r="E67" s="11">
        <f>June!E67-May!E67</f>
        <v>-10</v>
      </c>
      <c r="F67" s="10">
        <f t="shared" si="0"/>
        <v>26</v>
      </c>
    </row>
    <row r="68" spans="1:6" x14ac:dyDescent="0.25">
      <c r="A68" s="1" t="s">
        <v>65</v>
      </c>
      <c r="B68" s="11">
        <f>June!B68-May!B68</f>
        <v>592</v>
      </c>
      <c r="C68" s="11">
        <f>June!C68-May!C68</f>
        <v>636</v>
      </c>
      <c r="D68" s="11">
        <f>June!D68-May!D68</f>
        <v>93</v>
      </c>
      <c r="E68" s="11">
        <f>June!E68-May!E68</f>
        <v>569</v>
      </c>
      <c r="F68" s="10">
        <f t="shared" si="0"/>
        <v>1890</v>
      </c>
    </row>
    <row r="69" spans="1:6" x14ac:dyDescent="0.25">
      <c r="A69" s="1" t="s">
        <v>66</v>
      </c>
      <c r="B69" s="11">
        <f>June!B69-May!B69</f>
        <v>60</v>
      </c>
      <c r="C69" s="11">
        <f>June!C69-May!C69</f>
        <v>-18</v>
      </c>
      <c r="D69" s="11">
        <f>June!D69-May!D69</f>
        <v>6</v>
      </c>
      <c r="E69" s="11">
        <f>June!E69-May!E69</f>
        <v>11</v>
      </c>
      <c r="F69" s="10">
        <f t="shared" si="0"/>
        <v>59</v>
      </c>
    </row>
    <row r="70" spans="1:6" x14ac:dyDescent="0.25">
      <c r="A70" s="1" t="s">
        <v>67</v>
      </c>
      <c r="B70" s="11">
        <f>June!B70-May!B70</f>
        <v>229</v>
      </c>
      <c r="C70" s="11">
        <f>June!C70-May!C70</f>
        <v>-18</v>
      </c>
      <c r="D70" s="11">
        <f>June!D70-May!D70</f>
        <v>17</v>
      </c>
      <c r="E70" s="11">
        <f>June!E70-May!E70</f>
        <v>12</v>
      </c>
      <c r="F70" s="10">
        <f t="shared" ref="F70:F71" si="1">SUM(B70:E70)</f>
        <v>240</v>
      </c>
    </row>
    <row r="71" spans="1:6" ht="15.75" thickBot="1" x14ac:dyDescent="0.3">
      <c r="A71" s="1" t="s">
        <v>68</v>
      </c>
      <c r="B71" s="11">
        <f>June!B71-May!B71</f>
        <v>47</v>
      </c>
      <c r="C71" s="11">
        <f>June!C71-May!C71</f>
        <v>-5</v>
      </c>
      <c r="D71" s="11">
        <f>June!D71-May!D71</f>
        <v>3</v>
      </c>
      <c r="E71" s="11">
        <f>June!E71-May!E71</f>
        <v>12</v>
      </c>
      <c r="F71" s="10">
        <f t="shared" si="1"/>
        <v>57</v>
      </c>
    </row>
    <row r="72" spans="1:6" ht="16.5" thickTop="1" thickBot="1" x14ac:dyDescent="0.3">
      <c r="A72" s="3" t="s">
        <v>1</v>
      </c>
      <c r="B72" s="8">
        <f>SUM(B5:B71)</f>
        <v>14898</v>
      </c>
      <c r="C72" s="8">
        <f>SUM(C5:C71)</f>
        <v>16507</v>
      </c>
      <c r="D72" s="8">
        <f>SUM(D5:D71)</f>
        <v>3150</v>
      </c>
      <c r="E72" s="8">
        <f>SUM(E5:E71)</f>
        <v>16765</v>
      </c>
      <c r="F72" s="8">
        <f>SUM(F5:F71)</f>
        <v>51320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opLeftCell="A41" workbookViewId="0">
      <selection activeCell="B5" sqref="B5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x14ac:dyDescent="0.3">
      <c r="A1" s="14" t="s">
        <v>92</v>
      </c>
      <c r="B1" s="15"/>
      <c r="C1" s="15"/>
      <c r="D1" s="15"/>
      <c r="E1" s="15"/>
      <c r="F1" s="16"/>
    </row>
    <row r="2" spans="1:6" x14ac:dyDescent="0.25">
      <c r="A2" s="17" t="s">
        <v>115</v>
      </c>
      <c r="B2" s="18"/>
      <c r="C2" s="18"/>
      <c r="D2" s="18"/>
      <c r="E2" s="18"/>
      <c r="F2" s="19"/>
    </row>
    <row r="3" spans="1:6" x14ac:dyDescent="0.25">
      <c r="A3" s="20" t="s">
        <v>73</v>
      </c>
      <c r="B3" s="21"/>
      <c r="C3" s="21"/>
      <c r="D3" s="21"/>
      <c r="E3" s="21"/>
      <c r="F3" s="22"/>
    </row>
    <row r="4" spans="1:6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11">
        <f>July!B5-June!B5</f>
        <v>126</v>
      </c>
      <c r="C5" s="11">
        <f>July!C5-June!C5</f>
        <v>532</v>
      </c>
      <c r="D5" s="11">
        <f>July!D5-June!D5</f>
        <v>33</v>
      </c>
      <c r="E5" s="11">
        <f>July!E5-June!E5</f>
        <v>-258</v>
      </c>
      <c r="F5" s="10">
        <f>SUM(B5:E5)</f>
        <v>433</v>
      </c>
    </row>
    <row r="6" spans="1:6" x14ac:dyDescent="0.25">
      <c r="A6" s="1" t="s">
        <v>3</v>
      </c>
      <c r="B6" s="11">
        <f>July!B6-June!B6</f>
        <v>142</v>
      </c>
      <c r="C6" s="11">
        <f>July!C6-June!C6</f>
        <v>-57</v>
      </c>
      <c r="D6" s="11">
        <f>July!D6-June!D6</f>
        <v>0</v>
      </c>
      <c r="E6" s="11">
        <f>July!E6-June!E6</f>
        <v>8</v>
      </c>
      <c r="F6" s="10">
        <f t="shared" ref="F6:F69" si="0">SUM(B6:E6)</f>
        <v>93</v>
      </c>
    </row>
    <row r="7" spans="1:6" x14ac:dyDescent="0.25">
      <c r="A7" s="1" t="s">
        <v>4</v>
      </c>
      <c r="B7" s="11">
        <f>July!B7-June!B7</f>
        <v>395</v>
      </c>
      <c r="C7" s="11">
        <f>July!C7-June!C7</f>
        <v>205</v>
      </c>
      <c r="D7" s="11">
        <f>July!D7-June!D7</f>
        <v>34</v>
      </c>
      <c r="E7" s="11">
        <f>July!E7-June!E7</f>
        <v>46</v>
      </c>
      <c r="F7" s="10">
        <f t="shared" si="0"/>
        <v>680</v>
      </c>
    </row>
    <row r="8" spans="1:6" x14ac:dyDescent="0.25">
      <c r="A8" s="1" t="s">
        <v>5</v>
      </c>
      <c r="B8" s="11">
        <f>July!B8-June!B8</f>
        <v>67</v>
      </c>
      <c r="C8" s="11">
        <f>July!C8-June!C8</f>
        <v>-63</v>
      </c>
      <c r="D8" s="11">
        <f>July!D8-June!D8</f>
        <v>2</v>
      </c>
      <c r="E8" s="11">
        <f>July!E8-June!E8</f>
        <v>4</v>
      </c>
      <c r="F8" s="10">
        <f t="shared" si="0"/>
        <v>10</v>
      </c>
    </row>
    <row r="9" spans="1:6" x14ac:dyDescent="0.25">
      <c r="A9" s="1" t="s">
        <v>6</v>
      </c>
      <c r="B9" s="11">
        <f>July!B9-June!B9</f>
        <v>1240</v>
      </c>
      <c r="C9" s="11">
        <f>July!C9-June!C9</f>
        <v>1373</v>
      </c>
      <c r="D9" s="11">
        <f>July!D9-June!D9</f>
        <v>183</v>
      </c>
      <c r="E9" s="11">
        <f>July!E9-June!E9</f>
        <v>-87</v>
      </c>
      <c r="F9" s="10">
        <f t="shared" si="0"/>
        <v>2709</v>
      </c>
    </row>
    <row r="10" spans="1:6" x14ac:dyDescent="0.25">
      <c r="A10" s="1" t="s">
        <v>7</v>
      </c>
      <c r="B10" s="11">
        <f>July!B10-June!B10</f>
        <v>1344</v>
      </c>
      <c r="C10" s="11">
        <f>July!C10-June!C10</f>
        <v>4741</v>
      </c>
      <c r="D10" s="11">
        <f>July!D10-June!D10</f>
        <v>345</v>
      </c>
      <c r="E10" s="11">
        <f>July!E10-June!E10</f>
        <v>535</v>
      </c>
      <c r="F10" s="10">
        <f t="shared" si="0"/>
        <v>6965</v>
      </c>
    </row>
    <row r="11" spans="1:6" x14ac:dyDescent="0.25">
      <c r="A11" s="1" t="s">
        <v>8</v>
      </c>
      <c r="B11" s="11">
        <f>July!B11-June!B11</f>
        <v>66</v>
      </c>
      <c r="C11" s="11">
        <f>July!C11-June!C11</f>
        <v>-52</v>
      </c>
      <c r="D11" s="11">
        <f>July!D11-June!D11</f>
        <v>0</v>
      </c>
      <c r="E11" s="11">
        <f>July!E11-June!E11</f>
        <v>1</v>
      </c>
      <c r="F11" s="10">
        <f t="shared" si="0"/>
        <v>15</v>
      </c>
    </row>
    <row r="12" spans="1:6" x14ac:dyDescent="0.25">
      <c r="A12" s="1" t="s">
        <v>9</v>
      </c>
      <c r="B12" s="11">
        <f>July!B12-June!B12</f>
        <v>484</v>
      </c>
      <c r="C12" s="11">
        <f>July!C12-June!C12</f>
        <v>236</v>
      </c>
      <c r="D12" s="11">
        <f>July!D12-June!D12</f>
        <v>65</v>
      </c>
      <c r="E12" s="11">
        <f>July!E12-June!E12</f>
        <v>-36</v>
      </c>
      <c r="F12" s="10">
        <f t="shared" si="0"/>
        <v>749</v>
      </c>
    </row>
    <row r="13" spans="1:6" x14ac:dyDescent="0.25">
      <c r="A13" s="1" t="s">
        <v>10</v>
      </c>
      <c r="B13" s="11">
        <f>July!B13-June!B13</f>
        <v>504</v>
      </c>
      <c r="C13" s="11">
        <f>July!C13-June!C13</f>
        <v>142</v>
      </c>
      <c r="D13" s="11">
        <f>July!D13-June!D13</f>
        <v>28</v>
      </c>
      <c r="E13" s="11">
        <f>July!E13-June!E13</f>
        <v>-95</v>
      </c>
      <c r="F13" s="10">
        <f t="shared" si="0"/>
        <v>579</v>
      </c>
    </row>
    <row r="14" spans="1:6" x14ac:dyDescent="0.25">
      <c r="A14" s="1" t="s">
        <v>11</v>
      </c>
      <c r="B14" s="11">
        <f>July!B14-June!B14</f>
        <v>375</v>
      </c>
      <c r="C14" s="11">
        <f>July!C14-June!C14</f>
        <v>386</v>
      </c>
      <c r="D14" s="11">
        <f>July!D14-June!D14</f>
        <v>46</v>
      </c>
      <c r="E14" s="11">
        <f>July!E14-June!E14</f>
        <v>-7</v>
      </c>
      <c r="F14" s="10">
        <f t="shared" si="0"/>
        <v>800</v>
      </c>
    </row>
    <row r="15" spans="1:6" x14ac:dyDescent="0.25">
      <c r="A15" s="1" t="s">
        <v>12</v>
      </c>
      <c r="B15" s="11">
        <f>July!B15-June!B15</f>
        <v>629</v>
      </c>
      <c r="C15" s="11">
        <f>July!C15-June!C15</f>
        <v>696</v>
      </c>
      <c r="D15" s="11">
        <f>July!D15-June!D15</f>
        <v>56</v>
      </c>
      <c r="E15" s="11">
        <f>July!E15-June!E15</f>
        <v>189</v>
      </c>
      <c r="F15" s="10">
        <f t="shared" si="0"/>
        <v>1570</v>
      </c>
    </row>
    <row r="16" spans="1:6" x14ac:dyDescent="0.25">
      <c r="A16" s="1" t="s">
        <v>13</v>
      </c>
      <c r="B16" s="11">
        <f>July!B16-June!B16</f>
        <v>275</v>
      </c>
      <c r="C16" s="11">
        <f>July!C16-June!C16</f>
        <v>-24</v>
      </c>
      <c r="D16" s="11">
        <f>July!D16-June!D16</f>
        <v>13</v>
      </c>
      <c r="E16" s="11">
        <f>July!E16-June!E16</f>
        <v>34</v>
      </c>
      <c r="F16" s="10">
        <f t="shared" si="0"/>
        <v>298</v>
      </c>
    </row>
    <row r="17" spans="1:6" x14ac:dyDescent="0.25">
      <c r="A17" s="1" t="s">
        <v>14</v>
      </c>
      <c r="B17" s="11">
        <f>July!B17-June!B17</f>
        <v>60</v>
      </c>
      <c r="C17" s="11">
        <f>July!C17-June!C17</f>
        <v>-29</v>
      </c>
      <c r="D17" s="11">
        <f>July!D17-June!D17</f>
        <v>3</v>
      </c>
      <c r="E17" s="11">
        <f>July!E17-June!E17</f>
        <v>14</v>
      </c>
      <c r="F17" s="10">
        <f t="shared" si="0"/>
        <v>48</v>
      </c>
    </row>
    <row r="18" spans="1:6" x14ac:dyDescent="0.25">
      <c r="A18" s="1" t="s">
        <v>15</v>
      </c>
      <c r="B18" s="11">
        <f>July!B18-June!B18</f>
        <v>46</v>
      </c>
      <c r="C18" s="11">
        <f>July!C18-June!C18</f>
        <v>-44</v>
      </c>
      <c r="D18" s="11">
        <f>July!D18-June!D18</f>
        <v>0</v>
      </c>
      <c r="E18" s="11">
        <f>July!E18-June!E18</f>
        <v>3</v>
      </c>
      <c r="F18" s="10">
        <f t="shared" si="0"/>
        <v>5</v>
      </c>
    </row>
    <row r="19" spans="1:6" x14ac:dyDescent="0.25">
      <c r="A19" s="1" t="s">
        <v>16</v>
      </c>
      <c r="B19" s="11">
        <f>July!B19-June!B19</f>
        <v>890</v>
      </c>
      <c r="C19" s="11">
        <f>July!C19-June!C19</f>
        <v>2729</v>
      </c>
      <c r="D19" s="11">
        <f>July!D19-June!D19</f>
        <v>222</v>
      </c>
      <c r="E19" s="11">
        <f>July!E19-June!E19</f>
        <v>476</v>
      </c>
      <c r="F19" s="10">
        <f t="shared" si="0"/>
        <v>4317</v>
      </c>
    </row>
    <row r="20" spans="1:6" x14ac:dyDescent="0.25">
      <c r="A20" s="1" t="s">
        <v>17</v>
      </c>
      <c r="B20" s="11">
        <f>July!B20-June!B20</f>
        <v>694</v>
      </c>
      <c r="C20" s="11">
        <f>July!C20-June!C20</f>
        <v>446</v>
      </c>
      <c r="D20" s="11">
        <f>July!D20-June!D20</f>
        <v>64</v>
      </c>
      <c r="E20" s="11">
        <f>July!E20-June!E20</f>
        <v>238</v>
      </c>
      <c r="F20" s="10">
        <f t="shared" si="0"/>
        <v>1442</v>
      </c>
    </row>
    <row r="21" spans="1:6" x14ac:dyDescent="0.25">
      <c r="A21" s="1" t="s">
        <v>18</v>
      </c>
      <c r="B21" s="11">
        <f>July!B21-June!B21</f>
        <v>332</v>
      </c>
      <c r="C21" s="11">
        <f>July!C21-June!C21</f>
        <v>232</v>
      </c>
      <c r="D21" s="11">
        <f>July!D21-June!D21</f>
        <v>14</v>
      </c>
      <c r="E21" s="11">
        <f>July!E21-June!E21</f>
        <v>-131</v>
      </c>
      <c r="F21" s="10">
        <f t="shared" si="0"/>
        <v>447</v>
      </c>
    </row>
    <row r="22" spans="1:6" x14ac:dyDescent="0.25">
      <c r="A22" s="1" t="s">
        <v>19</v>
      </c>
      <c r="B22" s="11">
        <f>July!B22-June!B22</f>
        <v>40</v>
      </c>
      <c r="C22" s="11">
        <f>July!C22-June!C22</f>
        <v>13</v>
      </c>
      <c r="D22" s="11">
        <f>July!D22-June!D22</f>
        <v>9</v>
      </c>
      <c r="E22" s="11">
        <f>July!E22-June!E22</f>
        <v>5</v>
      </c>
      <c r="F22" s="10">
        <f t="shared" si="0"/>
        <v>67</v>
      </c>
    </row>
    <row r="23" spans="1:6" x14ac:dyDescent="0.25">
      <c r="A23" s="1" t="s">
        <v>20</v>
      </c>
      <c r="B23" s="11">
        <f>July!B23-June!B23</f>
        <v>60</v>
      </c>
      <c r="C23" s="11">
        <f>July!C23-June!C23</f>
        <v>41</v>
      </c>
      <c r="D23" s="11">
        <f>July!D23-June!D23</f>
        <v>10</v>
      </c>
      <c r="E23" s="11">
        <f>July!E23-June!E23</f>
        <v>25</v>
      </c>
      <c r="F23" s="10">
        <f t="shared" si="0"/>
        <v>136</v>
      </c>
    </row>
    <row r="24" spans="1:6" x14ac:dyDescent="0.25">
      <c r="A24" s="1" t="s">
        <v>21</v>
      </c>
      <c r="B24" s="11">
        <f>July!B24-June!B24</f>
        <v>68</v>
      </c>
      <c r="C24" s="11">
        <f>July!C24-June!C24</f>
        <v>-28</v>
      </c>
      <c r="D24" s="11">
        <f>July!D24-June!D24</f>
        <v>1</v>
      </c>
      <c r="E24" s="11">
        <f>July!E24-June!E24</f>
        <v>6</v>
      </c>
      <c r="F24" s="10">
        <f t="shared" si="0"/>
        <v>47</v>
      </c>
    </row>
    <row r="25" spans="1:6" x14ac:dyDescent="0.25">
      <c r="A25" s="1" t="s">
        <v>22</v>
      </c>
      <c r="B25" s="11">
        <f>July!B25-June!B25</f>
        <v>45</v>
      </c>
      <c r="C25" s="11">
        <f>July!C25-June!C25</f>
        <v>-24</v>
      </c>
      <c r="D25" s="11">
        <f>July!D25-June!D25</f>
        <v>3</v>
      </c>
      <c r="E25" s="11">
        <f>July!E25-June!E25</f>
        <v>4</v>
      </c>
      <c r="F25" s="10">
        <f t="shared" si="0"/>
        <v>28</v>
      </c>
    </row>
    <row r="26" spans="1:6" x14ac:dyDescent="0.25">
      <c r="A26" s="1" t="s">
        <v>23</v>
      </c>
      <c r="B26" s="11">
        <f>July!B26-June!B26</f>
        <v>36</v>
      </c>
      <c r="C26" s="11">
        <f>July!C26-June!C26</f>
        <v>4</v>
      </c>
      <c r="D26" s="11">
        <f>July!D26-June!D26</f>
        <v>9</v>
      </c>
      <c r="E26" s="11">
        <f>July!E26-June!E26</f>
        <v>5</v>
      </c>
      <c r="F26" s="10">
        <f t="shared" si="0"/>
        <v>54</v>
      </c>
    </row>
    <row r="27" spans="1:6" x14ac:dyDescent="0.25">
      <c r="A27" s="1" t="s">
        <v>24</v>
      </c>
      <c r="B27" s="11">
        <f>July!B27-June!B27</f>
        <v>62</v>
      </c>
      <c r="C27" s="11">
        <f>July!C27-June!C27</f>
        <v>-39</v>
      </c>
      <c r="D27" s="11">
        <f>July!D27-June!D27</f>
        <v>7</v>
      </c>
      <c r="E27" s="11">
        <f>July!E27-June!E27</f>
        <v>2</v>
      </c>
      <c r="F27" s="10">
        <f t="shared" si="0"/>
        <v>32</v>
      </c>
    </row>
    <row r="28" spans="1:6" x14ac:dyDescent="0.25">
      <c r="A28" s="1" t="s">
        <v>25</v>
      </c>
      <c r="B28" s="11">
        <f>July!B28-June!B28</f>
        <v>105</v>
      </c>
      <c r="C28" s="11">
        <f>July!C28-June!C28</f>
        <v>-62</v>
      </c>
      <c r="D28" s="11">
        <f>July!D28-June!D28</f>
        <v>-77</v>
      </c>
      <c r="E28" s="11">
        <f>July!E28-June!E28</f>
        <v>69</v>
      </c>
      <c r="F28" s="10">
        <f t="shared" si="0"/>
        <v>35</v>
      </c>
    </row>
    <row r="29" spans="1:6" x14ac:dyDescent="0.25">
      <c r="A29" s="1" t="s">
        <v>26</v>
      </c>
      <c r="B29" s="11">
        <f>July!B29-June!B29</f>
        <v>44</v>
      </c>
      <c r="C29" s="11">
        <f>July!C29-June!C29</f>
        <v>-23</v>
      </c>
      <c r="D29" s="11">
        <f>July!D29-June!D29</f>
        <v>5</v>
      </c>
      <c r="E29" s="11">
        <f>July!E29-June!E29</f>
        <v>3</v>
      </c>
      <c r="F29" s="10">
        <f t="shared" si="0"/>
        <v>29</v>
      </c>
    </row>
    <row r="30" spans="1:6" x14ac:dyDescent="0.25">
      <c r="A30" s="1" t="s">
        <v>27</v>
      </c>
      <c r="B30" s="11">
        <f>July!B30-June!B30</f>
        <v>533</v>
      </c>
      <c r="C30" s="11">
        <f>July!C30-June!C30</f>
        <v>239</v>
      </c>
      <c r="D30" s="11">
        <f>July!D30-June!D30</f>
        <v>41</v>
      </c>
      <c r="E30" s="11">
        <f>July!E30-June!E30</f>
        <v>-75</v>
      </c>
      <c r="F30" s="10">
        <f t="shared" si="0"/>
        <v>738</v>
      </c>
    </row>
    <row r="31" spans="1:6" x14ac:dyDescent="0.25">
      <c r="A31" s="1" t="s">
        <v>28</v>
      </c>
      <c r="B31" s="11">
        <f>July!B31-June!B31</f>
        <v>244</v>
      </c>
      <c r="C31" s="11">
        <f>July!C31-June!C31</f>
        <v>60</v>
      </c>
      <c r="D31" s="11">
        <f>July!D31-June!D31</f>
        <v>8</v>
      </c>
      <c r="E31" s="11">
        <f>July!E31-June!E31</f>
        <v>49</v>
      </c>
      <c r="F31" s="10">
        <f t="shared" si="0"/>
        <v>361</v>
      </c>
    </row>
    <row r="32" spans="1:6" x14ac:dyDescent="0.25">
      <c r="A32" s="1" t="s">
        <v>29</v>
      </c>
      <c r="B32" s="11">
        <f>July!B32-June!B32</f>
        <v>2410</v>
      </c>
      <c r="C32" s="11">
        <f>July!C32-June!C32</f>
        <v>4301</v>
      </c>
      <c r="D32" s="11">
        <f>July!D32-June!D32</f>
        <v>279</v>
      </c>
      <c r="E32" s="11">
        <f>July!E32-June!E32</f>
        <v>680</v>
      </c>
      <c r="F32" s="10">
        <f t="shared" si="0"/>
        <v>7670</v>
      </c>
    </row>
    <row r="33" spans="1:6" x14ac:dyDescent="0.25">
      <c r="A33" s="1" t="s">
        <v>30</v>
      </c>
      <c r="B33" s="11">
        <f>July!B33-June!B33</f>
        <v>58</v>
      </c>
      <c r="C33" s="11">
        <f>July!C33-June!C33</f>
        <v>-41</v>
      </c>
      <c r="D33" s="11">
        <f>July!D33-June!D33</f>
        <v>0</v>
      </c>
      <c r="E33" s="11">
        <f>July!E33-June!E33</f>
        <v>11</v>
      </c>
      <c r="F33" s="10">
        <f t="shared" si="0"/>
        <v>28</v>
      </c>
    </row>
    <row r="34" spans="1:6" x14ac:dyDescent="0.25">
      <c r="A34" s="1" t="s">
        <v>31</v>
      </c>
      <c r="B34" s="11">
        <f>July!B34-June!B34</f>
        <v>315</v>
      </c>
      <c r="C34" s="11">
        <f>July!C34-June!C34</f>
        <v>451</v>
      </c>
      <c r="D34" s="11">
        <f>July!D34-June!D34</f>
        <v>39</v>
      </c>
      <c r="E34" s="11">
        <f>July!E34-June!E34</f>
        <v>-167</v>
      </c>
      <c r="F34" s="10">
        <f t="shared" si="0"/>
        <v>638</v>
      </c>
    </row>
    <row r="35" spans="1:6" x14ac:dyDescent="0.25">
      <c r="A35" s="1" t="s">
        <v>32</v>
      </c>
      <c r="B35" s="11">
        <f>July!B35-June!B35</f>
        <v>128</v>
      </c>
      <c r="C35" s="11">
        <f>July!C35-June!C35</f>
        <v>-42</v>
      </c>
      <c r="D35" s="11">
        <f>July!D35-June!D35</f>
        <v>0</v>
      </c>
      <c r="E35" s="11">
        <f>July!E35-June!E35</f>
        <v>41</v>
      </c>
      <c r="F35" s="10">
        <f t="shared" si="0"/>
        <v>127</v>
      </c>
    </row>
    <row r="36" spans="1:6" x14ac:dyDescent="0.25">
      <c r="A36" s="1" t="s">
        <v>33</v>
      </c>
      <c r="B36" s="11">
        <f>July!B36-June!B36</f>
        <v>113</v>
      </c>
      <c r="C36" s="11">
        <f>July!C36-June!C36</f>
        <v>-41</v>
      </c>
      <c r="D36" s="11">
        <f>July!D36-June!D36</f>
        <v>0</v>
      </c>
      <c r="E36" s="11">
        <f>July!E36-June!E36</f>
        <v>-6</v>
      </c>
      <c r="F36" s="10">
        <f t="shared" si="0"/>
        <v>66</v>
      </c>
    </row>
    <row r="37" spans="1:6" x14ac:dyDescent="0.25">
      <c r="A37" s="1" t="s">
        <v>34</v>
      </c>
      <c r="B37" s="11">
        <f>July!B37-June!B37</f>
        <v>46</v>
      </c>
      <c r="C37" s="11">
        <f>July!C37-June!C37</f>
        <v>-32</v>
      </c>
      <c r="D37" s="11">
        <f>July!D37-June!D37</f>
        <v>0</v>
      </c>
      <c r="E37" s="11">
        <f>July!E37-June!E37</f>
        <v>-1</v>
      </c>
      <c r="F37" s="10">
        <f t="shared" si="0"/>
        <v>13</v>
      </c>
    </row>
    <row r="38" spans="1:6" x14ac:dyDescent="0.25">
      <c r="A38" s="1" t="s">
        <v>35</v>
      </c>
      <c r="B38" s="11">
        <f>July!B38-June!B38</f>
        <v>931</v>
      </c>
      <c r="C38" s="11">
        <f>July!C38-June!C38</f>
        <v>843</v>
      </c>
      <c r="D38" s="11">
        <f>July!D38-June!D38</f>
        <v>57</v>
      </c>
      <c r="E38" s="11">
        <f>July!E38-June!E38</f>
        <v>224</v>
      </c>
      <c r="F38" s="10">
        <f t="shared" si="0"/>
        <v>2055</v>
      </c>
    </row>
    <row r="39" spans="1:6" x14ac:dyDescent="0.25">
      <c r="A39" s="1" t="s">
        <v>36</v>
      </c>
      <c r="B39" s="11">
        <f>July!B39-June!B39</f>
        <v>1275</v>
      </c>
      <c r="C39" s="11">
        <f>July!C39-June!C39</f>
        <v>1325</v>
      </c>
      <c r="D39" s="11">
        <f>July!D39-June!D39</f>
        <v>125</v>
      </c>
      <c r="E39" s="11">
        <f>July!E39-June!E39</f>
        <v>300</v>
      </c>
      <c r="F39" s="10">
        <f t="shared" si="0"/>
        <v>3025</v>
      </c>
    </row>
    <row r="40" spans="1:6" x14ac:dyDescent="0.25">
      <c r="A40" s="1" t="s">
        <v>37</v>
      </c>
      <c r="B40" s="11">
        <f>July!B40-June!B40</f>
        <v>254</v>
      </c>
      <c r="C40" s="11">
        <f>July!C40-June!C40</f>
        <v>621</v>
      </c>
      <c r="D40" s="11">
        <f>July!D40-June!D40</f>
        <v>57</v>
      </c>
      <c r="E40" s="11">
        <f>July!E40-June!E40</f>
        <v>17</v>
      </c>
      <c r="F40" s="10">
        <f t="shared" si="0"/>
        <v>949</v>
      </c>
    </row>
    <row r="41" spans="1:6" x14ac:dyDescent="0.25">
      <c r="A41" s="1" t="s">
        <v>38</v>
      </c>
      <c r="B41" s="11">
        <f>July!B41-June!B41</f>
        <v>137</v>
      </c>
      <c r="C41" s="11">
        <f>July!C41-June!C41</f>
        <v>30</v>
      </c>
      <c r="D41" s="11">
        <f>July!D41-June!D41</f>
        <v>6</v>
      </c>
      <c r="E41" s="11">
        <f>July!E41-June!E41</f>
        <v>16</v>
      </c>
      <c r="F41" s="10">
        <f t="shared" si="0"/>
        <v>189</v>
      </c>
    </row>
    <row r="42" spans="1:6" x14ac:dyDescent="0.25">
      <c r="A42" s="1" t="s">
        <v>39</v>
      </c>
      <c r="B42" s="11">
        <f>July!B42-June!B42</f>
        <v>31</v>
      </c>
      <c r="C42" s="11">
        <f>July!C42-June!C42</f>
        <v>-23</v>
      </c>
      <c r="D42" s="11">
        <f>July!D42-June!D42</f>
        <v>0</v>
      </c>
      <c r="E42" s="11">
        <f>July!E42-June!E42</f>
        <v>9</v>
      </c>
      <c r="F42" s="10">
        <f t="shared" si="0"/>
        <v>17</v>
      </c>
    </row>
    <row r="43" spans="1:6" x14ac:dyDescent="0.25">
      <c r="A43" s="1" t="s">
        <v>40</v>
      </c>
      <c r="B43" s="11">
        <f>July!B43-June!B43</f>
        <v>51</v>
      </c>
      <c r="C43" s="11">
        <f>July!C43-June!C43</f>
        <v>-34</v>
      </c>
      <c r="D43" s="11">
        <f>July!D43-June!D43</f>
        <v>1</v>
      </c>
      <c r="E43" s="11">
        <f>July!E43-June!E43</f>
        <v>7</v>
      </c>
      <c r="F43" s="10">
        <f t="shared" si="0"/>
        <v>25</v>
      </c>
    </row>
    <row r="44" spans="1:6" x14ac:dyDescent="0.25">
      <c r="A44" s="1" t="s">
        <v>41</v>
      </c>
      <c r="B44" s="11">
        <f>July!B44-June!B44</f>
        <v>657</v>
      </c>
      <c r="C44" s="11">
        <f>July!C44-June!C44</f>
        <v>811</v>
      </c>
      <c r="D44" s="11">
        <f>July!D44-June!D44</f>
        <v>66</v>
      </c>
      <c r="E44" s="11">
        <f>July!E44-June!E44</f>
        <v>-121</v>
      </c>
      <c r="F44" s="10">
        <f t="shared" si="0"/>
        <v>1413</v>
      </c>
    </row>
    <row r="45" spans="1:6" x14ac:dyDescent="0.25">
      <c r="A45" s="1" t="s">
        <v>42</v>
      </c>
      <c r="B45" s="11">
        <f>July!B45-June!B45</f>
        <v>843</v>
      </c>
      <c r="C45" s="11">
        <f>July!C45-June!C45</f>
        <v>547</v>
      </c>
      <c r="D45" s="11">
        <f>July!D45-June!D45</f>
        <v>56</v>
      </c>
      <c r="E45" s="11">
        <f>July!E45-June!E45</f>
        <v>-25</v>
      </c>
      <c r="F45" s="10">
        <f t="shared" si="0"/>
        <v>1421</v>
      </c>
    </row>
    <row r="46" spans="1:6" x14ac:dyDescent="0.25">
      <c r="A46" s="1" t="s">
        <v>43</v>
      </c>
      <c r="B46" s="11">
        <f>July!B46-June!B46</f>
        <v>230</v>
      </c>
      <c r="C46" s="11">
        <f>July!C46-June!C46</f>
        <v>377</v>
      </c>
      <c r="D46" s="11">
        <f>July!D46-June!D46</f>
        <v>23</v>
      </c>
      <c r="E46" s="11">
        <f>July!E46-June!E46</f>
        <v>-214</v>
      </c>
      <c r="F46" s="10">
        <f t="shared" si="0"/>
        <v>416</v>
      </c>
    </row>
    <row r="47" spans="1:6" x14ac:dyDescent="0.25">
      <c r="A47" s="1" t="s">
        <v>44</v>
      </c>
      <c r="B47" s="11">
        <f>July!B47-June!B47</f>
        <v>1439</v>
      </c>
      <c r="C47" s="11">
        <f>July!C47-June!C47</f>
        <v>4502</v>
      </c>
      <c r="D47" s="11">
        <f>July!D47-June!D47</f>
        <v>352</v>
      </c>
      <c r="E47" s="11">
        <f>July!E47-June!E47</f>
        <v>2185</v>
      </c>
      <c r="F47" s="10">
        <f t="shared" si="0"/>
        <v>8478</v>
      </c>
    </row>
    <row r="48" spans="1:6" x14ac:dyDescent="0.25">
      <c r="A48" s="1" t="s">
        <v>45</v>
      </c>
      <c r="B48" s="11">
        <f>July!B48-June!B48</f>
        <v>-2</v>
      </c>
      <c r="C48" s="11">
        <f>July!C48-June!C48</f>
        <v>67</v>
      </c>
      <c r="D48" s="11">
        <f>July!D48-June!D48</f>
        <v>29</v>
      </c>
      <c r="E48" s="11">
        <f>July!E48-June!E48</f>
        <v>-112</v>
      </c>
      <c r="F48" s="10">
        <f t="shared" si="0"/>
        <v>-18</v>
      </c>
    </row>
    <row r="49" spans="1:6" x14ac:dyDescent="0.25">
      <c r="A49" s="1" t="s">
        <v>46</v>
      </c>
      <c r="B49" s="11">
        <f>July!B49-June!B49</f>
        <v>289</v>
      </c>
      <c r="C49" s="11">
        <f>July!C49-June!C49</f>
        <v>116</v>
      </c>
      <c r="D49" s="11">
        <f>July!D49-June!D49</f>
        <v>31</v>
      </c>
      <c r="E49" s="11">
        <f>July!E49-June!E49</f>
        <v>26</v>
      </c>
      <c r="F49" s="10">
        <f t="shared" si="0"/>
        <v>462</v>
      </c>
    </row>
    <row r="50" spans="1:6" x14ac:dyDescent="0.25">
      <c r="A50" s="1" t="s">
        <v>47</v>
      </c>
      <c r="B50" s="11">
        <f>July!B50-June!B50</f>
        <v>207</v>
      </c>
      <c r="C50" s="11">
        <f>July!C50-June!C50</f>
        <v>139</v>
      </c>
      <c r="D50" s="11">
        <f>July!D50-June!D50</f>
        <v>56</v>
      </c>
      <c r="E50" s="11">
        <f>July!E50-June!E50</f>
        <v>66</v>
      </c>
      <c r="F50" s="10">
        <f t="shared" si="0"/>
        <v>468</v>
      </c>
    </row>
    <row r="51" spans="1:6" x14ac:dyDescent="0.25">
      <c r="A51" s="1" t="s">
        <v>48</v>
      </c>
      <c r="B51" s="11">
        <f>July!B51-June!B51</f>
        <v>73</v>
      </c>
      <c r="C51" s="11">
        <f>July!C51-June!C51</f>
        <v>-17</v>
      </c>
      <c r="D51" s="11">
        <f>July!D51-June!D51</f>
        <v>8</v>
      </c>
      <c r="E51" s="11">
        <f>July!E51-June!E51</f>
        <v>21</v>
      </c>
      <c r="F51" s="10">
        <f t="shared" si="0"/>
        <v>85</v>
      </c>
    </row>
    <row r="52" spans="1:6" x14ac:dyDescent="0.25">
      <c r="A52" s="1" t="s">
        <v>49</v>
      </c>
      <c r="B52" s="11">
        <f>July!B52-June!B52</f>
        <v>1515</v>
      </c>
      <c r="C52" s="11">
        <f>July!C52-June!C52</f>
        <v>5795</v>
      </c>
      <c r="D52" s="11">
        <f>July!D52-June!D52</f>
        <v>254</v>
      </c>
      <c r="E52" s="11">
        <f>July!E52-June!E52</f>
        <v>1044</v>
      </c>
      <c r="F52" s="10">
        <f t="shared" si="0"/>
        <v>8608</v>
      </c>
    </row>
    <row r="53" spans="1:6" x14ac:dyDescent="0.25">
      <c r="A53" s="1" t="s">
        <v>50</v>
      </c>
      <c r="B53" s="11">
        <f>July!B53-June!B53</f>
        <v>492</v>
      </c>
      <c r="C53" s="11">
        <f>July!C53-June!C53</f>
        <v>1541</v>
      </c>
      <c r="D53" s="11">
        <f>July!D53-June!D53</f>
        <v>39</v>
      </c>
      <c r="E53" s="11">
        <f>July!E53-June!E53</f>
        <v>486</v>
      </c>
      <c r="F53" s="10">
        <f t="shared" si="0"/>
        <v>2558</v>
      </c>
    </row>
    <row r="54" spans="1:6" x14ac:dyDescent="0.25">
      <c r="A54" s="1" t="s">
        <v>51</v>
      </c>
      <c r="B54" s="11">
        <f>July!B54-June!B54</f>
        <v>1450</v>
      </c>
      <c r="C54" s="11">
        <f>July!C54-June!C54</f>
        <v>3538</v>
      </c>
      <c r="D54" s="11">
        <f>July!D54-June!D54</f>
        <v>357</v>
      </c>
      <c r="E54" s="11">
        <f>July!E54-June!E54</f>
        <v>11</v>
      </c>
      <c r="F54" s="10">
        <f t="shared" si="0"/>
        <v>5356</v>
      </c>
    </row>
    <row r="55" spans="1:6" x14ac:dyDescent="0.25">
      <c r="A55" s="1" t="s">
        <v>52</v>
      </c>
      <c r="B55" s="11">
        <f>July!B55-June!B55</f>
        <v>1318</v>
      </c>
      <c r="C55" s="11">
        <f>July!C55-June!C55</f>
        <v>1172</v>
      </c>
      <c r="D55" s="11">
        <f>July!D55-June!D55</f>
        <v>181</v>
      </c>
      <c r="E55" s="11">
        <f>July!E55-June!E55</f>
        <v>-145</v>
      </c>
      <c r="F55" s="10">
        <f t="shared" si="0"/>
        <v>2526</v>
      </c>
    </row>
    <row r="56" spans="1:6" x14ac:dyDescent="0.25">
      <c r="A56" s="1" t="s">
        <v>53</v>
      </c>
      <c r="B56" s="11">
        <f>July!B56-June!B56</f>
        <v>1542</v>
      </c>
      <c r="C56" s="11">
        <f>July!C56-June!C56</f>
        <v>2881</v>
      </c>
      <c r="D56" s="11">
        <f>July!D56-June!D56</f>
        <v>166</v>
      </c>
      <c r="E56" s="11">
        <f>July!E56-June!E56</f>
        <v>-529</v>
      </c>
      <c r="F56" s="10">
        <f t="shared" si="0"/>
        <v>4060</v>
      </c>
    </row>
    <row r="57" spans="1:6" x14ac:dyDescent="0.25">
      <c r="A57" s="1" t="s">
        <v>54</v>
      </c>
      <c r="B57" s="11">
        <f>July!B57-June!B57</f>
        <v>1497</v>
      </c>
      <c r="C57" s="11">
        <f>July!C57-June!C57</f>
        <v>1008</v>
      </c>
      <c r="D57" s="11">
        <f>July!D57-June!D57</f>
        <v>110</v>
      </c>
      <c r="E57" s="11">
        <f>July!E57-June!E57</f>
        <v>471</v>
      </c>
      <c r="F57" s="10">
        <f t="shared" si="0"/>
        <v>3086</v>
      </c>
    </row>
    <row r="58" spans="1:6" x14ac:dyDescent="0.25">
      <c r="A58" s="1" t="s">
        <v>55</v>
      </c>
      <c r="B58" s="11">
        <f>July!B58-June!B58</f>
        <v>177</v>
      </c>
      <c r="C58" s="11">
        <f>July!C58-June!C58</f>
        <v>-119</v>
      </c>
      <c r="D58" s="11">
        <f>July!D58-June!D58</f>
        <v>3</v>
      </c>
      <c r="E58" s="11">
        <f>July!E58-June!E58</f>
        <v>-41</v>
      </c>
      <c r="F58" s="10">
        <f t="shared" si="0"/>
        <v>20</v>
      </c>
    </row>
    <row r="59" spans="1:6" x14ac:dyDescent="0.25">
      <c r="A59" s="1" t="s">
        <v>56</v>
      </c>
      <c r="B59" s="11">
        <f>July!B59-June!B59</f>
        <v>462</v>
      </c>
      <c r="C59" s="11">
        <f>July!C59-June!C59</f>
        <v>144</v>
      </c>
      <c r="D59" s="11">
        <f>July!D59-June!D59</f>
        <v>74</v>
      </c>
      <c r="E59" s="11">
        <f>July!E59-June!E59</f>
        <v>125</v>
      </c>
      <c r="F59" s="10">
        <f t="shared" si="0"/>
        <v>805</v>
      </c>
    </row>
    <row r="60" spans="1:6" x14ac:dyDescent="0.25">
      <c r="A60" s="1" t="s">
        <v>57</v>
      </c>
      <c r="B60" s="11">
        <f>July!B60-June!B60</f>
        <v>674</v>
      </c>
      <c r="C60" s="11">
        <f>July!C60-June!C60</f>
        <v>1197</v>
      </c>
      <c r="D60" s="11">
        <f>July!D60-June!D60</f>
        <v>82</v>
      </c>
      <c r="E60" s="11">
        <f>July!E60-June!E60</f>
        <v>-332</v>
      </c>
      <c r="F60" s="10">
        <f t="shared" si="0"/>
        <v>1621</v>
      </c>
    </row>
    <row r="61" spans="1:6" x14ac:dyDescent="0.25">
      <c r="A61" s="1" t="s">
        <v>58</v>
      </c>
      <c r="B61" s="11">
        <f>July!B61-June!B61</f>
        <v>631</v>
      </c>
      <c r="C61" s="11">
        <f>July!C61-June!C61</f>
        <v>2036</v>
      </c>
      <c r="D61" s="11">
        <f>July!D61-June!D61</f>
        <v>144</v>
      </c>
      <c r="E61" s="11">
        <f>July!E61-June!E61</f>
        <v>368</v>
      </c>
      <c r="F61" s="10">
        <f t="shared" si="0"/>
        <v>3179</v>
      </c>
    </row>
    <row r="62" spans="1:6" x14ac:dyDescent="0.25">
      <c r="A62" s="1" t="s">
        <v>59</v>
      </c>
      <c r="B62" s="11">
        <f>July!B62-June!B62</f>
        <v>786</v>
      </c>
      <c r="C62" s="11">
        <f>July!C62-June!C62</f>
        <v>871</v>
      </c>
      <c r="D62" s="11">
        <f>July!D62-June!D62</f>
        <v>75</v>
      </c>
      <c r="E62" s="11">
        <f>July!E62-June!E62</f>
        <v>-192</v>
      </c>
      <c r="F62" s="10">
        <f t="shared" si="0"/>
        <v>1540</v>
      </c>
    </row>
    <row r="63" spans="1:6" x14ac:dyDescent="0.25">
      <c r="A63" s="1" t="s">
        <v>60</v>
      </c>
      <c r="B63" s="11">
        <f>July!B63-June!B63</f>
        <v>507</v>
      </c>
      <c r="C63" s="11">
        <f>July!C63-June!C63</f>
        <v>640</v>
      </c>
      <c r="D63" s="11">
        <f>July!D63-June!D63</f>
        <v>63</v>
      </c>
      <c r="E63" s="11">
        <f>July!E63-June!E63</f>
        <v>-109</v>
      </c>
      <c r="F63" s="10">
        <f t="shared" si="0"/>
        <v>1101</v>
      </c>
    </row>
    <row r="64" spans="1:6" x14ac:dyDescent="0.25">
      <c r="A64" s="1" t="s">
        <v>61</v>
      </c>
      <c r="B64" s="11">
        <f>July!B64-June!B64</f>
        <v>395</v>
      </c>
      <c r="C64" s="11">
        <f>July!C64-June!C64</f>
        <v>258</v>
      </c>
      <c r="D64" s="11">
        <f>July!D64-June!D64</f>
        <v>8</v>
      </c>
      <c r="E64" s="11">
        <f>July!E64-June!E64</f>
        <v>-110</v>
      </c>
      <c r="F64" s="10">
        <f t="shared" si="0"/>
        <v>551</v>
      </c>
    </row>
    <row r="65" spans="1:6" x14ac:dyDescent="0.25">
      <c r="A65" s="1" t="s">
        <v>62</v>
      </c>
      <c r="B65" s="11">
        <f>July!B65-June!B65</f>
        <v>122</v>
      </c>
      <c r="C65" s="11">
        <f>July!C65-June!C65</f>
        <v>-78</v>
      </c>
      <c r="D65" s="11">
        <f>July!D65-June!D65</f>
        <v>9</v>
      </c>
      <c r="E65" s="11">
        <f>July!E65-June!E65</f>
        <v>6</v>
      </c>
      <c r="F65" s="10">
        <f t="shared" si="0"/>
        <v>59</v>
      </c>
    </row>
    <row r="66" spans="1:6" x14ac:dyDescent="0.25">
      <c r="A66" s="1" t="s">
        <v>63</v>
      </c>
      <c r="B66" s="11">
        <f>July!B66-June!B66</f>
        <v>59</v>
      </c>
      <c r="C66" s="11">
        <f>July!C66-June!C66</f>
        <v>-1</v>
      </c>
      <c r="D66" s="11">
        <f>July!D66-June!D66</f>
        <v>3</v>
      </c>
      <c r="E66" s="11">
        <f>July!E66-June!E66</f>
        <v>11</v>
      </c>
      <c r="F66" s="10">
        <f t="shared" si="0"/>
        <v>72</v>
      </c>
    </row>
    <row r="67" spans="1:6" x14ac:dyDescent="0.25">
      <c r="A67" s="1" t="s">
        <v>64</v>
      </c>
      <c r="B67" s="11">
        <f>July!B67-June!B67</f>
        <v>60</v>
      </c>
      <c r="C67" s="11">
        <f>July!C67-June!C67</f>
        <v>16</v>
      </c>
      <c r="D67" s="11">
        <f>July!D67-June!D67</f>
        <v>5</v>
      </c>
      <c r="E67" s="11">
        <f>July!E67-June!E67</f>
        <v>-13</v>
      </c>
      <c r="F67" s="10">
        <f t="shared" si="0"/>
        <v>68</v>
      </c>
    </row>
    <row r="68" spans="1:6" x14ac:dyDescent="0.25">
      <c r="A68" s="1" t="s">
        <v>65</v>
      </c>
      <c r="B68" s="11">
        <f>July!B68-June!B68</f>
        <v>1053</v>
      </c>
      <c r="C68" s="11">
        <f>July!C68-June!C68</f>
        <v>1187</v>
      </c>
      <c r="D68" s="11">
        <f>July!D68-June!D68</f>
        <v>109</v>
      </c>
      <c r="E68" s="11">
        <f>July!E68-June!E68</f>
        <v>269</v>
      </c>
      <c r="F68" s="10">
        <f t="shared" si="0"/>
        <v>2618</v>
      </c>
    </row>
    <row r="69" spans="1:6" x14ac:dyDescent="0.25">
      <c r="A69" s="1" t="s">
        <v>66</v>
      </c>
      <c r="B69" s="11">
        <f>July!B69-June!B69</f>
        <v>153</v>
      </c>
      <c r="C69" s="11">
        <f>July!C69-June!C69</f>
        <v>-10</v>
      </c>
      <c r="D69" s="11">
        <f>July!D69-June!D69</f>
        <v>2</v>
      </c>
      <c r="E69" s="11">
        <f>July!E69-June!E69</f>
        <v>3</v>
      </c>
      <c r="F69" s="10">
        <f t="shared" si="0"/>
        <v>148</v>
      </c>
    </row>
    <row r="70" spans="1:6" x14ac:dyDescent="0.25">
      <c r="A70" s="1" t="s">
        <v>67</v>
      </c>
      <c r="B70" s="11">
        <f>July!B70-June!B70</f>
        <v>506</v>
      </c>
      <c r="C70" s="11">
        <f>July!C70-June!C70</f>
        <v>-63</v>
      </c>
      <c r="D70" s="11">
        <f>July!D70-June!D70</f>
        <v>2</v>
      </c>
      <c r="E70" s="11">
        <f>July!E70-June!E70</f>
        <v>-94</v>
      </c>
      <c r="F70" s="10">
        <f t="shared" ref="F70:F71" si="1">SUM(B70:E70)</f>
        <v>351</v>
      </c>
    </row>
    <row r="71" spans="1:6" ht="15.75" thickBot="1" x14ac:dyDescent="0.3">
      <c r="A71" s="1" t="s">
        <v>68</v>
      </c>
      <c r="B71" s="11">
        <f>July!B71-June!B71</f>
        <v>50</v>
      </c>
      <c r="C71" s="11">
        <f>July!C71-June!C71</f>
        <v>-23</v>
      </c>
      <c r="D71" s="11">
        <f>July!D71-June!D71</f>
        <v>7</v>
      </c>
      <c r="E71" s="11">
        <f>July!E71-June!E71</f>
        <v>14</v>
      </c>
      <c r="F71" s="10">
        <f t="shared" si="1"/>
        <v>48</v>
      </c>
    </row>
    <row r="72" spans="1:6" ht="16.5" thickTop="1" thickBot="1" x14ac:dyDescent="0.3">
      <c r="A72" s="3" t="s">
        <v>1</v>
      </c>
      <c r="B72" s="8">
        <f>SUM(B5:B71)</f>
        <v>31840</v>
      </c>
      <c r="C72" s="8">
        <f>SUM(C5:C71)</f>
        <v>47520</v>
      </c>
      <c r="D72" s="8">
        <f>SUM(D5:D71)</f>
        <v>4002</v>
      </c>
      <c r="E72" s="8">
        <f>SUM(E5:E71)</f>
        <v>5227</v>
      </c>
      <c r="F72" s="8">
        <f>SUM(F5:F71)</f>
        <v>88589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opLeftCell="A2" workbookViewId="0">
      <selection activeCell="B5" sqref="B5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x14ac:dyDescent="0.3">
      <c r="A1" s="14" t="s">
        <v>93</v>
      </c>
      <c r="B1" s="15"/>
      <c r="C1" s="15"/>
      <c r="D1" s="15"/>
      <c r="E1" s="15"/>
      <c r="F1" s="16"/>
    </row>
    <row r="2" spans="1:6" x14ac:dyDescent="0.25">
      <c r="A2" s="17" t="s">
        <v>116</v>
      </c>
      <c r="B2" s="18"/>
      <c r="C2" s="18"/>
      <c r="D2" s="18"/>
      <c r="E2" s="18"/>
      <c r="F2" s="19"/>
    </row>
    <row r="3" spans="1:6" x14ac:dyDescent="0.25">
      <c r="A3" s="20" t="s">
        <v>73</v>
      </c>
      <c r="B3" s="21"/>
      <c r="C3" s="21"/>
      <c r="D3" s="21"/>
      <c r="E3" s="21"/>
      <c r="F3" s="22"/>
    </row>
    <row r="4" spans="1:6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11">
        <f>August!B5-July!B5</f>
        <v>210</v>
      </c>
      <c r="C5" s="11">
        <f>August!C5-July!C5</f>
        <v>856</v>
      </c>
      <c r="D5" s="11">
        <f>August!D5-July!D5</f>
        <v>47</v>
      </c>
      <c r="E5" s="11">
        <f>August!E5-July!E5</f>
        <v>268</v>
      </c>
      <c r="F5" s="10">
        <f>SUM(B5:E5)</f>
        <v>1381</v>
      </c>
    </row>
    <row r="6" spans="1:6" x14ac:dyDescent="0.25">
      <c r="A6" s="1" t="s">
        <v>3</v>
      </c>
      <c r="B6" s="11">
        <f>August!B6-July!B6</f>
        <v>124</v>
      </c>
      <c r="C6" s="11">
        <f>August!C6-July!C6</f>
        <v>-37</v>
      </c>
      <c r="D6" s="11">
        <f>August!D6-July!D6</f>
        <v>1</v>
      </c>
      <c r="E6" s="11">
        <f>August!E6-July!E6</f>
        <v>3</v>
      </c>
      <c r="F6" s="10">
        <f t="shared" ref="F6:F69" si="0">SUM(B6:E6)</f>
        <v>91</v>
      </c>
    </row>
    <row r="7" spans="1:6" x14ac:dyDescent="0.25">
      <c r="A7" s="1" t="s">
        <v>4</v>
      </c>
      <c r="B7" s="11">
        <f>August!B7-July!B7</f>
        <v>399</v>
      </c>
      <c r="C7" s="11">
        <f>August!C7-July!C7</f>
        <v>66</v>
      </c>
      <c r="D7" s="11">
        <f>August!D7-July!D7</f>
        <v>37</v>
      </c>
      <c r="E7" s="11">
        <f>August!E7-July!E7</f>
        <v>21</v>
      </c>
      <c r="F7" s="10">
        <f t="shared" si="0"/>
        <v>523</v>
      </c>
    </row>
    <row r="8" spans="1:6" x14ac:dyDescent="0.25">
      <c r="A8" s="1" t="s">
        <v>5</v>
      </c>
      <c r="B8" s="11">
        <f>August!B8-July!B8</f>
        <v>83</v>
      </c>
      <c r="C8" s="11">
        <f>August!C8-July!C8</f>
        <v>-52</v>
      </c>
      <c r="D8" s="11">
        <f>August!D8-July!D8</f>
        <v>4</v>
      </c>
      <c r="E8" s="11">
        <f>August!E8-July!E8</f>
        <v>-20</v>
      </c>
      <c r="F8" s="10">
        <f t="shared" si="0"/>
        <v>15</v>
      </c>
    </row>
    <row r="9" spans="1:6" x14ac:dyDescent="0.25">
      <c r="A9" s="1" t="s">
        <v>6</v>
      </c>
      <c r="B9" s="11">
        <f>August!B9-July!B9</f>
        <v>1238</v>
      </c>
      <c r="C9" s="11">
        <f>August!C9-July!C9</f>
        <v>803</v>
      </c>
      <c r="D9" s="11">
        <f>August!D9-July!D9</f>
        <v>243</v>
      </c>
      <c r="E9" s="11">
        <f>August!E9-July!E9</f>
        <v>-28</v>
      </c>
      <c r="F9" s="10">
        <f t="shared" si="0"/>
        <v>2256</v>
      </c>
    </row>
    <row r="10" spans="1:6" x14ac:dyDescent="0.25">
      <c r="A10" s="1" t="s">
        <v>7</v>
      </c>
      <c r="B10" s="11">
        <f>August!B10-July!B10</f>
        <v>955</v>
      </c>
      <c r="C10" s="11">
        <f>August!C10-July!C10</f>
        <v>4100</v>
      </c>
      <c r="D10" s="11">
        <f>August!D10-July!D10</f>
        <v>422</v>
      </c>
      <c r="E10" s="11">
        <f>August!E10-July!E10</f>
        <v>-108</v>
      </c>
      <c r="F10" s="10">
        <f t="shared" si="0"/>
        <v>5369</v>
      </c>
    </row>
    <row r="11" spans="1:6" x14ac:dyDescent="0.25">
      <c r="A11" s="1" t="s">
        <v>8</v>
      </c>
      <c r="B11" s="11">
        <f>August!B11-July!B11</f>
        <v>70</v>
      </c>
      <c r="C11" s="11">
        <f>August!C11-July!C11</f>
        <v>-51</v>
      </c>
      <c r="D11" s="11">
        <f>August!D11-July!D11</f>
        <v>0</v>
      </c>
      <c r="E11" s="11">
        <f>August!E11-July!E11</f>
        <v>-4</v>
      </c>
      <c r="F11" s="10">
        <f t="shared" si="0"/>
        <v>15</v>
      </c>
    </row>
    <row r="12" spans="1:6" x14ac:dyDescent="0.25">
      <c r="A12" s="1" t="s">
        <v>9</v>
      </c>
      <c r="B12" s="11">
        <f>August!B12-July!B12</f>
        <v>432</v>
      </c>
      <c r="C12" s="11">
        <f>August!C12-July!C12</f>
        <v>66</v>
      </c>
      <c r="D12" s="11">
        <f>August!D12-July!D12</f>
        <v>54</v>
      </c>
      <c r="E12" s="11">
        <f>August!E12-July!E12</f>
        <v>-147</v>
      </c>
      <c r="F12" s="10">
        <f t="shared" si="0"/>
        <v>405</v>
      </c>
    </row>
    <row r="13" spans="1:6" x14ac:dyDescent="0.25">
      <c r="A13" s="1" t="s">
        <v>10</v>
      </c>
      <c r="B13" s="11">
        <f>August!B13-July!B13</f>
        <v>594</v>
      </c>
      <c r="C13" s="11">
        <f>August!C13-July!C13</f>
        <v>-17</v>
      </c>
      <c r="D13" s="11">
        <f>August!D13-July!D13</f>
        <v>57</v>
      </c>
      <c r="E13" s="11">
        <f>August!E13-July!E13</f>
        <v>-73</v>
      </c>
      <c r="F13" s="10">
        <f t="shared" si="0"/>
        <v>561</v>
      </c>
    </row>
    <row r="14" spans="1:6" x14ac:dyDescent="0.25">
      <c r="A14" s="1" t="s">
        <v>11</v>
      </c>
      <c r="B14" s="11">
        <f>August!B14-July!B14</f>
        <v>374</v>
      </c>
      <c r="C14" s="11">
        <f>August!C14-July!C14</f>
        <v>216</v>
      </c>
      <c r="D14" s="11">
        <f>August!D14-July!D14</f>
        <v>54</v>
      </c>
      <c r="E14" s="11">
        <f>August!E14-July!E14</f>
        <v>-154</v>
      </c>
      <c r="F14" s="10">
        <f t="shared" si="0"/>
        <v>490</v>
      </c>
    </row>
    <row r="15" spans="1:6" x14ac:dyDescent="0.25">
      <c r="A15" s="1" t="s">
        <v>12</v>
      </c>
      <c r="B15" s="11">
        <f>August!B15-July!B15</f>
        <v>723</v>
      </c>
      <c r="C15" s="11">
        <f>August!C15-July!C15</f>
        <v>497</v>
      </c>
      <c r="D15" s="11">
        <f>August!D15-July!D15</f>
        <v>90</v>
      </c>
      <c r="E15" s="11">
        <f>August!E15-July!E15</f>
        <v>146</v>
      </c>
      <c r="F15" s="10">
        <f t="shared" si="0"/>
        <v>1456</v>
      </c>
    </row>
    <row r="16" spans="1:6" x14ac:dyDescent="0.25">
      <c r="A16" s="1" t="s">
        <v>13</v>
      </c>
      <c r="B16" s="11">
        <f>August!B16-July!B16</f>
        <v>275</v>
      </c>
      <c r="C16" s="11">
        <f>August!C16-July!C16</f>
        <v>-21</v>
      </c>
      <c r="D16" s="11">
        <f>August!D16-July!D16</f>
        <v>5</v>
      </c>
      <c r="E16" s="11">
        <f>August!E16-July!E16</f>
        <v>-55</v>
      </c>
      <c r="F16" s="10">
        <f t="shared" si="0"/>
        <v>204</v>
      </c>
    </row>
    <row r="17" spans="1:6" x14ac:dyDescent="0.25">
      <c r="A17" s="1" t="s">
        <v>14</v>
      </c>
      <c r="B17" s="11">
        <f>August!B17-July!B17</f>
        <v>43</v>
      </c>
      <c r="C17" s="11">
        <f>August!C17-July!C17</f>
        <v>-56</v>
      </c>
      <c r="D17" s="11">
        <f>August!D17-July!D17</f>
        <v>5</v>
      </c>
      <c r="E17" s="11">
        <f>August!E17-July!E17</f>
        <v>9</v>
      </c>
      <c r="F17" s="10">
        <f t="shared" si="0"/>
        <v>1</v>
      </c>
    </row>
    <row r="18" spans="1:6" x14ac:dyDescent="0.25">
      <c r="A18" s="1" t="s">
        <v>15</v>
      </c>
      <c r="B18" s="11">
        <f>August!B18-July!B18</f>
        <v>41</v>
      </c>
      <c r="C18" s="11">
        <f>August!C18-July!C18</f>
        <v>-25</v>
      </c>
      <c r="D18" s="11">
        <f>August!D18-July!D18</f>
        <v>2</v>
      </c>
      <c r="E18" s="11">
        <f>August!E18-July!E18</f>
        <v>1</v>
      </c>
      <c r="F18" s="10">
        <f t="shared" si="0"/>
        <v>19</v>
      </c>
    </row>
    <row r="19" spans="1:6" x14ac:dyDescent="0.25">
      <c r="A19" s="1" t="s">
        <v>16</v>
      </c>
      <c r="B19" s="11">
        <f>August!B19-July!B19</f>
        <v>1183</v>
      </c>
      <c r="C19" s="11">
        <f>August!C19-July!C19</f>
        <v>2501</v>
      </c>
      <c r="D19" s="11">
        <f>August!D19-July!D19</f>
        <v>220</v>
      </c>
      <c r="E19" s="11">
        <f>August!E19-July!E19</f>
        <v>607</v>
      </c>
      <c r="F19" s="10">
        <f t="shared" si="0"/>
        <v>4511</v>
      </c>
    </row>
    <row r="20" spans="1:6" x14ac:dyDescent="0.25">
      <c r="A20" s="1" t="s">
        <v>17</v>
      </c>
      <c r="B20" s="11">
        <f>August!B20-July!B20</f>
        <v>807</v>
      </c>
      <c r="C20" s="11">
        <f>August!C20-July!C20</f>
        <v>439</v>
      </c>
      <c r="D20" s="11">
        <f>August!D20-July!D20</f>
        <v>96</v>
      </c>
      <c r="E20" s="11">
        <f>August!E20-July!E20</f>
        <v>24</v>
      </c>
      <c r="F20" s="10">
        <f t="shared" si="0"/>
        <v>1366</v>
      </c>
    </row>
    <row r="21" spans="1:6" x14ac:dyDescent="0.25">
      <c r="A21" s="1" t="s">
        <v>18</v>
      </c>
      <c r="B21" s="11">
        <f>August!B21-July!B21</f>
        <v>299</v>
      </c>
      <c r="C21" s="11">
        <f>August!C21-July!C21</f>
        <v>131</v>
      </c>
      <c r="D21" s="11">
        <f>August!D21-July!D21</f>
        <v>23</v>
      </c>
      <c r="E21" s="11">
        <f>August!E21-July!E21</f>
        <v>-89</v>
      </c>
      <c r="F21" s="10">
        <f t="shared" si="0"/>
        <v>364</v>
      </c>
    </row>
    <row r="22" spans="1:6" x14ac:dyDescent="0.25">
      <c r="A22" s="1" t="s">
        <v>19</v>
      </c>
      <c r="B22" s="11">
        <f>August!B22-July!B22</f>
        <v>78</v>
      </c>
      <c r="C22" s="11">
        <f>August!C22-July!C22</f>
        <v>-4</v>
      </c>
      <c r="D22" s="11">
        <f>August!D22-July!D22</f>
        <v>4</v>
      </c>
      <c r="E22" s="11">
        <f>August!E22-July!E22</f>
        <v>-2</v>
      </c>
      <c r="F22" s="10">
        <f t="shared" si="0"/>
        <v>76</v>
      </c>
    </row>
    <row r="23" spans="1:6" x14ac:dyDescent="0.25">
      <c r="A23" s="1" t="s">
        <v>20</v>
      </c>
      <c r="B23" s="11">
        <f>August!B23-July!B23</f>
        <v>35</v>
      </c>
      <c r="C23" s="11">
        <f>August!C23-July!C23</f>
        <v>41</v>
      </c>
      <c r="D23" s="11">
        <f>August!D23-July!D23</f>
        <v>6</v>
      </c>
      <c r="E23" s="11">
        <f>August!E23-July!E23</f>
        <v>-25</v>
      </c>
      <c r="F23" s="10">
        <f t="shared" si="0"/>
        <v>57</v>
      </c>
    </row>
    <row r="24" spans="1:6" x14ac:dyDescent="0.25">
      <c r="A24" s="1" t="s">
        <v>21</v>
      </c>
      <c r="B24" s="11">
        <f>August!B24-July!B24</f>
        <v>72</v>
      </c>
      <c r="C24" s="11">
        <f>August!C24-July!C24</f>
        <v>-21</v>
      </c>
      <c r="D24" s="11">
        <f>August!D24-July!D24</f>
        <v>7</v>
      </c>
      <c r="E24" s="11">
        <f>August!E24-July!E24</f>
        <v>6</v>
      </c>
      <c r="F24" s="10">
        <f t="shared" si="0"/>
        <v>64</v>
      </c>
    </row>
    <row r="25" spans="1:6" x14ac:dyDescent="0.25">
      <c r="A25" s="1" t="s">
        <v>22</v>
      </c>
      <c r="B25" s="11">
        <f>August!B25-July!B25</f>
        <v>35</v>
      </c>
      <c r="C25" s="11">
        <f>August!C25-July!C25</f>
        <v>-27</v>
      </c>
      <c r="D25" s="11">
        <f>August!D25-July!D25</f>
        <v>1</v>
      </c>
      <c r="E25" s="11">
        <f>August!E25-July!E25</f>
        <v>-13</v>
      </c>
      <c r="F25" s="10">
        <f t="shared" si="0"/>
        <v>-4</v>
      </c>
    </row>
    <row r="26" spans="1:6" x14ac:dyDescent="0.25">
      <c r="A26" s="1" t="s">
        <v>23</v>
      </c>
      <c r="B26" s="11">
        <f>August!B26-July!B26</f>
        <v>75</v>
      </c>
      <c r="C26" s="11">
        <f>August!C26-July!C26</f>
        <v>-34</v>
      </c>
      <c r="D26" s="11">
        <f>August!D26-July!D26</f>
        <v>11</v>
      </c>
      <c r="E26" s="11">
        <f>August!E26-July!E26</f>
        <v>-3</v>
      </c>
      <c r="F26" s="10">
        <f t="shared" si="0"/>
        <v>49</v>
      </c>
    </row>
    <row r="27" spans="1:6" x14ac:dyDescent="0.25">
      <c r="A27" s="1" t="s">
        <v>24</v>
      </c>
      <c r="B27" s="11">
        <f>August!B27-July!B27</f>
        <v>53</v>
      </c>
      <c r="C27" s="11">
        <f>August!C27-July!C27</f>
        <v>-35</v>
      </c>
      <c r="D27" s="11">
        <f>August!D27-July!D27</f>
        <v>8</v>
      </c>
      <c r="E27" s="11">
        <f>August!E27-July!E27</f>
        <v>2</v>
      </c>
      <c r="F27" s="10">
        <f t="shared" si="0"/>
        <v>28</v>
      </c>
    </row>
    <row r="28" spans="1:6" x14ac:dyDescent="0.25">
      <c r="A28" s="1" t="s">
        <v>25</v>
      </c>
      <c r="B28" s="11">
        <f>August!B28-July!B28</f>
        <v>55</v>
      </c>
      <c r="C28" s="11">
        <f>August!C28-July!C28</f>
        <v>-32</v>
      </c>
      <c r="D28" s="11">
        <f>August!D28-July!D28</f>
        <v>-1</v>
      </c>
      <c r="E28" s="11">
        <f>August!E28-July!E28</f>
        <v>-3</v>
      </c>
      <c r="F28" s="10">
        <f t="shared" si="0"/>
        <v>19</v>
      </c>
    </row>
    <row r="29" spans="1:6" x14ac:dyDescent="0.25">
      <c r="A29" s="1" t="s">
        <v>26</v>
      </c>
      <c r="B29" s="11">
        <f>August!B29-July!B29</f>
        <v>76</v>
      </c>
      <c r="C29" s="11">
        <f>August!C29-July!C29</f>
        <v>-12</v>
      </c>
      <c r="D29" s="11">
        <f>August!D29-July!D29</f>
        <v>8</v>
      </c>
      <c r="E29" s="11">
        <f>August!E29-July!E29</f>
        <v>-8</v>
      </c>
      <c r="F29" s="10">
        <f t="shared" si="0"/>
        <v>64</v>
      </c>
    </row>
    <row r="30" spans="1:6" x14ac:dyDescent="0.25">
      <c r="A30" s="1" t="s">
        <v>27</v>
      </c>
      <c r="B30" s="11">
        <f>August!B30-July!B30</f>
        <v>486</v>
      </c>
      <c r="C30" s="11">
        <f>August!C30-July!C30</f>
        <v>72</v>
      </c>
      <c r="D30" s="11">
        <f>August!D30-July!D30</f>
        <v>40</v>
      </c>
      <c r="E30" s="11">
        <f>August!E30-July!E30</f>
        <v>-81</v>
      </c>
      <c r="F30" s="10">
        <f t="shared" si="0"/>
        <v>517</v>
      </c>
    </row>
    <row r="31" spans="1:6" x14ac:dyDescent="0.25">
      <c r="A31" s="1" t="s">
        <v>28</v>
      </c>
      <c r="B31" s="11">
        <f>August!B31-July!B31</f>
        <v>171</v>
      </c>
      <c r="C31" s="11">
        <f>August!C31-July!C31</f>
        <v>47</v>
      </c>
      <c r="D31" s="11">
        <f>August!D31-July!D31</f>
        <v>22</v>
      </c>
      <c r="E31" s="11">
        <f>August!E31-July!E31</f>
        <v>-16</v>
      </c>
      <c r="F31" s="10">
        <f t="shared" si="0"/>
        <v>224</v>
      </c>
    </row>
    <row r="32" spans="1:6" x14ac:dyDescent="0.25">
      <c r="A32" s="1" t="s">
        <v>29</v>
      </c>
      <c r="B32" s="11">
        <f>August!B32-July!B32</f>
        <v>2157</v>
      </c>
      <c r="C32" s="11">
        <f>August!C32-July!C32</f>
        <v>3265</v>
      </c>
      <c r="D32" s="11">
        <f>August!D32-July!D32</f>
        <v>362</v>
      </c>
      <c r="E32" s="11">
        <f>August!E32-July!E32</f>
        <v>613</v>
      </c>
      <c r="F32" s="10">
        <f t="shared" si="0"/>
        <v>6397</v>
      </c>
    </row>
    <row r="33" spans="1:6" x14ac:dyDescent="0.25">
      <c r="A33" s="1" t="s">
        <v>30</v>
      </c>
      <c r="B33" s="11">
        <f>August!B33-July!B33</f>
        <v>60</v>
      </c>
      <c r="C33" s="11">
        <f>August!C33-July!C33</f>
        <v>-48</v>
      </c>
      <c r="D33" s="11">
        <f>August!D33-July!D33</f>
        <v>2</v>
      </c>
      <c r="E33" s="11">
        <f>August!E33-July!E33</f>
        <v>8</v>
      </c>
      <c r="F33" s="10">
        <f t="shared" si="0"/>
        <v>22</v>
      </c>
    </row>
    <row r="34" spans="1:6" x14ac:dyDescent="0.25">
      <c r="A34" s="1" t="s">
        <v>31</v>
      </c>
      <c r="B34" s="11">
        <f>August!B34-July!B34</f>
        <v>437</v>
      </c>
      <c r="C34" s="11">
        <f>August!C34-July!C34</f>
        <v>215</v>
      </c>
      <c r="D34" s="11">
        <f>August!D34-July!D34</f>
        <v>41</v>
      </c>
      <c r="E34" s="11">
        <f>August!E34-July!E34</f>
        <v>-111</v>
      </c>
      <c r="F34" s="10">
        <f t="shared" si="0"/>
        <v>582</v>
      </c>
    </row>
    <row r="35" spans="1:6" x14ac:dyDescent="0.25">
      <c r="A35" s="1" t="s">
        <v>32</v>
      </c>
      <c r="B35" s="11">
        <f>August!B35-July!B35</f>
        <v>154</v>
      </c>
      <c r="C35" s="11">
        <f>August!C35-July!C35</f>
        <v>-31</v>
      </c>
      <c r="D35" s="11">
        <f>August!D35-July!D35</f>
        <v>-1</v>
      </c>
      <c r="E35" s="11">
        <f>August!E35-July!E35</f>
        <v>-1</v>
      </c>
      <c r="F35" s="10">
        <f t="shared" si="0"/>
        <v>121</v>
      </c>
    </row>
    <row r="36" spans="1:6" x14ac:dyDescent="0.25">
      <c r="A36" s="1" t="s">
        <v>33</v>
      </c>
      <c r="B36" s="11">
        <f>August!B36-July!B36</f>
        <v>41</v>
      </c>
      <c r="C36" s="11">
        <f>August!C36-July!C36</f>
        <v>-8</v>
      </c>
      <c r="D36" s="11">
        <f>August!D36-July!D36</f>
        <v>1</v>
      </c>
      <c r="E36" s="11">
        <f>August!E36-July!E36</f>
        <v>-14</v>
      </c>
      <c r="F36" s="10">
        <f t="shared" si="0"/>
        <v>20</v>
      </c>
    </row>
    <row r="37" spans="1:6" x14ac:dyDescent="0.25">
      <c r="A37" s="1" t="s">
        <v>34</v>
      </c>
      <c r="B37" s="11">
        <f>August!B37-July!B37</f>
        <v>102</v>
      </c>
      <c r="C37" s="11">
        <f>August!C37-July!C37</f>
        <v>-82</v>
      </c>
      <c r="D37" s="11">
        <f>August!D37-July!D37</f>
        <v>-1</v>
      </c>
      <c r="E37" s="11">
        <f>August!E37-July!E37</f>
        <v>-5</v>
      </c>
      <c r="F37" s="10">
        <f t="shared" si="0"/>
        <v>14</v>
      </c>
    </row>
    <row r="38" spans="1:6" x14ac:dyDescent="0.25">
      <c r="A38" s="1" t="s">
        <v>35</v>
      </c>
      <c r="B38" s="11">
        <f>August!B38-July!B38</f>
        <v>679</v>
      </c>
      <c r="C38" s="11">
        <f>August!C38-July!C38</f>
        <v>408</v>
      </c>
      <c r="D38" s="11">
        <f>August!D38-July!D38</f>
        <v>53</v>
      </c>
      <c r="E38" s="11">
        <f>August!E38-July!E38</f>
        <v>51</v>
      </c>
      <c r="F38" s="10">
        <f t="shared" si="0"/>
        <v>1191</v>
      </c>
    </row>
    <row r="39" spans="1:6" x14ac:dyDescent="0.25">
      <c r="A39" s="1" t="s">
        <v>36</v>
      </c>
      <c r="B39" s="11">
        <f>August!B39-July!B39</f>
        <v>1411</v>
      </c>
      <c r="C39" s="11">
        <f>August!C39-July!C39</f>
        <v>952</v>
      </c>
      <c r="D39" s="11">
        <f>August!D39-July!D39</f>
        <v>159</v>
      </c>
      <c r="E39" s="11">
        <f>August!E39-July!E39</f>
        <v>335</v>
      </c>
      <c r="F39" s="10">
        <f t="shared" si="0"/>
        <v>2857</v>
      </c>
    </row>
    <row r="40" spans="1:6" x14ac:dyDescent="0.25">
      <c r="A40" s="1" t="s">
        <v>37</v>
      </c>
      <c r="B40" s="11">
        <f>August!B40-July!B40</f>
        <v>360</v>
      </c>
      <c r="C40" s="11">
        <f>August!C40-July!C40</f>
        <v>1410</v>
      </c>
      <c r="D40" s="11">
        <f>August!D40-July!D40</f>
        <v>111</v>
      </c>
      <c r="E40" s="11">
        <f>August!E40-July!E40</f>
        <v>547</v>
      </c>
      <c r="F40" s="10">
        <f t="shared" si="0"/>
        <v>2428</v>
      </c>
    </row>
    <row r="41" spans="1:6" x14ac:dyDescent="0.25">
      <c r="A41" s="1" t="s">
        <v>38</v>
      </c>
      <c r="B41" s="11">
        <f>August!B41-July!B41</f>
        <v>98</v>
      </c>
      <c r="C41" s="11">
        <f>August!C41-July!C41</f>
        <v>-3</v>
      </c>
      <c r="D41" s="11">
        <f>August!D41-July!D41</f>
        <v>5</v>
      </c>
      <c r="E41" s="11">
        <f>August!E41-July!E41</f>
        <v>-1</v>
      </c>
      <c r="F41" s="10">
        <f t="shared" si="0"/>
        <v>99</v>
      </c>
    </row>
    <row r="42" spans="1:6" x14ac:dyDescent="0.25">
      <c r="A42" s="1" t="s">
        <v>39</v>
      </c>
      <c r="B42" s="11">
        <f>August!B42-July!B42</f>
        <v>27</v>
      </c>
      <c r="C42" s="11">
        <f>August!C42-July!C42</f>
        <v>-15</v>
      </c>
      <c r="D42" s="11">
        <f>August!D42-July!D42</f>
        <v>1</v>
      </c>
      <c r="E42" s="11">
        <f>August!E42-July!E42</f>
        <v>1</v>
      </c>
      <c r="F42" s="10">
        <f t="shared" si="0"/>
        <v>14</v>
      </c>
    </row>
    <row r="43" spans="1:6" x14ac:dyDescent="0.25">
      <c r="A43" s="1" t="s">
        <v>40</v>
      </c>
      <c r="B43" s="11">
        <f>August!B43-July!B43</f>
        <v>45</v>
      </c>
      <c r="C43" s="11">
        <f>August!C43-July!C43</f>
        <v>-19</v>
      </c>
      <c r="D43" s="11">
        <f>August!D43-July!D43</f>
        <v>2</v>
      </c>
      <c r="E43" s="11">
        <f>August!E43-July!E43</f>
        <v>-12</v>
      </c>
      <c r="F43" s="10">
        <f t="shared" si="0"/>
        <v>16</v>
      </c>
    </row>
    <row r="44" spans="1:6" x14ac:dyDescent="0.25">
      <c r="A44" s="1" t="s">
        <v>41</v>
      </c>
      <c r="B44" s="11">
        <f>August!B44-July!B44</f>
        <v>787</v>
      </c>
      <c r="C44" s="11">
        <f>August!C44-July!C44</f>
        <v>515</v>
      </c>
      <c r="D44" s="11">
        <f>August!D44-July!D44</f>
        <v>86</v>
      </c>
      <c r="E44" s="11">
        <f>August!E44-July!E44</f>
        <v>-6</v>
      </c>
      <c r="F44" s="10">
        <f t="shared" si="0"/>
        <v>1382</v>
      </c>
    </row>
    <row r="45" spans="1:6" x14ac:dyDescent="0.25">
      <c r="A45" s="1" t="s">
        <v>42</v>
      </c>
      <c r="B45" s="11">
        <f>August!B45-July!B45</f>
        <v>922</v>
      </c>
      <c r="C45" s="11">
        <f>August!C45-July!C45</f>
        <v>244</v>
      </c>
      <c r="D45" s="11">
        <f>August!D45-July!D45</f>
        <v>61</v>
      </c>
      <c r="E45" s="11">
        <f>August!E45-July!E45</f>
        <v>73</v>
      </c>
      <c r="F45" s="10">
        <f t="shared" si="0"/>
        <v>1300</v>
      </c>
    </row>
    <row r="46" spans="1:6" x14ac:dyDescent="0.25">
      <c r="A46" s="1" t="s">
        <v>43</v>
      </c>
      <c r="B46" s="11">
        <f>August!B46-July!B46</f>
        <v>135</v>
      </c>
      <c r="C46" s="11">
        <f>August!C46-July!C46</f>
        <v>18</v>
      </c>
      <c r="D46" s="11">
        <f>August!D46-July!D46</f>
        <v>57</v>
      </c>
      <c r="E46" s="11">
        <f>August!E46-July!E46</f>
        <v>-161</v>
      </c>
      <c r="F46" s="10">
        <f t="shared" si="0"/>
        <v>49</v>
      </c>
    </row>
    <row r="47" spans="1:6" x14ac:dyDescent="0.25">
      <c r="A47" s="1" t="s">
        <v>44</v>
      </c>
      <c r="B47" s="11">
        <f>August!B47-July!B47</f>
        <v>1969</v>
      </c>
      <c r="C47" s="11">
        <f>August!C47-July!C47</f>
        <v>3642</v>
      </c>
      <c r="D47" s="11">
        <f>August!D47-July!D47</f>
        <v>532</v>
      </c>
      <c r="E47" s="11">
        <f>August!E47-July!E47</f>
        <v>949</v>
      </c>
      <c r="F47" s="10">
        <f t="shared" si="0"/>
        <v>7092</v>
      </c>
    </row>
    <row r="48" spans="1:6" x14ac:dyDescent="0.25">
      <c r="A48" s="1" t="s">
        <v>45</v>
      </c>
      <c r="B48" s="11">
        <f>August!B48-July!B48</f>
        <v>172</v>
      </c>
      <c r="C48" s="11">
        <f>August!C48-July!C48</f>
        <v>241</v>
      </c>
      <c r="D48" s="11">
        <f>August!D48-July!D48</f>
        <v>28</v>
      </c>
      <c r="E48" s="11">
        <f>August!E48-July!E48</f>
        <v>-76</v>
      </c>
      <c r="F48" s="10">
        <f t="shared" si="0"/>
        <v>365</v>
      </c>
    </row>
    <row r="49" spans="1:6" x14ac:dyDescent="0.25">
      <c r="A49" s="1" t="s">
        <v>46</v>
      </c>
      <c r="B49" s="11">
        <f>August!B49-July!B49</f>
        <v>276</v>
      </c>
      <c r="C49" s="11">
        <f>August!C49-July!C49</f>
        <v>41</v>
      </c>
      <c r="D49" s="11">
        <f>August!D49-July!D49</f>
        <v>27</v>
      </c>
      <c r="E49" s="11">
        <f>August!E49-July!E49</f>
        <v>32</v>
      </c>
      <c r="F49" s="10">
        <f t="shared" si="0"/>
        <v>376</v>
      </c>
    </row>
    <row r="50" spans="1:6" x14ac:dyDescent="0.25">
      <c r="A50" s="1" t="s">
        <v>47</v>
      </c>
      <c r="B50" s="11">
        <f>August!B50-July!B50</f>
        <v>692</v>
      </c>
      <c r="C50" s="11">
        <f>August!C50-July!C50</f>
        <v>215</v>
      </c>
      <c r="D50" s="11">
        <f>August!D50-July!D50</f>
        <v>67</v>
      </c>
      <c r="E50" s="11">
        <f>August!E50-July!E50</f>
        <v>-71</v>
      </c>
      <c r="F50" s="10">
        <f t="shared" si="0"/>
        <v>903</v>
      </c>
    </row>
    <row r="51" spans="1:6" x14ac:dyDescent="0.25">
      <c r="A51" s="1" t="s">
        <v>48</v>
      </c>
      <c r="B51" s="11">
        <f>August!B51-July!B51</f>
        <v>83</v>
      </c>
      <c r="C51" s="11">
        <f>August!C51-July!C51</f>
        <v>-33</v>
      </c>
      <c r="D51" s="11">
        <f>August!D51-July!D51</f>
        <v>4</v>
      </c>
      <c r="E51" s="11">
        <f>August!E51-July!E51</f>
        <v>11</v>
      </c>
      <c r="F51" s="10">
        <f t="shared" si="0"/>
        <v>65</v>
      </c>
    </row>
    <row r="52" spans="1:6" x14ac:dyDescent="0.25">
      <c r="A52" s="1" t="s">
        <v>49</v>
      </c>
      <c r="B52" s="11">
        <f>August!B52-July!B52</f>
        <v>1316</v>
      </c>
      <c r="C52" s="11">
        <f>August!C52-July!C52</f>
        <v>4248</v>
      </c>
      <c r="D52" s="11">
        <f>August!D52-July!D52</f>
        <v>234</v>
      </c>
      <c r="E52" s="11">
        <f>August!E52-July!E52</f>
        <v>2481</v>
      </c>
      <c r="F52" s="10">
        <f t="shared" si="0"/>
        <v>8279</v>
      </c>
    </row>
    <row r="53" spans="1:6" x14ac:dyDescent="0.25">
      <c r="A53" s="1" t="s">
        <v>50</v>
      </c>
      <c r="B53" s="11">
        <f>August!B53-July!B53</f>
        <v>441</v>
      </c>
      <c r="C53" s="11">
        <f>August!C53-July!C53</f>
        <v>1218</v>
      </c>
      <c r="D53" s="11">
        <f>August!D53-July!D53</f>
        <v>62</v>
      </c>
      <c r="E53" s="11">
        <f>August!E53-July!E53</f>
        <v>515</v>
      </c>
      <c r="F53" s="10">
        <f t="shared" si="0"/>
        <v>2236</v>
      </c>
    </row>
    <row r="54" spans="1:6" x14ac:dyDescent="0.25">
      <c r="A54" s="1" t="s">
        <v>51</v>
      </c>
      <c r="B54" s="11">
        <f>August!B54-July!B54</f>
        <v>1650</v>
      </c>
      <c r="C54" s="11">
        <f>August!C54-July!C54</f>
        <v>2600</v>
      </c>
      <c r="D54" s="11">
        <f>August!D54-July!D54</f>
        <v>482</v>
      </c>
      <c r="E54" s="11">
        <f>August!E54-July!E54</f>
        <v>-570</v>
      </c>
      <c r="F54" s="10">
        <f t="shared" si="0"/>
        <v>4162</v>
      </c>
    </row>
    <row r="55" spans="1:6" x14ac:dyDescent="0.25">
      <c r="A55" s="1" t="s">
        <v>52</v>
      </c>
      <c r="B55" s="11">
        <f>August!B55-July!B55</f>
        <v>1066</v>
      </c>
      <c r="C55" s="11">
        <f>August!C55-July!C55</f>
        <v>486</v>
      </c>
      <c r="D55" s="11">
        <f>August!D55-July!D55</f>
        <v>164</v>
      </c>
      <c r="E55" s="11">
        <f>August!E55-July!E55</f>
        <v>53</v>
      </c>
      <c r="F55" s="10">
        <f t="shared" si="0"/>
        <v>1769</v>
      </c>
    </row>
    <row r="56" spans="1:6" x14ac:dyDescent="0.25">
      <c r="A56" s="1" t="s">
        <v>53</v>
      </c>
      <c r="B56" s="11">
        <f>August!B56-July!B56</f>
        <v>1180</v>
      </c>
      <c r="C56" s="11">
        <f>August!C56-July!C56</f>
        <v>1896</v>
      </c>
      <c r="D56" s="11">
        <f>August!D56-July!D56</f>
        <v>245</v>
      </c>
      <c r="E56" s="11">
        <f>August!E56-July!E56</f>
        <v>197</v>
      </c>
      <c r="F56" s="10">
        <f t="shared" si="0"/>
        <v>3518</v>
      </c>
    </row>
    <row r="57" spans="1:6" x14ac:dyDescent="0.25">
      <c r="A57" s="1" t="s">
        <v>54</v>
      </c>
      <c r="B57" s="11">
        <f>August!B57-July!B57</f>
        <v>1401</v>
      </c>
      <c r="C57" s="11">
        <f>August!C57-July!C57</f>
        <v>719</v>
      </c>
      <c r="D57" s="11">
        <f>August!D57-July!D57</f>
        <v>115</v>
      </c>
      <c r="E57" s="11">
        <f>August!E57-July!E57</f>
        <v>404</v>
      </c>
      <c r="F57" s="10">
        <f t="shared" si="0"/>
        <v>2639</v>
      </c>
    </row>
    <row r="58" spans="1:6" x14ac:dyDescent="0.25">
      <c r="A58" s="1" t="s">
        <v>55</v>
      </c>
      <c r="B58" s="11">
        <f>August!B58-July!B58</f>
        <v>181</v>
      </c>
      <c r="C58" s="11">
        <f>August!C58-July!C58</f>
        <v>-92</v>
      </c>
      <c r="D58" s="11">
        <f>August!D58-July!D58</f>
        <v>14</v>
      </c>
      <c r="E58" s="11">
        <f>August!E58-July!E58</f>
        <v>-17</v>
      </c>
      <c r="F58" s="10">
        <f t="shared" si="0"/>
        <v>86</v>
      </c>
    </row>
    <row r="59" spans="1:6" x14ac:dyDescent="0.25">
      <c r="A59" s="1" t="s">
        <v>56</v>
      </c>
      <c r="B59" s="11">
        <f>August!B59-July!B59</f>
        <v>628</v>
      </c>
      <c r="C59" s="11">
        <f>August!C59-July!C59</f>
        <v>58</v>
      </c>
      <c r="D59" s="11">
        <f>August!D59-July!D59</f>
        <v>47</v>
      </c>
      <c r="E59" s="11">
        <f>August!E59-July!E59</f>
        <v>-22</v>
      </c>
      <c r="F59" s="10">
        <f t="shared" si="0"/>
        <v>711</v>
      </c>
    </row>
    <row r="60" spans="1:6" x14ac:dyDescent="0.25">
      <c r="A60" s="1" t="s">
        <v>57</v>
      </c>
      <c r="B60" s="11">
        <f>August!B60-July!B60</f>
        <v>706</v>
      </c>
      <c r="C60" s="11">
        <f>August!C60-July!C60</f>
        <v>865</v>
      </c>
      <c r="D60" s="11">
        <f>August!D60-July!D60</f>
        <v>69</v>
      </c>
      <c r="E60" s="11">
        <f>August!E60-July!E60</f>
        <v>-212</v>
      </c>
      <c r="F60" s="10">
        <f t="shared" si="0"/>
        <v>1428</v>
      </c>
    </row>
    <row r="61" spans="1:6" x14ac:dyDescent="0.25">
      <c r="A61" s="1" t="s">
        <v>58</v>
      </c>
      <c r="B61" s="11">
        <f>August!B61-July!B61</f>
        <v>559</v>
      </c>
      <c r="C61" s="11">
        <f>August!C61-July!C61</f>
        <v>1117</v>
      </c>
      <c r="D61" s="11">
        <f>August!D61-July!D61</f>
        <v>158</v>
      </c>
      <c r="E61" s="11">
        <f>August!E61-July!E61</f>
        <v>487</v>
      </c>
      <c r="F61" s="10">
        <f t="shared" si="0"/>
        <v>2321</v>
      </c>
    </row>
    <row r="62" spans="1:6" x14ac:dyDescent="0.25">
      <c r="A62" s="1" t="s">
        <v>59</v>
      </c>
      <c r="B62" s="11">
        <f>August!B62-July!B62</f>
        <v>639</v>
      </c>
      <c r="C62" s="11">
        <f>August!C62-July!C62</f>
        <v>476</v>
      </c>
      <c r="D62" s="11">
        <f>August!D62-July!D62</f>
        <v>69</v>
      </c>
      <c r="E62" s="11">
        <f>August!E62-July!E62</f>
        <v>-94</v>
      </c>
      <c r="F62" s="10">
        <f t="shared" si="0"/>
        <v>1090</v>
      </c>
    </row>
    <row r="63" spans="1:6" x14ac:dyDescent="0.25">
      <c r="A63" s="1" t="s">
        <v>60</v>
      </c>
      <c r="B63" s="11">
        <f>August!B63-July!B63</f>
        <v>465</v>
      </c>
      <c r="C63" s="11">
        <f>August!C63-July!C63</f>
        <v>411</v>
      </c>
      <c r="D63" s="11">
        <f>August!D63-July!D63</f>
        <v>69</v>
      </c>
      <c r="E63" s="11">
        <f>August!E63-July!E63</f>
        <v>-213</v>
      </c>
      <c r="F63" s="10">
        <f t="shared" si="0"/>
        <v>732</v>
      </c>
    </row>
    <row r="64" spans="1:6" x14ac:dyDescent="0.25">
      <c r="A64" s="1" t="s">
        <v>61</v>
      </c>
      <c r="B64" s="11">
        <f>August!B64-July!B64</f>
        <v>470</v>
      </c>
      <c r="C64" s="11">
        <f>August!C64-July!C64</f>
        <v>122</v>
      </c>
      <c r="D64" s="11">
        <f>August!D64-July!D64</f>
        <v>20</v>
      </c>
      <c r="E64" s="11">
        <f>August!E64-July!E64</f>
        <v>8</v>
      </c>
      <c r="F64" s="10">
        <f t="shared" si="0"/>
        <v>620</v>
      </c>
    </row>
    <row r="65" spans="1:6" x14ac:dyDescent="0.25">
      <c r="A65" s="1" t="s">
        <v>62</v>
      </c>
      <c r="B65" s="11">
        <f>August!B65-July!B65</f>
        <v>144</v>
      </c>
      <c r="C65" s="11">
        <f>August!C65-July!C65</f>
        <v>-89</v>
      </c>
      <c r="D65" s="11">
        <f>August!D65-July!D65</f>
        <v>6</v>
      </c>
      <c r="E65" s="11">
        <f>August!E65-July!E65</f>
        <v>2</v>
      </c>
      <c r="F65" s="10">
        <f t="shared" si="0"/>
        <v>63</v>
      </c>
    </row>
    <row r="66" spans="1:6" x14ac:dyDescent="0.25">
      <c r="A66" s="1" t="s">
        <v>63</v>
      </c>
      <c r="B66" s="11">
        <f>August!B66-July!B66</f>
        <v>68</v>
      </c>
      <c r="C66" s="11">
        <f>August!C66-July!C66</f>
        <v>-47</v>
      </c>
      <c r="D66" s="11">
        <f>August!D66-July!D66</f>
        <v>1</v>
      </c>
      <c r="E66" s="11">
        <f>August!E66-July!E66</f>
        <v>14</v>
      </c>
      <c r="F66" s="10">
        <f t="shared" si="0"/>
        <v>36</v>
      </c>
    </row>
    <row r="67" spans="1:6" x14ac:dyDescent="0.25">
      <c r="A67" s="1" t="s">
        <v>64</v>
      </c>
      <c r="B67" s="11">
        <f>August!B67-July!B67</f>
        <v>155</v>
      </c>
      <c r="C67" s="11">
        <f>August!C67-July!C67</f>
        <v>-125</v>
      </c>
      <c r="D67" s="11">
        <f>August!D67-July!D67</f>
        <v>3</v>
      </c>
      <c r="E67" s="11">
        <f>August!E67-July!E67</f>
        <v>-3</v>
      </c>
      <c r="F67" s="10">
        <f t="shared" si="0"/>
        <v>30</v>
      </c>
    </row>
    <row r="68" spans="1:6" x14ac:dyDescent="0.25">
      <c r="A68" s="1" t="s">
        <v>65</v>
      </c>
      <c r="B68" s="11">
        <f>August!B68-July!B68</f>
        <v>1304</v>
      </c>
      <c r="C68" s="11">
        <f>August!C68-July!C68</f>
        <v>980</v>
      </c>
      <c r="D68" s="11">
        <f>August!D68-July!D68</f>
        <v>158</v>
      </c>
      <c r="E68" s="11">
        <f>August!E68-July!E68</f>
        <v>-56</v>
      </c>
      <c r="F68" s="10">
        <f t="shared" si="0"/>
        <v>2386</v>
      </c>
    </row>
    <row r="69" spans="1:6" x14ac:dyDescent="0.25">
      <c r="A69" s="1" t="s">
        <v>66</v>
      </c>
      <c r="B69" s="11">
        <f>August!B69-July!B69</f>
        <v>133</v>
      </c>
      <c r="C69" s="11">
        <f>August!C69-July!C69</f>
        <v>-49</v>
      </c>
      <c r="D69" s="11">
        <f>August!D69-July!D69</f>
        <v>8</v>
      </c>
      <c r="E69" s="11">
        <f>August!E69-July!E69</f>
        <v>19</v>
      </c>
      <c r="F69" s="10">
        <f t="shared" si="0"/>
        <v>111</v>
      </c>
    </row>
    <row r="70" spans="1:6" x14ac:dyDescent="0.25">
      <c r="A70" s="1" t="s">
        <v>67</v>
      </c>
      <c r="B70" s="11">
        <f>August!B70-July!B70</f>
        <v>287</v>
      </c>
      <c r="C70" s="11">
        <f>August!C70-July!C70</f>
        <v>67</v>
      </c>
      <c r="D70" s="11">
        <f>August!D70-July!D70</f>
        <v>14</v>
      </c>
      <c r="E70" s="11">
        <f>August!E70-July!E70</f>
        <v>-43</v>
      </c>
      <c r="F70" s="10">
        <f t="shared" ref="F70:F71" si="1">SUM(B70:E70)</f>
        <v>325</v>
      </c>
    </row>
    <row r="71" spans="1:6" ht="15.75" thickBot="1" x14ac:dyDescent="0.3">
      <c r="A71" s="1" t="s">
        <v>68</v>
      </c>
      <c r="B71" s="11">
        <f>August!B71-July!B71</f>
        <v>56</v>
      </c>
      <c r="C71" s="11">
        <f>August!C71-July!C71</f>
        <v>-36</v>
      </c>
      <c r="D71" s="11">
        <f>August!D71-July!D71</f>
        <v>2</v>
      </c>
      <c r="E71" s="11">
        <f>August!E71-July!E71</f>
        <v>-4</v>
      </c>
      <c r="F71" s="10">
        <f t="shared" si="1"/>
        <v>18</v>
      </c>
    </row>
    <row r="72" spans="1:6" ht="16.5" thickTop="1" thickBot="1" x14ac:dyDescent="0.3">
      <c r="A72" s="3" t="s">
        <v>1</v>
      </c>
      <c r="B72" s="8">
        <f>SUM(B5:B71)</f>
        <v>32442</v>
      </c>
      <c r="C72" s="8">
        <f>SUM(C5:C71)</f>
        <v>35163</v>
      </c>
      <c r="D72" s="8">
        <f>SUM(D5:D71)</f>
        <v>5003</v>
      </c>
      <c r="E72" s="8">
        <f>SUM(E5:E71)</f>
        <v>5366</v>
      </c>
      <c r="F72" s="8">
        <f>SUM(F5:F71)</f>
        <v>77974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>
      <selection activeCell="J28" sqref="J28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x14ac:dyDescent="0.3">
      <c r="A1" s="14" t="s">
        <v>94</v>
      </c>
      <c r="B1" s="15"/>
      <c r="C1" s="15"/>
      <c r="D1" s="15"/>
      <c r="E1" s="15"/>
      <c r="F1" s="16"/>
    </row>
    <row r="2" spans="1:6" x14ac:dyDescent="0.25">
      <c r="A2" s="17" t="s">
        <v>117</v>
      </c>
      <c r="B2" s="18"/>
      <c r="C2" s="18"/>
      <c r="D2" s="18"/>
      <c r="E2" s="18"/>
      <c r="F2" s="19"/>
    </row>
    <row r="3" spans="1:6" x14ac:dyDescent="0.25">
      <c r="A3" s="20" t="s">
        <v>73</v>
      </c>
      <c r="B3" s="21"/>
      <c r="C3" s="21"/>
      <c r="D3" s="21"/>
      <c r="E3" s="21"/>
      <c r="F3" s="22"/>
    </row>
    <row r="4" spans="1:6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11">
        <f>September!B5-August!B5</f>
        <v>473</v>
      </c>
      <c r="C5" s="11">
        <f>September!C5-August!C5</f>
        <v>1672</v>
      </c>
      <c r="D5" s="11">
        <f>September!D5-August!D5</f>
        <v>110</v>
      </c>
      <c r="E5" s="11">
        <f>September!E5-August!E5</f>
        <v>789</v>
      </c>
      <c r="F5" s="10">
        <f>SUM(B5:E5)</f>
        <v>3044</v>
      </c>
    </row>
    <row r="6" spans="1:6" x14ac:dyDescent="0.25">
      <c r="A6" s="1" t="s">
        <v>3</v>
      </c>
      <c r="B6" s="11">
        <f>September!B6-August!B6</f>
        <v>145</v>
      </c>
      <c r="C6" s="11">
        <f>September!C6-August!C6</f>
        <v>-50</v>
      </c>
      <c r="D6" s="11">
        <f>September!D6-August!D6</f>
        <v>2</v>
      </c>
      <c r="E6" s="11">
        <f>September!E6-August!E6</f>
        <v>9</v>
      </c>
      <c r="F6" s="10">
        <f t="shared" ref="F6:F69" si="0">SUM(B6:E6)</f>
        <v>106</v>
      </c>
    </row>
    <row r="7" spans="1:6" x14ac:dyDescent="0.25">
      <c r="A7" s="1" t="s">
        <v>4</v>
      </c>
      <c r="B7" s="11">
        <f>September!B7-August!B7</f>
        <v>389</v>
      </c>
      <c r="C7" s="11">
        <f>September!C7-August!C7</f>
        <v>43</v>
      </c>
      <c r="D7" s="11">
        <f>September!D7-August!D7</f>
        <v>43</v>
      </c>
      <c r="E7" s="11">
        <f>September!E7-August!E7</f>
        <v>101</v>
      </c>
      <c r="F7" s="10">
        <f t="shared" si="0"/>
        <v>576</v>
      </c>
    </row>
    <row r="8" spans="1:6" x14ac:dyDescent="0.25">
      <c r="A8" s="1" t="s">
        <v>5</v>
      </c>
      <c r="B8" s="11">
        <f>September!B8-August!B8</f>
        <v>83</v>
      </c>
      <c r="C8" s="11">
        <f>September!C8-August!C8</f>
        <v>-40</v>
      </c>
      <c r="D8" s="11">
        <f>September!D8-August!D8</f>
        <v>6</v>
      </c>
      <c r="E8" s="11">
        <f>September!E8-August!E8</f>
        <v>3</v>
      </c>
      <c r="F8" s="10">
        <f t="shared" si="0"/>
        <v>52</v>
      </c>
    </row>
    <row r="9" spans="1:6" x14ac:dyDescent="0.25">
      <c r="A9" s="1" t="s">
        <v>6</v>
      </c>
      <c r="B9" s="11">
        <f>September!B9-August!B9</f>
        <v>1275</v>
      </c>
      <c r="C9" s="11">
        <f>September!C9-August!C9</f>
        <v>687</v>
      </c>
      <c r="D9" s="11">
        <f>September!D9-August!D9</f>
        <v>271</v>
      </c>
      <c r="E9" s="11">
        <f>September!E9-August!E9</f>
        <v>375</v>
      </c>
      <c r="F9" s="10">
        <f t="shared" si="0"/>
        <v>2608</v>
      </c>
    </row>
    <row r="10" spans="1:6" x14ac:dyDescent="0.25">
      <c r="A10" s="1" t="s">
        <v>7</v>
      </c>
      <c r="B10" s="11">
        <f>September!B10-August!B10</f>
        <v>1738</v>
      </c>
      <c r="C10" s="11">
        <f>September!C10-August!C10</f>
        <v>5338</v>
      </c>
      <c r="D10" s="11">
        <f>September!D10-August!D10</f>
        <v>584</v>
      </c>
      <c r="E10" s="11">
        <f>September!E10-August!E10</f>
        <v>1684</v>
      </c>
      <c r="F10" s="10">
        <f t="shared" si="0"/>
        <v>9344</v>
      </c>
    </row>
    <row r="11" spans="1:6" x14ac:dyDescent="0.25">
      <c r="A11" s="1" t="s">
        <v>8</v>
      </c>
      <c r="B11" s="11">
        <f>September!B11-August!B11</f>
        <v>64</v>
      </c>
      <c r="C11" s="11">
        <f>September!C11-August!C11</f>
        <v>-48</v>
      </c>
      <c r="D11" s="11">
        <f>September!D11-August!D11</f>
        <v>2</v>
      </c>
      <c r="E11" s="11">
        <f>September!E11-August!E11</f>
        <v>8</v>
      </c>
      <c r="F11" s="10">
        <f t="shared" si="0"/>
        <v>26</v>
      </c>
    </row>
    <row r="12" spans="1:6" x14ac:dyDescent="0.25">
      <c r="A12" s="1" t="s">
        <v>9</v>
      </c>
      <c r="B12" s="11">
        <f>September!B12-August!B12</f>
        <v>416</v>
      </c>
      <c r="C12" s="11">
        <f>September!C12-August!C12</f>
        <v>80</v>
      </c>
      <c r="D12" s="11">
        <f>September!D12-August!D12</f>
        <v>89</v>
      </c>
      <c r="E12" s="11">
        <f>September!E12-August!E12</f>
        <v>111</v>
      </c>
      <c r="F12" s="10">
        <f t="shared" si="0"/>
        <v>696</v>
      </c>
    </row>
    <row r="13" spans="1:6" x14ac:dyDescent="0.25">
      <c r="A13" s="1" t="s">
        <v>10</v>
      </c>
      <c r="B13" s="11">
        <f>September!B13-August!B13</f>
        <v>432</v>
      </c>
      <c r="C13" s="11">
        <f>September!C13-August!C13</f>
        <v>24</v>
      </c>
      <c r="D13" s="11">
        <f>September!D13-August!D13</f>
        <v>69</v>
      </c>
      <c r="E13" s="11">
        <f>September!E13-August!E13</f>
        <v>5</v>
      </c>
      <c r="F13" s="10">
        <f t="shared" si="0"/>
        <v>530</v>
      </c>
    </row>
    <row r="14" spans="1:6" x14ac:dyDescent="0.25">
      <c r="A14" s="1" t="s">
        <v>11</v>
      </c>
      <c r="B14" s="11">
        <f>September!B14-August!B14</f>
        <v>328</v>
      </c>
      <c r="C14" s="11">
        <f>September!C14-August!C14</f>
        <v>210</v>
      </c>
      <c r="D14" s="11">
        <f>September!D14-August!D14</f>
        <v>65</v>
      </c>
      <c r="E14" s="11">
        <f>September!E14-August!E14</f>
        <v>16</v>
      </c>
      <c r="F14" s="10">
        <f t="shared" si="0"/>
        <v>619</v>
      </c>
    </row>
    <row r="15" spans="1:6" x14ac:dyDescent="0.25">
      <c r="A15" s="1" t="s">
        <v>12</v>
      </c>
      <c r="B15" s="11">
        <f>September!B15-August!B15</f>
        <v>754</v>
      </c>
      <c r="C15" s="11">
        <f>September!C15-August!C15</f>
        <v>618</v>
      </c>
      <c r="D15" s="11">
        <f>September!D15-August!D15</f>
        <v>134</v>
      </c>
      <c r="E15" s="11">
        <f>September!E15-August!E15</f>
        <v>431</v>
      </c>
      <c r="F15" s="10">
        <f t="shared" si="0"/>
        <v>1937</v>
      </c>
    </row>
    <row r="16" spans="1:6" x14ac:dyDescent="0.25">
      <c r="A16" s="1" t="s">
        <v>13</v>
      </c>
      <c r="B16" s="11">
        <f>September!B16-August!B16</f>
        <v>275</v>
      </c>
      <c r="C16" s="11">
        <f>September!C16-August!C16</f>
        <v>-84</v>
      </c>
      <c r="D16" s="11">
        <f>September!D16-August!D16</f>
        <v>22</v>
      </c>
      <c r="E16" s="11">
        <f>September!E16-August!E16</f>
        <v>15</v>
      </c>
      <c r="F16" s="10">
        <f t="shared" si="0"/>
        <v>228</v>
      </c>
    </row>
    <row r="17" spans="1:6" x14ac:dyDescent="0.25">
      <c r="A17" s="1" t="s">
        <v>14</v>
      </c>
      <c r="B17" s="11">
        <f>September!B17-August!B17</f>
        <v>59</v>
      </c>
      <c r="C17" s="11">
        <f>September!C17-August!C17</f>
        <v>-44</v>
      </c>
      <c r="D17" s="11">
        <f>September!D17-August!D17</f>
        <v>3</v>
      </c>
      <c r="E17" s="11">
        <f>September!E17-August!E17</f>
        <v>27</v>
      </c>
      <c r="F17" s="10">
        <f t="shared" si="0"/>
        <v>45</v>
      </c>
    </row>
    <row r="18" spans="1:6" x14ac:dyDescent="0.25">
      <c r="A18" s="1" t="s">
        <v>15</v>
      </c>
      <c r="B18" s="11">
        <f>September!B18-August!B18</f>
        <v>111</v>
      </c>
      <c r="C18" s="11">
        <f>September!C18-August!C18</f>
        <v>-72</v>
      </c>
      <c r="D18" s="11">
        <f>September!D18-August!D18</f>
        <v>5</v>
      </c>
      <c r="E18" s="11">
        <f>September!E18-August!E18</f>
        <v>-9</v>
      </c>
      <c r="F18" s="10">
        <f t="shared" si="0"/>
        <v>35</v>
      </c>
    </row>
    <row r="19" spans="1:6" x14ac:dyDescent="0.25">
      <c r="A19" s="1" t="s">
        <v>16</v>
      </c>
      <c r="B19" s="11">
        <f>September!B19-August!B19</f>
        <v>1380</v>
      </c>
      <c r="C19" s="11">
        <f>September!C19-August!C19</f>
        <v>3101</v>
      </c>
      <c r="D19" s="11">
        <f>September!D19-August!D19</f>
        <v>399</v>
      </c>
      <c r="E19" s="11">
        <f>September!E19-August!E19</f>
        <v>1595</v>
      </c>
      <c r="F19" s="10">
        <f t="shared" si="0"/>
        <v>6475</v>
      </c>
    </row>
    <row r="20" spans="1:6" x14ac:dyDescent="0.25">
      <c r="A20" s="1" t="s">
        <v>17</v>
      </c>
      <c r="B20" s="11">
        <f>September!B20-August!B20</f>
        <v>583</v>
      </c>
      <c r="C20" s="11">
        <f>September!C20-August!C20</f>
        <v>328</v>
      </c>
      <c r="D20" s="11">
        <f>September!D20-August!D20</f>
        <v>139</v>
      </c>
      <c r="E20" s="11">
        <f>September!E20-August!E20</f>
        <v>335</v>
      </c>
      <c r="F20" s="10">
        <f t="shared" si="0"/>
        <v>1385</v>
      </c>
    </row>
    <row r="21" spans="1:6" x14ac:dyDescent="0.25">
      <c r="A21" s="1" t="s">
        <v>18</v>
      </c>
      <c r="B21" s="11">
        <f>September!B21-August!B21</f>
        <v>201</v>
      </c>
      <c r="C21" s="11">
        <f>September!C21-August!C21</f>
        <v>78</v>
      </c>
      <c r="D21" s="11">
        <f>September!D21-August!D21</f>
        <v>48</v>
      </c>
      <c r="E21" s="11">
        <f>September!E21-August!E21</f>
        <v>41</v>
      </c>
      <c r="F21" s="10">
        <f t="shared" si="0"/>
        <v>368</v>
      </c>
    </row>
    <row r="22" spans="1:6" x14ac:dyDescent="0.25">
      <c r="A22" s="1" t="s">
        <v>19</v>
      </c>
      <c r="B22" s="11">
        <f>September!B22-August!B22</f>
        <v>54</v>
      </c>
      <c r="C22" s="11">
        <f>September!C22-August!C22</f>
        <v>-32</v>
      </c>
      <c r="D22" s="11">
        <f>September!D22-August!D22</f>
        <v>2</v>
      </c>
      <c r="E22" s="11">
        <f>September!E22-August!E22</f>
        <v>5</v>
      </c>
      <c r="F22" s="10">
        <f t="shared" si="0"/>
        <v>29</v>
      </c>
    </row>
    <row r="23" spans="1:6" x14ac:dyDescent="0.25">
      <c r="A23" s="1" t="s">
        <v>20</v>
      </c>
      <c r="B23" s="11">
        <f>September!B23-August!B23</f>
        <v>46</v>
      </c>
      <c r="C23" s="11">
        <f>September!C23-August!C23</f>
        <v>-23</v>
      </c>
      <c r="D23" s="11">
        <f>September!D23-August!D23</f>
        <v>6</v>
      </c>
      <c r="E23" s="11">
        <f>September!E23-August!E23</f>
        <v>4</v>
      </c>
      <c r="F23" s="10">
        <f t="shared" si="0"/>
        <v>33</v>
      </c>
    </row>
    <row r="24" spans="1:6" x14ac:dyDescent="0.25">
      <c r="A24" s="1" t="s">
        <v>21</v>
      </c>
      <c r="B24" s="11">
        <f>September!B24-August!B24</f>
        <v>68</v>
      </c>
      <c r="C24" s="11">
        <f>September!C24-August!C24</f>
        <v>-52</v>
      </c>
      <c r="D24" s="11">
        <f>September!D24-August!D24</f>
        <v>-1</v>
      </c>
      <c r="E24" s="11">
        <f>September!E24-August!E24</f>
        <v>1</v>
      </c>
      <c r="F24" s="10">
        <f t="shared" si="0"/>
        <v>16</v>
      </c>
    </row>
    <row r="25" spans="1:6" x14ac:dyDescent="0.25">
      <c r="A25" s="1" t="s">
        <v>22</v>
      </c>
      <c r="B25" s="11">
        <f>September!B25-August!B25</f>
        <v>39</v>
      </c>
      <c r="C25" s="11">
        <f>September!C25-August!C25</f>
        <v>-26</v>
      </c>
      <c r="D25" s="11">
        <f>September!D25-August!D25</f>
        <v>0</v>
      </c>
      <c r="E25" s="11">
        <f>September!E25-August!E25</f>
        <v>-8</v>
      </c>
      <c r="F25" s="10">
        <f t="shared" si="0"/>
        <v>5</v>
      </c>
    </row>
    <row r="26" spans="1:6" x14ac:dyDescent="0.25">
      <c r="A26" s="1" t="s">
        <v>23</v>
      </c>
      <c r="B26" s="11">
        <f>September!B26-August!B26</f>
        <v>52</v>
      </c>
      <c r="C26" s="11">
        <f>September!C26-August!C26</f>
        <v>-9</v>
      </c>
      <c r="D26" s="11">
        <f>September!D26-August!D26</f>
        <v>10</v>
      </c>
      <c r="E26" s="11">
        <f>September!E26-August!E26</f>
        <v>1</v>
      </c>
      <c r="F26" s="10">
        <f t="shared" si="0"/>
        <v>54</v>
      </c>
    </row>
    <row r="27" spans="1:6" x14ac:dyDescent="0.25">
      <c r="A27" s="1" t="s">
        <v>24</v>
      </c>
      <c r="B27" s="11">
        <f>September!B27-August!B27</f>
        <v>48</v>
      </c>
      <c r="C27" s="11">
        <f>September!C27-August!C27</f>
        <v>-25</v>
      </c>
      <c r="D27" s="11">
        <f>September!D27-August!D27</f>
        <v>3</v>
      </c>
      <c r="E27" s="11">
        <f>September!E27-August!E27</f>
        <v>-3</v>
      </c>
      <c r="F27" s="10">
        <f t="shared" si="0"/>
        <v>23</v>
      </c>
    </row>
    <row r="28" spans="1:6" x14ac:dyDescent="0.25">
      <c r="A28" s="1" t="s">
        <v>25</v>
      </c>
      <c r="B28" s="11">
        <f>September!B28-August!B28</f>
        <v>71</v>
      </c>
      <c r="C28" s="11">
        <f>September!C28-August!C28</f>
        <v>-49</v>
      </c>
      <c r="D28" s="11">
        <f>September!D28-August!D28</f>
        <v>6</v>
      </c>
      <c r="E28" s="11">
        <f>September!E28-August!E28</f>
        <v>-2</v>
      </c>
      <c r="F28" s="10">
        <f t="shared" si="0"/>
        <v>26</v>
      </c>
    </row>
    <row r="29" spans="1:6" x14ac:dyDescent="0.25">
      <c r="A29" s="1" t="s">
        <v>26</v>
      </c>
      <c r="B29" s="11">
        <f>September!B29-August!B29</f>
        <v>75</v>
      </c>
      <c r="C29" s="11">
        <f>September!C29-August!C29</f>
        <v>-24</v>
      </c>
      <c r="D29" s="11">
        <f>September!D29-August!D29</f>
        <v>6</v>
      </c>
      <c r="E29" s="11">
        <f>September!E29-August!E29</f>
        <v>-2</v>
      </c>
      <c r="F29" s="10">
        <f t="shared" si="0"/>
        <v>55</v>
      </c>
    </row>
    <row r="30" spans="1:6" x14ac:dyDescent="0.25">
      <c r="A30" s="1" t="s">
        <v>27</v>
      </c>
      <c r="B30" s="11">
        <f>September!B30-August!B30</f>
        <v>447</v>
      </c>
      <c r="C30" s="11">
        <f>September!C30-August!C30</f>
        <v>74</v>
      </c>
      <c r="D30" s="11">
        <f>September!D30-August!D30</f>
        <v>74</v>
      </c>
      <c r="E30" s="11">
        <f>September!E30-August!E30</f>
        <v>48</v>
      </c>
      <c r="F30" s="10">
        <f t="shared" si="0"/>
        <v>643</v>
      </c>
    </row>
    <row r="31" spans="1:6" x14ac:dyDescent="0.25">
      <c r="A31" s="1" t="s">
        <v>28</v>
      </c>
      <c r="B31" s="11">
        <f>September!B31-August!B31</f>
        <v>252</v>
      </c>
      <c r="C31" s="11">
        <f>September!C31-August!C31</f>
        <v>85</v>
      </c>
      <c r="D31" s="11">
        <f>September!D31-August!D31</f>
        <v>32</v>
      </c>
      <c r="E31" s="11">
        <f>September!E31-August!E31</f>
        <v>40</v>
      </c>
      <c r="F31" s="10">
        <f t="shared" si="0"/>
        <v>409</v>
      </c>
    </row>
    <row r="32" spans="1:6" x14ac:dyDescent="0.25">
      <c r="A32" s="1" t="s">
        <v>29</v>
      </c>
      <c r="B32" s="11">
        <f>September!B32-August!B32</f>
        <v>1962</v>
      </c>
      <c r="C32" s="11">
        <f>September!C32-August!C32</f>
        <v>3654</v>
      </c>
      <c r="D32" s="11">
        <f>September!D32-August!D32</f>
        <v>534</v>
      </c>
      <c r="E32" s="11">
        <f>September!E32-August!E32</f>
        <v>2358</v>
      </c>
      <c r="F32" s="10">
        <f t="shared" si="0"/>
        <v>8508</v>
      </c>
    </row>
    <row r="33" spans="1:6" x14ac:dyDescent="0.25">
      <c r="A33" s="1" t="s">
        <v>30</v>
      </c>
      <c r="B33" s="11">
        <f>September!B33-August!B33</f>
        <v>77</v>
      </c>
      <c r="C33" s="11">
        <f>September!C33-August!C33</f>
        <v>-34</v>
      </c>
      <c r="D33" s="11">
        <f>September!D33-August!D33</f>
        <v>3</v>
      </c>
      <c r="E33" s="11">
        <f>September!E33-August!E33</f>
        <v>13</v>
      </c>
      <c r="F33" s="10">
        <f t="shared" si="0"/>
        <v>59</v>
      </c>
    </row>
    <row r="34" spans="1:6" x14ac:dyDescent="0.25">
      <c r="A34" s="1" t="s">
        <v>31</v>
      </c>
      <c r="B34" s="11">
        <f>September!B34-August!B34</f>
        <v>385</v>
      </c>
      <c r="C34" s="11">
        <f>September!C34-August!C34</f>
        <v>187</v>
      </c>
      <c r="D34" s="11">
        <f>September!D34-August!D34</f>
        <v>59</v>
      </c>
      <c r="E34" s="11">
        <f>September!E34-August!E34</f>
        <v>40</v>
      </c>
      <c r="F34" s="10">
        <f t="shared" si="0"/>
        <v>671</v>
      </c>
    </row>
    <row r="35" spans="1:6" x14ac:dyDescent="0.25">
      <c r="A35" s="1" t="s">
        <v>32</v>
      </c>
      <c r="B35" s="11">
        <f>September!B35-August!B35</f>
        <v>191</v>
      </c>
      <c r="C35" s="11">
        <f>September!C35-August!C35</f>
        <v>-82</v>
      </c>
      <c r="D35" s="11">
        <f>September!D35-August!D35</f>
        <v>4</v>
      </c>
      <c r="E35" s="11">
        <f>September!E35-August!E35</f>
        <v>16</v>
      </c>
      <c r="F35" s="10">
        <f t="shared" si="0"/>
        <v>129</v>
      </c>
    </row>
    <row r="36" spans="1:6" x14ac:dyDescent="0.25">
      <c r="A36" s="1" t="s">
        <v>33</v>
      </c>
      <c r="B36" s="11">
        <f>September!B36-August!B36</f>
        <v>47</v>
      </c>
      <c r="C36" s="11">
        <f>September!C36-August!C36</f>
        <v>-13</v>
      </c>
      <c r="D36" s="11">
        <f>September!D36-August!D36</f>
        <v>1</v>
      </c>
      <c r="E36" s="11">
        <f>September!E36-August!E36</f>
        <v>7</v>
      </c>
      <c r="F36" s="10">
        <f t="shared" si="0"/>
        <v>42</v>
      </c>
    </row>
    <row r="37" spans="1:6" x14ac:dyDescent="0.25">
      <c r="A37" s="1" t="s">
        <v>34</v>
      </c>
      <c r="B37" s="11">
        <f>September!B37-August!B37</f>
        <v>63</v>
      </c>
      <c r="C37" s="11">
        <f>September!C37-August!C37</f>
        <v>-46</v>
      </c>
      <c r="D37" s="11">
        <f>September!D37-August!D37</f>
        <v>1</v>
      </c>
      <c r="E37" s="11">
        <f>September!E37-August!E37</f>
        <v>4</v>
      </c>
      <c r="F37" s="10">
        <f t="shared" si="0"/>
        <v>22</v>
      </c>
    </row>
    <row r="38" spans="1:6" x14ac:dyDescent="0.25">
      <c r="A38" s="1" t="s">
        <v>35</v>
      </c>
      <c r="B38" s="11">
        <f>September!B38-August!B38</f>
        <v>836</v>
      </c>
      <c r="C38" s="11">
        <f>September!C38-August!C38</f>
        <v>490</v>
      </c>
      <c r="D38" s="11">
        <f>September!D38-August!D38</f>
        <v>120</v>
      </c>
      <c r="E38" s="11">
        <f>September!E38-August!E38</f>
        <v>327</v>
      </c>
      <c r="F38" s="10">
        <f t="shared" si="0"/>
        <v>1773</v>
      </c>
    </row>
    <row r="39" spans="1:6" x14ac:dyDescent="0.25">
      <c r="A39" s="1" t="s">
        <v>36</v>
      </c>
      <c r="B39" s="11">
        <f>September!B39-August!B39</f>
        <v>1261</v>
      </c>
      <c r="C39" s="11">
        <f>September!C39-August!C39</f>
        <v>1247</v>
      </c>
      <c r="D39" s="11">
        <f>September!D39-August!D39</f>
        <v>248</v>
      </c>
      <c r="E39" s="11">
        <f>September!E39-August!E39</f>
        <v>980</v>
      </c>
      <c r="F39" s="10">
        <f t="shared" si="0"/>
        <v>3736</v>
      </c>
    </row>
    <row r="40" spans="1:6" x14ac:dyDescent="0.25">
      <c r="A40" s="1" t="s">
        <v>37</v>
      </c>
      <c r="B40" s="11">
        <f>September!B40-August!B40</f>
        <v>457</v>
      </c>
      <c r="C40" s="11">
        <f>September!C40-August!C40</f>
        <v>1463</v>
      </c>
      <c r="D40" s="11">
        <f>September!D40-August!D40</f>
        <v>105</v>
      </c>
      <c r="E40" s="11">
        <f>September!E40-August!E40</f>
        <v>679</v>
      </c>
      <c r="F40" s="10">
        <f t="shared" si="0"/>
        <v>2704</v>
      </c>
    </row>
    <row r="41" spans="1:6" x14ac:dyDescent="0.25">
      <c r="A41" s="1" t="s">
        <v>38</v>
      </c>
      <c r="B41" s="11">
        <f>September!B41-August!B41</f>
        <v>121</v>
      </c>
      <c r="C41" s="11">
        <f>September!C41-August!C41</f>
        <v>-52</v>
      </c>
      <c r="D41" s="11">
        <f>September!D41-August!D41</f>
        <v>-1</v>
      </c>
      <c r="E41" s="11">
        <f>September!E41-August!E41</f>
        <v>23</v>
      </c>
      <c r="F41" s="10">
        <f t="shared" si="0"/>
        <v>91</v>
      </c>
    </row>
    <row r="42" spans="1:6" x14ac:dyDescent="0.25">
      <c r="A42" s="1" t="s">
        <v>39</v>
      </c>
      <c r="B42" s="11">
        <f>September!B42-August!B42</f>
        <v>63</v>
      </c>
      <c r="C42" s="11">
        <f>September!C42-August!C42</f>
        <v>-66</v>
      </c>
      <c r="D42" s="11">
        <f>September!D42-August!D42</f>
        <v>0</v>
      </c>
      <c r="E42" s="11">
        <f>September!E42-August!E42</f>
        <v>2</v>
      </c>
      <c r="F42" s="10">
        <f t="shared" si="0"/>
        <v>-1</v>
      </c>
    </row>
    <row r="43" spans="1:6" x14ac:dyDescent="0.25">
      <c r="A43" s="1" t="s">
        <v>40</v>
      </c>
      <c r="B43" s="11">
        <f>September!B43-August!B43</f>
        <v>60</v>
      </c>
      <c r="C43" s="11">
        <f>September!C43-August!C43</f>
        <v>-44</v>
      </c>
      <c r="D43" s="11">
        <f>September!D43-August!D43</f>
        <v>2</v>
      </c>
      <c r="E43" s="11">
        <f>September!E43-August!E43</f>
        <v>-8</v>
      </c>
      <c r="F43" s="10">
        <f t="shared" si="0"/>
        <v>10</v>
      </c>
    </row>
    <row r="44" spans="1:6" x14ac:dyDescent="0.25">
      <c r="A44" s="1" t="s">
        <v>41</v>
      </c>
      <c r="B44" s="11">
        <f>September!B44-August!B44</f>
        <v>678</v>
      </c>
      <c r="C44" s="11">
        <f>September!C44-August!C44</f>
        <v>481</v>
      </c>
      <c r="D44" s="11">
        <f>September!D44-August!D44</f>
        <v>119</v>
      </c>
      <c r="E44" s="11">
        <f>September!E44-August!E44</f>
        <v>481</v>
      </c>
      <c r="F44" s="10">
        <f t="shared" si="0"/>
        <v>1759</v>
      </c>
    </row>
    <row r="45" spans="1:6" x14ac:dyDescent="0.25">
      <c r="A45" s="1" t="s">
        <v>42</v>
      </c>
      <c r="B45" s="11">
        <f>September!B45-August!B45</f>
        <v>859</v>
      </c>
      <c r="C45" s="11">
        <f>September!C45-August!C45</f>
        <v>361</v>
      </c>
      <c r="D45" s="11">
        <f>September!D45-August!D45</f>
        <v>108</v>
      </c>
      <c r="E45" s="11">
        <f>September!E45-August!E45</f>
        <v>319</v>
      </c>
      <c r="F45" s="10">
        <f t="shared" si="0"/>
        <v>1647</v>
      </c>
    </row>
    <row r="46" spans="1:6" x14ac:dyDescent="0.25">
      <c r="A46" s="1" t="s">
        <v>43</v>
      </c>
      <c r="B46" s="11">
        <f>September!B46-August!B46</f>
        <v>251</v>
      </c>
      <c r="C46" s="11">
        <f>September!C46-August!C46</f>
        <v>118</v>
      </c>
      <c r="D46" s="11">
        <f>September!D46-August!D46</f>
        <v>69</v>
      </c>
      <c r="E46" s="11">
        <f>September!E46-August!E46</f>
        <v>-64</v>
      </c>
      <c r="F46" s="10">
        <f t="shared" si="0"/>
        <v>374</v>
      </c>
    </row>
    <row r="47" spans="1:6" x14ac:dyDescent="0.25">
      <c r="A47" s="1" t="s">
        <v>44</v>
      </c>
      <c r="B47" s="11">
        <f>September!B47-August!B47</f>
        <v>2734</v>
      </c>
      <c r="C47" s="11">
        <f>September!C47-August!C47</f>
        <v>5503</v>
      </c>
      <c r="D47" s="11">
        <f>September!D47-August!D47</f>
        <v>898</v>
      </c>
      <c r="E47" s="11">
        <f>September!E47-August!E47</f>
        <v>2521</v>
      </c>
      <c r="F47" s="10">
        <f t="shared" si="0"/>
        <v>11656</v>
      </c>
    </row>
    <row r="48" spans="1:6" x14ac:dyDescent="0.25">
      <c r="A48" s="1" t="s">
        <v>45</v>
      </c>
      <c r="B48" s="11">
        <f>September!B48-August!B48</f>
        <v>161</v>
      </c>
      <c r="C48" s="11">
        <f>September!C48-August!C48</f>
        <v>111</v>
      </c>
      <c r="D48" s="11">
        <f>September!D48-August!D48</f>
        <v>35</v>
      </c>
      <c r="E48" s="11">
        <f>September!E48-August!E48</f>
        <v>15</v>
      </c>
      <c r="F48" s="10">
        <f t="shared" si="0"/>
        <v>322</v>
      </c>
    </row>
    <row r="49" spans="1:6" x14ac:dyDescent="0.25">
      <c r="A49" s="1" t="s">
        <v>46</v>
      </c>
      <c r="B49" s="11">
        <f>September!B49-August!B49</f>
        <v>232</v>
      </c>
      <c r="C49" s="11">
        <f>September!C49-August!C49</f>
        <v>44</v>
      </c>
      <c r="D49" s="11">
        <f>September!D49-August!D49</f>
        <v>25</v>
      </c>
      <c r="E49" s="11">
        <f>September!E49-August!E49</f>
        <v>25</v>
      </c>
      <c r="F49" s="10">
        <f t="shared" si="0"/>
        <v>326</v>
      </c>
    </row>
    <row r="50" spans="1:6" x14ac:dyDescent="0.25">
      <c r="A50" s="1" t="s">
        <v>47</v>
      </c>
      <c r="B50" s="11">
        <f>September!B50-August!B50</f>
        <v>424</v>
      </c>
      <c r="C50" s="11">
        <f>September!C50-August!C50</f>
        <v>258</v>
      </c>
      <c r="D50" s="11">
        <f>September!D50-August!D50</f>
        <v>73</v>
      </c>
      <c r="E50" s="11">
        <f>September!E50-August!E50</f>
        <v>192</v>
      </c>
      <c r="F50" s="10">
        <f t="shared" si="0"/>
        <v>947</v>
      </c>
    </row>
    <row r="51" spans="1:6" x14ac:dyDescent="0.25">
      <c r="A51" s="1" t="s">
        <v>48</v>
      </c>
      <c r="B51" s="11">
        <f>September!B51-August!B51</f>
        <v>101</v>
      </c>
      <c r="C51" s="11">
        <f>September!C51-August!C51</f>
        <v>-7</v>
      </c>
      <c r="D51" s="11">
        <f>September!D51-August!D51</f>
        <v>8</v>
      </c>
      <c r="E51" s="11">
        <f>September!E51-August!E51</f>
        <v>28</v>
      </c>
      <c r="F51" s="10">
        <f t="shared" si="0"/>
        <v>130</v>
      </c>
    </row>
    <row r="52" spans="1:6" x14ac:dyDescent="0.25">
      <c r="A52" s="1" t="s">
        <v>49</v>
      </c>
      <c r="B52" s="11">
        <f>September!B52-August!B52</f>
        <v>1495</v>
      </c>
      <c r="C52" s="11">
        <f>September!C52-August!C52</f>
        <v>6284</v>
      </c>
      <c r="D52" s="11">
        <f>September!D52-August!D52</f>
        <v>609</v>
      </c>
      <c r="E52" s="11">
        <f>September!E52-August!E52</f>
        <v>2232</v>
      </c>
      <c r="F52" s="10">
        <f t="shared" si="0"/>
        <v>10620</v>
      </c>
    </row>
    <row r="53" spans="1:6" x14ac:dyDescent="0.25">
      <c r="A53" s="1" t="s">
        <v>50</v>
      </c>
      <c r="B53" s="11">
        <f>September!B53-August!B53</f>
        <v>492</v>
      </c>
      <c r="C53" s="11">
        <f>September!C53-August!C53</f>
        <v>1090</v>
      </c>
      <c r="D53" s="11">
        <f>September!D53-August!D53</f>
        <v>111</v>
      </c>
      <c r="E53" s="11">
        <f>September!E53-August!E53</f>
        <v>975</v>
      </c>
      <c r="F53" s="10">
        <f t="shared" si="0"/>
        <v>2668</v>
      </c>
    </row>
    <row r="54" spans="1:6" x14ac:dyDescent="0.25">
      <c r="A54" s="1" t="s">
        <v>51</v>
      </c>
      <c r="B54" s="11">
        <f>September!B54-August!B54</f>
        <v>1813</v>
      </c>
      <c r="C54" s="11">
        <f>September!C54-August!C54</f>
        <v>2850</v>
      </c>
      <c r="D54" s="11">
        <f>September!D54-August!D54</f>
        <v>578</v>
      </c>
      <c r="E54" s="11">
        <f>September!E54-August!E54</f>
        <v>362</v>
      </c>
      <c r="F54" s="10">
        <f t="shared" si="0"/>
        <v>5603</v>
      </c>
    </row>
    <row r="55" spans="1:6" x14ac:dyDescent="0.25">
      <c r="A55" s="1" t="s">
        <v>52</v>
      </c>
      <c r="B55" s="11">
        <f>September!B55-August!B55</f>
        <v>1149</v>
      </c>
      <c r="C55" s="11">
        <f>September!C55-August!C55</f>
        <v>749</v>
      </c>
      <c r="D55" s="11">
        <f>September!D55-August!D55</f>
        <v>192</v>
      </c>
      <c r="E55" s="11">
        <f>September!E55-August!E55</f>
        <v>383</v>
      </c>
      <c r="F55" s="10">
        <f t="shared" si="0"/>
        <v>2473</v>
      </c>
    </row>
    <row r="56" spans="1:6" x14ac:dyDescent="0.25">
      <c r="A56" s="1" t="s">
        <v>53</v>
      </c>
      <c r="B56" s="11">
        <f>September!B56-August!B56</f>
        <v>1527</v>
      </c>
      <c r="C56" s="11">
        <f>September!C56-August!C56</f>
        <v>2386</v>
      </c>
      <c r="D56" s="11">
        <f>September!D56-August!D56</f>
        <v>398</v>
      </c>
      <c r="E56" s="11">
        <f>September!E56-August!E56</f>
        <v>1267</v>
      </c>
      <c r="F56" s="10">
        <f t="shared" si="0"/>
        <v>5578</v>
      </c>
    </row>
    <row r="57" spans="1:6" x14ac:dyDescent="0.25">
      <c r="A57" s="1" t="s">
        <v>54</v>
      </c>
      <c r="B57" s="11">
        <f>September!B57-August!B57</f>
        <v>1483</v>
      </c>
      <c r="C57" s="11">
        <f>September!C57-August!C57</f>
        <v>1206</v>
      </c>
      <c r="D57" s="11">
        <f>September!D57-August!D57</f>
        <v>185</v>
      </c>
      <c r="E57" s="11">
        <f>September!E57-August!E57</f>
        <v>1096</v>
      </c>
      <c r="F57" s="10">
        <f t="shared" si="0"/>
        <v>3970</v>
      </c>
    </row>
    <row r="58" spans="1:6" x14ac:dyDescent="0.25">
      <c r="A58" s="1" t="s">
        <v>55</v>
      </c>
      <c r="B58" s="11">
        <f>September!B58-August!B58</f>
        <v>200</v>
      </c>
      <c r="C58" s="11">
        <f>September!C58-August!C58</f>
        <v>-128</v>
      </c>
      <c r="D58" s="11">
        <f>September!D58-August!D58</f>
        <v>19</v>
      </c>
      <c r="E58" s="11">
        <f>September!E58-August!E58</f>
        <v>1</v>
      </c>
      <c r="F58" s="10">
        <f t="shared" si="0"/>
        <v>92</v>
      </c>
    </row>
    <row r="59" spans="1:6" x14ac:dyDescent="0.25">
      <c r="A59" s="1" t="s">
        <v>56</v>
      </c>
      <c r="B59" s="11">
        <f>September!B59-August!B59</f>
        <v>488</v>
      </c>
      <c r="C59" s="11">
        <f>September!C59-August!C59</f>
        <v>65</v>
      </c>
      <c r="D59" s="11">
        <f>September!D59-August!D59</f>
        <v>79</v>
      </c>
      <c r="E59" s="11">
        <f>September!E59-August!E59</f>
        <v>120</v>
      </c>
      <c r="F59" s="10">
        <f t="shared" si="0"/>
        <v>752</v>
      </c>
    </row>
    <row r="60" spans="1:6" x14ac:dyDescent="0.25">
      <c r="A60" s="1" t="s">
        <v>57</v>
      </c>
      <c r="B60" s="11">
        <f>September!B60-August!B60</f>
        <v>739</v>
      </c>
      <c r="C60" s="11">
        <f>September!C60-August!C60</f>
        <v>509</v>
      </c>
      <c r="D60" s="11">
        <f>September!D60-August!D60</f>
        <v>166</v>
      </c>
      <c r="E60" s="11">
        <f>September!E60-August!E60</f>
        <v>317</v>
      </c>
      <c r="F60" s="10">
        <f t="shared" si="0"/>
        <v>1731</v>
      </c>
    </row>
    <row r="61" spans="1:6" x14ac:dyDescent="0.25">
      <c r="A61" s="1" t="s">
        <v>58</v>
      </c>
      <c r="B61" s="11">
        <f>September!B61-August!B61</f>
        <v>613</v>
      </c>
      <c r="C61" s="11">
        <f>September!C61-August!C61</f>
        <v>1398</v>
      </c>
      <c r="D61" s="11">
        <f>September!D61-August!D61</f>
        <v>232</v>
      </c>
      <c r="E61" s="11">
        <f>September!E61-August!E61</f>
        <v>850</v>
      </c>
      <c r="F61" s="10">
        <f t="shared" si="0"/>
        <v>3093</v>
      </c>
    </row>
    <row r="62" spans="1:6" x14ac:dyDescent="0.25">
      <c r="A62" s="1" t="s">
        <v>59</v>
      </c>
      <c r="B62" s="11">
        <f>September!B62-August!B62</f>
        <v>727</v>
      </c>
      <c r="C62" s="11">
        <f>September!C62-August!C62</f>
        <v>484</v>
      </c>
      <c r="D62" s="11">
        <f>September!D62-August!D62</f>
        <v>84</v>
      </c>
      <c r="E62" s="11">
        <f>September!E62-August!E62</f>
        <v>107</v>
      </c>
      <c r="F62" s="10">
        <f t="shared" si="0"/>
        <v>1402</v>
      </c>
    </row>
    <row r="63" spans="1:6" x14ac:dyDescent="0.25">
      <c r="A63" s="1" t="s">
        <v>60</v>
      </c>
      <c r="B63" s="11">
        <f>September!B63-August!B63</f>
        <v>563</v>
      </c>
      <c r="C63" s="11">
        <f>September!C63-August!C63</f>
        <v>515</v>
      </c>
      <c r="D63" s="11">
        <f>September!D63-August!D63</f>
        <v>90</v>
      </c>
      <c r="E63" s="11">
        <f>September!E63-August!E63</f>
        <v>150</v>
      </c>
      <c r="F63" s="10">
        <f t="shared" si="0"/>
        <v>1318</v>
      </c>
    </row>
    <row r="64" spans="1:6" x14ac:dyDescent="0.25">
      <c r="A64" s="1" t="s">
        <v>61</v>
      </c>
      <c r="B64" s="11">
        <f>September!B64-August!B64</f>
        <v>420</v>
      </c>
      <c r="C64" s="11">
        <f>September!C64-August!C64</f>
        <v>70</v>
      </c>
      <c r="D64" s="11">
        <f>September!D64-August!D64</f>
        <v>22</v>
      </c>
      <c r="E64" s="11">
        <f>September!E64-August!E64</f>
        <v>138</v>
      </c>
      <c r="F64" s="10">
        <f t="shared" si="0"/>
        <v>650</v>
      </c>
    </row>
    <row r="65" spans="1:6" x14ac:dyDescent="0.25">
      <c r="A65" s="1" t="s">
        <v>62</v>
      </c>
      <c r="B65" s="11">
        <f>September!B65-August!B65</f>
        <v>177</v>
      </c>
      <c r="C65" s="11">
        <f>September!C65-August!C65</f>
        <v>-81</v>
      </c>
      <c r="D65" s="11">
        <f>September!D65-August!D65</f>
        <v>12</v>
      </c>
      <c r="E65" s="11">
        <f>September!E65-August!E65</f>
        <v>-20</v>
      </c>
      <c r="F65" s="10">
        <f t="shared" si="0"/>
        <v>88</v>
      </c>
    </row>
    <row r="66" spans="1:6" x14ac:dyDescent="0.25">
      <c r="A66" s="1" t="s">
        <v>63</v>
      </c>
      <c r="B66" s="11">
        <f>September!B66-August!B66</f>
        <v>105</v>
      </c>
      <c r="C66" s="11">
        <f>September!C66-August!C66</f>
        <v>-49</v>
      </c>
      <c r="D66" s="11">
        <f>September!D66-August!D66</f>
        <v>7</v>
      </c>
      <c r="E66" s="11">
        <f>September!E66-August!E66</f>
        <v>5</v>
      </c>
      <c r="F66" s="10">
        <f t="shared" si="0"/>
        <v>68</v>
      </c>
    </row>
    <row r="67" spans="1:6" x14ac:dyDescent="0.25">
      <c r="A67" s="1" t="s">
        <v>64</v>
      </c>
      <c r="B67" s="11">
        <f>September!B67-August!B67</f>
        <v>63</v>
      </c>
      <c r="C67" s="11">
        <f>September!C67-August!C67</f>
        <v>-40</v>
      </c>
      <c r="D67" s="11">
        <f>September!D67-August!D67</f>
        <v>3</v>
      </c>
      <c r="E67" s="11">
        <f>September!E67-August!E67</f>
        <v>5</v>
      </c>
      <c r="F67" s="10">
        <f t="shared" si="0"/>
        <v>31</v>
      </c>
    </row>
    <row r="68" spans="1:6" x14ac:dyDescent="0.25">
      <c r="A68" s="1" t="s">
        <v>65</v>
      </c>
      <c r="B68" s="11">
        <f>September!B68-August!B68</f>
        <v>1132</v>
      </c>
      <c r="C68" s="11">
        <f>September!C68-August!C68</f>
        <v>532</v>
      </c>
      <c r="D68" s="11">
        <f>September!D68-August!D68</f>
        <v>213</v>
      </c>
      <c r="E68" s="11">
        <f>September!E68-August!E68</f>
        <v>219</v>
      </c>
      <c r="F68" s="10">
        <f t="shared" si="0"/>
        <v>2096</v>
      </c>
    </row>
    <row r="69" spans="1:6" x14ac:dyDescent="0.25">
      <c r="A69" s="1" t="s">
        <v>66</v>
      </c>
      <c r="B69" s="11">
        <f>September!B69-August!B69</f>
        <v>119</v>
      </c>
      <c r="C69" s="11">
        <f>September!C69-August!C69</f>
        <v>-37</v>
      </c>
      <c r="D69" s="11">
        <f>September!D69-August!D69</f>
        <v>11</v>
      </c>
      <c r="E69" s="11">
        <f>September!E69-August!E69</f>
        <v>7</v>
      </c>
      <c r="F69" s="10">
        <f t="shared" si="0"/>
        <v>100</v>
      </c>
    </row>
    <row r="70" spans="1:6" x14ac:dyDescent="0.25">
      <c r="A70" s="1" t="s">
        <v>67</v>
      </c>
      <c r="B70" s="11">
        <f>September!B70-August!B70</f>
        <v>208</v>
      </c>
      <c r="C70" s="11">
        <f>September!C70-August!C70</f>
        <v>50</v>
      </c>
      <c r="D70" s="11">
        <f>September!D70-August!D70</f>
        <v>27</v>
      </c>
      <c r="E70" s="11">
        <f>September!E70-August!E70</f>
        <v>55</v>
      </c>
      <c r="F70" s="10">
        <f t="shared" ref="F70:F71" si="1">SUM(B70:E70)</f>
        <v>340</v>
      </c>
    </row>
    <row r="71" spans="1:6" ht="15.75" thickBot="1" x14ac:dyDescent="0.3">
      <c r="A71" s="1" t="s">
        <v>68</v>
      </c>
      <c r="B71" s="11">
        <f>September!B71-August!B71</f>
        <v>81</v>
      </c>
      <c r="C71" s="11">
        <f>September!C71-August!C71</f>
        <v>-53</v>
      </c>
      <c r="D71" s="11">
        <f>September!D71-August!D71</f>
        <v>2</v>
      </c>
      <c r="E71" s="11">
        <f>September!E71-August!E71</f>
        <v>16</v>
      </c>
      <c r="F71" s="10">
        <f t="shared" si="1"/>
        <v>46</v>
      </c>
    </row>
    <row r="72" spans="1:6" ht="16.5" thickTop="1" thickBot="1" x14ac:dyDescent="0.3">
      <c r="A72" s="3" t="s">
        <v>1</v>
      </c>
      <c r="B72" s="8">
        <f>SUM(B5:B71)</f>
        <v>34415</v>
      </c>
      <c r="C72" s="8">
        <f>SUM(C5:C71)</f>
        <v>43133</v>
      </c>
      <c r="D72" s="8">
        <f>SUM(D5:D71)</f>
        <v>7580</v>
      </c>
      <c r="E72" s="8">
        <f>SUM(E5:E71)</f>
        <v>21863</v>
      </c>
      <c r="F72" s="8">
        <f>SUM(F5:F71)</f>
        <v>106991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>
      <selection activeCell="B5" sqref="B5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x14ac:dyDescent="0.3">
      <c r="A1" s="14" t="s">
        <v>95</v>
      </c>
      <c r="B1" s="15"/>
      <c r="C1" s="15"/>
      <c r="D1" s="15"/>
      <c r="E1" s="15"/>
      <c r="F1" s="16"/>
    </row>
    <row r="2" spans="1:6" x14ac:dyDescent="0.25">
      <c r="A2" s="17" t="s">
        <v>118</v>
      </c>
      <c r="B2" s="18"/>
      <c r="C2" s="18"/>
      <c r="D2" s="18"/>
      <c r="E2" s="18"/>
      <c r="F2" s="19"/>
    </row>
    <row r="3" spans="1:6" x14ac:dyDescent="0.25">
      <c r="A3" s="20" t="s">
        <v>73</v>
      </c>
      <c r="B3" s="21"/>
      <c r="C3" s="21"/>
      <c r="D3" s="21"/>
      <c r="E3" s="21"/>
      <c r="F3" s="22"/>
    </row>
    <row r="4" spans="1:6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11">
        <f>October!B5-September!B5</f>
        <v>672</v>
      </c>
      <c r="C5" s="11">
        <f>October!C5-September!C5</f>
        <v>1745</v>
      </c>
      <c r="D5" s="11">
        <f>October!D5-September!D5</f>
        <v>178</v>
      </c>
      <c r="E5" s="11">
        <f>October!E5-September!E5</f>
        <v>1185</v>
      </c>
      <c r="F5" s="10">
        <f>SUM(B5:E5)</f>
        <v>3780</v>
      </c>
    </row>
    <row r="6" spans="1:6" x14ac:dyDescent="0.25">
      <c r="A6" s="1" t="s">
        <v>3</v>
      </c>
      <c r="B6" s="11">
        <f>October!B6-September!B6</f>
        <v>234</v>
      </c>
      <c r="C6" s="11">
        <f>October!C6-September!C6</f>
        <v>0</v>
      </c>
      <c r="D6" s="11">
        <f>October!D6-September!D6</f>
        <v>4</v>
      </c>
      <c r="E6" s="11">
        <f>October!E6-September!E6</f>
        <v>24</v>
      </c>
      <c r="F6" s="10">
        <f t="shared" ref="F6:F69" si="0">SUM(B6:E6)</f>
        <v>262</v>
      </c>
    </row>
    <row r="7" spans="1:6" x14ac:dyDescent="0.25">
      <c r="A7" s="1" t="s">
        <v>4</v>
      </c>
      <c r="B7" s="11">
        <f>October!B7-September!B7</f>
        <v>369</v>
      </c>
      <c r="C7" s="11">
        <f>October!C7-September!C7</f>
        <v>51</v>
      </c>
      <c r="D7" s="11">
        <f>October!D7-September!D7</f>
        <v>54</v>
      </c>
      <c r="E7" s="11">
        <f>October!E7-September!E7</f>
        <v>191</v>
      </c>
      <c r="F7" s="10">
        <f t="shared" si="0"/>
        <v>665</v>
      </c>
    </row>
    <row r="8" spans="1:6" x14ac:dyDescent="0.25">
      <c r="A8" s="1" t="s">
        <v>5</v>
      </c>
      <c r="B8" s="11">
        <f>October!B8-September!B8</f>
        <v>112</v>
      </c>
      <c r="C8" s="11">
        <f>October!C8-September!C8</f>
        <v>-18</v>
      </c>
      <c r="D8" s="11">
        <f>October!D8-September!D8</f>
        <v>2</v>
      </c>
      <c r="E8" s="11">
        <f>October!E8-September!E8</f>
        <v>8</v>
      </c>
      <c r="F8" s="10">
        <f t="shared" si="0"/>
        <v>104</v>
      </c>
    </row>
    <row r="9" spans="1:6" x14ac:dyDescent="0.25">
      <c r="A9" s="1" t="s">
        <v>6</v>
      </c>
      <c r="B9" s="11">
        <f>October!B9-September!B9</f>
        <v>1323</v>
      </c>
      <c r="C9" s="11">
        <f>October!C9-September!C9</f>
        <v>805</v>
      </c>
      <c r="D9" s="11">
        <f>October!D9-September!D9</f>
        <v>261</v>
      </c>
      <c r="E9" s="11">
        <f>October!E9-September!E9</f>
        <v>1112</v>
      </c>
      <c r="F9" s="10">
        <f t="shared" si="0"/>
        <v>3501</v>
      </c>
    </row>
    <row r="10" spans="1:6" x14ac:dyDescent="0.25">
      <c r="A10" s="1" t="s">
        <v>7</v>
      </c>
      <c r="B10" s="11">
        <f>October!B10-September!B10</f>
        <v>2421</v>
      </c>
      <c r="C10" s="11">
        <f>October!C10-September!C10</f>
        <v>7771</v>
      </c>
      <c r="D10" s="11">
        <f>October!D10-September!D10</f>
        <v>763</v>
      </c>
      <c r="E10" s="11">
        <f>October!E10-September!E10</f>
        <v>4764</v>
      </c>
      <c r="F10" s="10">
        <f t="shared" si="0"/>
        <v>15719</v>
      </c>
    </row>
    <row r="11" spans="1:6" x14ac:dyDescent="0.25">
      <c r="A11" s="1" t="s">
        <v>8</v>
      </c>
      <c r="B11" s="11">
        <f>October!B11-September!B11</f>
        <v>37</v>
      </c>
      <c r="C11" s="11">
        <f>October!C11-September!C11</f>
        <v>-37</v>
      </c>
      <c r="D11" s="11">
        <f>October!D11-September!D11</f>
        <v>0</v>
      </c>
      <c r="E11" s="11">
        <f>October!E11-September!E11</f>
        <v>12</v>
      </c>
      <c r="F11" s="10">
        <f t="shared" si="0"/>
        <v>12</v>
      </c>
    </row>
    <row r="12" spans="1:6" x14ac:dyDescent="0.25">
      <c r="A12" s="1" t="s">
        <v>9</v>
      </c>
      <c r="B12" s="11">
        <f>October!B12-September!B12</f>
        <v>403</v>
      </c>
      <c r="C12" s="11">
        <f>October!C12-September!C12</f>
        <v>144</v>
      </c>
      <c r="D12" s="11">
        <f>October!D12-September!D12</f>
        <v>65</v>
      </c>
      <c r="E12" s="11">
        <f>October!E12-September!E12</f>
        <v>250</v>
      </c>
      <c r="F12" s="10">
        <f t="shared" si="0"/>
        <v>862</v>
      </c>
    </row>
    <row r="13" spans="1:6" x14ac:dyDescent="0.25">
      <c r="A13" s="1" t="s">
        <v>10</v>
      </c>
      <c r="B13" s="11">
        <f>October!B13-September!B13</f>
        <v>482</v>
      </c>
      <c r="C13" s="11">
        <f>October!C13-September!C13</f>
        <v>19</v>
      </c>
      <c r="D13" s="11">
        <f>October!D13-September!D13</f>
        <v>49</v>
      </c>
      <c r="E13" s="11">
        <f>October!E13-September!E13</f>
        <v>147</v>
      </c>
      <c r="F13" s="10">
        <f t="shared" si="0"/>
        <v>697</v>
      </c>
    </row>
    <row r="14" spans="1:6" x14ac:dyDescent="0.25">
      <c r="A14" s="1" t="s">
        <v>11</v>
      </c>
      <c r="B14" s="11">
        <f>October!B14-September!B14</f>
        <v>606</v>
      </c>
      <c r="C14" s="11">
        <f>October!C14-September!C14</f>
        <v>321</v>
      </c>
      <c r="D14" s="11">
        <f>October!D14-September!D14</f>
        <v>81</v>
      </c>
      <c r="E14" s="11">
        <f>October!E14-September!E14</f>
        <v>267</v>
      </c>
      <c r="F14" s="10">
        <f t="shared" si="0"/>
        <v>1275</v>
      </c>
    </row>
    <row r="15" spans="1:6" x14ac:dyDescent="0.25">
      <c r="A15" s="1" t="s">
        <v>12</v>
      </c>
      <c r="B15" s="11">
        <f>October!B15-September!B15</f>
        <v>1288</v>
      </c>
      <c r="C15" s="11">
        <f>October!C15-September!C15</f>
        <v>720</v>
      </c>
      <c r="D15" s="11">
        <f>October!D15-September!D15</f>
        <v>133</v>
      </c>
      <c r="E15" s="11">
        <f>October!E15-September!E15</f>
        <v>763</v>
      </c>
      <c r="F15" s="10">
        <f t="shared" si="0"/>
        <v>2904</v>
      </c>
    </row>
    <row r="16" spans="1:6" x14ac:dyDescent="0.25">
      <c r="A16" s="1" t="s">
        <v>13</v>
      </c>
      <c r="B16" s="11">
        <f>October!B16-September!B16</f>
        <v>243</v>
      </c>
      <c r="C16" s="11">
        <f>October!C16-September!C16</f>
        <v>31</v>
      </c>
      <c r="D16" s="11">
        <f>October!D16-September!D16</f>
        <v>12</v>
      </c>
      <c r="E16" s="11">
        <f>October!E16-September!E16</f>
        <v>70</v>
      </c>
      <c r="F16" s="10">
        <f t="shared" si="0"/>
        <v>356</v>
      </c>
    </row>
    <row r="17" spans="1:6" x14ac:dyDescent="0.25">
      <c r="A17" s="1" t="s">
        <v>14</v>
      </c>
      <c r="B17" s="11">
        <f>October!B17-September!B17</f>
        <v>60</v>
      </c>
      <c r="C17" s="11">
        <f>October!C17-September!C17</f>
        <v>-7</v>
      </c>
      <c r="D17" s="11">
        <f>October!D17-September!D17</f>
        <v>2</v>
      </c>
      <c r="E17" s="11">
        <f>October!E17-September!E17</f>
        <v>23</v>
      </c>
      <c r="F17" s="10">
        <f t="shared" si="0"/>
        <v>78</v>
      </c>
    </row>
    <row r="18" spans="1:6" x14ac:dyDescent="0.25">
      <c r="A18" s="1" t="s">
        <v>15</v>
      </c>
      <c r="B18" s="11">
        <f>October!B18-September!B18</f>
        <v>81</v>
      </c>
      <c r="C18" s="11">
        <f>October!C18-September!C18</f>
        <v>-21</v>
      </c>
      <c r="D18" s="11">
        <f>October!D18-September!D18</f>
        <v>3</v>
      </c>
      <c r="E18" s="11">
        <f>October!E18-September!E18</f>
        <v>21</v>
      </c>
      <c r="F18" s="10">
        <f t="shared" si="0"/>
        <v>84</v>
      </c>
    </row>
    <row r="19" spans="1:6" x14ac:dyDescent="0.25">
      <c r="A19" s="1" t="s">
        <v>16</v>
      </c>
      <c r="B19" s="11">
        <f>October!B19-September!B19</f>
        <v>1991</v>
      </c>
      <c r="C19" s="11">
        <f>October!C19-September!C19</f>
        <v>3089</v>
      </c>
      <c r="D19" s="11">
        <f>October!D19-September!D19</f>
        <v>393</v>
      </c>
      <c r="E19" s="11">
        <f>October!E19-September!E19</f>
        <v>1890</v>
      </c>
      <c r="F19" s="10">
        <f t="shared" si="0"/>
        <v>7363</v>
      </c>
    </row>
    <row r="20" spans="1:6" x14ac:dyDescent="0.25">
      <c r="A20" s="1" t="s">
        <v>17</v>
      </c>
      <c r="B20" s="11">
        <f>October!B20-September!B20</f>
        <v>943</v>
      </c>
      <c r="C20" s="11">
        <f>October!C20-September!C20</f>
        <v>683</v>
      </c>
      <c r="D20" s="11">
        <f>October!D20-September!D20</f>
        <v>149</v>
      </c>
      <c r="E20" s="11">
        <f>October!E20-September!E20</f>
        <v>541</v>
      </c>
      <c r="F20" s="10">
        <f t="shared" si="0"/>
        <v>2316</v>
      </c>
    </row>
    <row r="21" spans="1:6" x14ac:dyDescent="0.25">
      <c r="A21" s="1" t="s">
        <v>18</v>
      </c>
      <c r="B21" s="11">
        <f>October!B21-September!B21</f>
        <v>352</v>
      </c>
      <c r="C21" s="11">
        <f>October!C21-September!C21</f>
        <v>136</v>
      </c>
      <c r="D21" s="11">
        <f>October!D21-September!D21</f>
        <v>30</v>
      </c>
      <c r="E21" s="11">
        <f>October!E21-September!E21</f>
        <v>155</v>
      </c>
      <c r="F21" s="10">
        <f t="shared" si="0"/>
        <v>673</v>
      </c>
    </row>
    <row r="22" spans="1:6" x14ac:dyDescent="0.25">
      <c r="A22" s="1" t="s">
        <v>19</v>
      </c>
      <c r="B22" s="11">
        <f>October!B22-September!B22</f>
        <v>26</v>
      </c>
      <c r="C22" s="11">
        <f>October!C22-September!C22</f>
        <v>14</v>
      </c>
      <c r="D22" s="11">
        <f>October!D22-September!D22</f>
        <v>3</v>
      </c>
      <c r="E22" s="11">
        <f>October!E22-September!E22</f>
        <v>27</v>
      </c>
      <c r="F22" s="10">
        <f t="shared" si="0"/>
        <v>70</v>
      </c>
    </row>
    <row r="23" spans="1:6" x14ac:dyDescent="0.25">
      <c r="A23" s="1" t="s">
        <v>20</v>
      </c>
      <c r="B23" s="11">
        <f>October!B23-September!B23</f>
        <v>39</v>
      </c>
      <c r="C23" s="11">
        <f>October!C23-September!C23</f>
        <v>-13</v>
      </c>
      <c r="D23" s="11">
        <f>October!D23-September!D23</f>
        <v>11</v>
      </c>
      <c r="E23" s="11">
        <f>October!E23-September!E23</f>
        <v>16</v>
      </c>
      <c r="F23" s="10">
        <f t="shared" si="0"/>
        <v>53</v>
      </c>
    </row>
    <row r="24" spans="1:6" x14ac:dyDescent="0.25">
      <c r="A24" s="1" t="s">
        <v>21</v>
      </c>
      <c r="B24" s="11">
        <f>October!B24-September!B24</f>
        <v>93</v>
      </c>
      <c r="C24" s="11">
        <f>October!C24-September!C24</f>
        <v>-26</v>
      </c>
      <c r="D24" s="11">
        <f>October!D24-September!D24</f>
        <v>0</v>
      </c>
      <c r="E24" s="11">
        <f>October!E24-September!E24</f>
        <v>22</v>
      </c>
      <c r="F24" s="10">
        <f t="shared" si="0"/>
        <v>89</v>
      </c>
    </row>
    <row r="25" spans="1:6" x14ac:dyDescent="0.25">
      <c r="A25" s="1" t="s">
        <v>22</v>
      </c>
      <c r="B25" s="11">
        <f>October!B25-September!B25</f>
        <v>53</v>
      </c>
      <c r="C25" s="11">
        <f>October!C25-September!C25</f>
        <v>-13</v>
      </c>
      <c r="D25" s="11">
        <f>October!D25-September!D25</f>
        <v>4</v>
      </c>
      <c r="E25" s="11">
        <f>October!E25-September!E25</f>
        <v>25</v>
      </c>
      <c r="F25" s="10">
        <f t="shared" si="0"/>
        <v>69</v>
      </c>
    </row>
    <row r="26" spans="1:6" x14ac:dyDescent="0.25">
      <c r="A26" s="1" t="s">
        <v>23</v>
      </c>
      <c r="B26" s="11">
        <f>October!B26-September!B26</f>
        <v>17</v>
      </c>
      <c r="C26" s="11">
        <f>October!C26-September!C26</f>
        <v>-31</v>
      </c>
      <c r="D26" s="11">
        <f>October!D26-September!D26</f>
        <v>5</v>
      </c>
      <c r="E26" s="11">
        <f>October!E26-September!E26</f>
        <v>7</v>
      </c>
      <c r="F26" s="10">
        <f t="shared" si="0"/>
        <v>-2</v>
      </c>
    </row>
    <row r="27" spans="1:6" x14ac:dyDescent="0.25">
      <c r="A27" s="1" t="s">
        <v>24</v>
      </c>
      <c r="B27" s="11">
        <f>October!B27-September!B27</f>
        <v>31</v>
      </c>
      <c r="C27" s="11">
        <f>October!C27-September!C27</f>
        <v>-10</v>
      </c>
      <c r="D27" s="11">
        <f>October!D27-September!D27</f>
        <v>0</v>
      </c>
      <c r="E27" s="11">
        <f>October!E27-September!E27</f>
        <v>-5</v>
      </c>
      <c r="F27" s="10">
        <f t="shared" si="0"/>
        <v>16</v>
      </c>
    </row>
    <row r="28" spans="1:6" x14ac:dyDescent="0.25">
      <c r="A28" s="1" t="s">
        <v>25</v>
      </c>
      <c r="B28" s="11">
        <f>October!B28-September!B28</f>
        <v>38</v>
      </c>
      <c r="C28" s="11">
        <f>October!C28-September!C28</f>
        <v>-3</v>
      </c>
      <c r="D28" s="11">
        <f>October!D28-September!D28</f>
        <v>2</v>
      </c>
      <c r="E28" s="11">
        <f>October!E28-September!E28</f>
        <v>27</v>
      </c>
      <c r="F28" s="10">
        <f t="shared" si="0"/>
        <v>64</v>
      </c>
    </row>
    <row r="29" spans="1:6" x14ac:dyDescent="0.25">
      <c r="A29" s="1" t="s">
        <v>26</v>
      </c>
      <c r="B29" s="11">
        <f>October!B29-September!B29</f>
        <v>99</v>
      </c>
      <c r="C29" s="11">
        <f>October!C29-September!C29</f>
        <v>-15</v>
      </c>
      <c r="D29" s="11">
        <f>October!D29-September!D29</f>
        <v>10</v>
      </c>
      <c r="E29" s="11">
        <f>October!E29-September!E29</f>
        <v>17</v>
      </c>
      <c r="F29" s="10">
        <f t="shared" si="0"/>
        <v>111</v>
      </c>
    </row>
    <row r="30" spans="1:6" x14ac:dyDescent="0.25">
      <c r="A30" s="1" t="s">
        <v>27</v>
      </c>
      <c r="B30" s="11">
        <f>October!B30-September!B30</f>
        <v>485</v>
      </c>
      <c r="C30" s="11">
        <f>October!C30-September!C30</f>
        <v>90</v>
      </c>
      <c r="D30" s="11">
        <f>October!D30-September!D30</f>
        <v>83</v>
      </c>
      <c r="E30" s="11">
        <f>October!E30-September!E30</f>
        <v>167</v>
      </c>
      <c r="F30" s="10">
        <f t="shared" si="0"/>
        <v>825</v>
      </c>
    </row>
    <row r="31" spans="1:6" x14ac:dyDescent="0.25">
      <c r="A31" s="1" t="s">
        <v>28</v>
      </c>
      <c r="B31" s="11">
        <f>October!B31-September!B31</f>
        <v>368</v>
      </c>
      <c r="C31" s="11">
        <f>October!C31-September!C31</f>
        <v>161</v>
      </c>
      <c r="D31" s="11">
        <f>October!D31-September!D31</f>
        <v>15</v>
      </c>
      <c r="E31" s="11">
        <f>October!E31-September!E31</f>
        <v>149</v>
      </c>
      <c r="F31" s="10">
        <f t="shared" si="0"/>
        <v>693</v>
      </c>
    </row>
    <row r="32" spans="1:6" x14ac:dyDescent="0.25">
      <c r="A32" s="1" t="s">
        <v>29</v>
      </c>
      <c r="B32" s="11">
        <f>October!B32-September!B32</f>
        <v>2927</v>
      </c>
      <c r="C32" s="11">
        <f>October!C32-September!C32</f>
        <v>4778</v>
      </c>
      <c r="D32" s="11">
        <f>October!D32-September!D32</f>
        <v>658</v>
      </c>
      <c r="E32" s="11">
        <f>October!E32-September!E32</f>
        <v>4021</v>
      </c>
      <c r="F32" s="10">
        <f t="shared" si="0"/>
        <v>12384</v>
      </c>
    </row>
    <row r="33" spans="1:6" x14ac:dyDescent="0.25">
      <c r="A33" s="1" t="s">
        <v>30</v>
      </c>
      <c r="B33" s="11">
        <f>October!B33-September!B33</f>
        <v>73</v>
      </c>
      <c r="C33" s="11">
        <f>October!C33-September!C33</f>
        <v>-29</v>
      </c>
      <c r="D33" s="11">
        <f>October!D33-September!D33</f>
        <v>3</v>
      </c>
      <c r="E33" s="11">
        <f>October!E33-September!E33</f>
        <v>0</v>
      </c>
      <c r="F33" s="10">
        <f t="shared" si="0"/>
        <v>47</v>
      </c>
    </row>
    <row r="34" spans="1:6" x14ac:dyDescent="0.25">
      <c r="A34" s="1" t="s">
        <v>31</v>
      </c>
      <c r="B34" s="11">
        <f>October!B34-September!B34</f>
        <v>426</v>
      </c>
      <c r="C34" s="11">
        <f>October!C34-September!C34</f>
        <v>198</v>
      </c>
      <c r="D34" s="11">
        <f>October!D34-September!D34</f>
        <v>86</v>
      </c>
      <c r="E34" s="11">
        <f>October!E34-September!E34</f>
        <v>208</v>
      </c>
      <c r="F34" s="10">
        <f t="shared" si="0"/>
        <v>918</v>
      </c>
    </row>
    <row r="35" spans="1:6" x14ac:dyDescent="0.25">
      <c r="A35" s="1" t="s">
        <v>32</v>
      </c>
      <c r="B35" s="11">
        <f>October!B35-September!B35</f>
        <v>178</v>
      </c>
      <c r="C35" s="11">
        <f>October!C35-September!C35</f>
        <v>-40</v>
      </c>
      <c r="D35" s="11">
        <f>October!D35-September!D35</f>
        <v>-3</v>
      </c>
      <c r="E35" s="11">
        <f>October!E35-September!E35</f>
        <v>17</v>
      </c>
      <c r="F35" s="10">
        <f t="shared" si="0"/>
        <v>152</v>
      </c>
    </row>
    <row r="36" spans="1:6" x14ac:dyDescent="0.25">
      <c r="A36" s="1" t="s">
        <v>33</v>
      </c>
      <c r="B36" s="11">
        <f>October!B36-September!B36</f>
        <v>14</v>
      </c>
      <c r="C36" s="11">
        <f>October!C36-September!C36</f>
        <v>-25</v>
      </c>
      <c r="D36" s="11">
        <f>October!D36-September!D36</f>
        <v>1</v>
      </c>
      <c r="E36" s="11">
        <f>October!E36-September!E36</f>
        <v>-2</v>
      </c>
      <c r="F36" s="10">
        <f t="shared" si="0"/>
        <v>-12</v>
      </c>
    </row>
    <row r="37" spans="1:6" x14ac:dyDescent="0.25">
      <c r="A37" s="1" t="s">
        <v>34</v>
      </c>
      <c r="B37" s="11">
        <f>October!B37-September!B37</f>
        <v>64</v>
      </c>
      <c r="C37" s="11">
        <f>October!C37-September!C37</f>
        <v>-50</v>
      </c>
      <c r="D37" s="11">
        <f>October!D37-September!D37</f>
        <v>0</v>
      </c>
      <c r="E37" s="11">
        <f>October!E37-September!E37</f>
        <v>1</v>
      </c>
      <c r="F37" s="10">
        <f t="shared" si="0"/>
        <v>15</v>
      </c>
    </row>
    <row r="38" spans="1:6" x14ac:dyDescent="0.25">
      <c r="A38" s="1" t="s">
        <v>35</v>
      </c>
      <c r="B38" s="11">
        <f>October!B38-September!B38</f>
        <v>1052</v>
      </c>
      <c r="C38" s="11">
        <f>October!C38-September!C38</f>
        <v>657</v>
      </c>
      <c r="D38" s="11">
        <f>October!D38-September!D38</f>
        <v>107</v>
      </c>
      <c r="E38" s="11">
        <f>October!E38-September!E38</f>
        <v>874</v>
      </c>
      <c r="F38" s="10">
        <f t="shared" si="0"/>
        <v>2690</v>
      </c>
    </row>
    <row r="39" spans="1:6" x14ac:dyDescent="0.25">
      <c r="A39" s="1" t="s">
        <v>36</v>
      </c>
      <c r="B39" s="11">
        <f>October!B39-September!B39</f>
        <v>1830</v>
      </c>
      <c r="C39" s="11">
        <f>October!C39-September!C39</f>
        <v>1285</v>
      </c>
      <c r="D39" s="11">
        <f>October!D39-September!D39</f>
        <v>246</v>
      </c>
      <c r="E39" s="11">
        <f>October!E39-September!E39</f>
        <v>1756</v>
      </c>
      <c r="F39" s="10">
        <f t="shared" si="0"/>
        <v>5117</v>
      </c>
    </row>
    <row r="40" spans="1:6" x14ac:dyDescent="0.25">
      <c r="A40" s="1" t="s">
        <v>37</v>
      </c>
      <c r="B40" s="11">
        <f>October!B40-September!B40</f>
        <v>596</v>
      </c>
      <c r="C40" s="11">
        <f>October!C40-September!C40</f>
        <v>1978</v>
      </c>
      <c r="D40" s="11">
        <f>October!D40-September!D40</f>
        <v>143</v>
      </c>
      <c r="E40" s="11">
        <f>October!E40-September!E40</f>
        <v>1226</v>
      </c>
      <c r="F40" s="10">
        <f t="shared" si="0"/>
        <v>3943</v>
      </c>
    </row>
    <row r="41" spans="1:6" x14ac:dyDescent="0.25">
      <c r="A41" s="1" t="s">
        <v>38</v>
      </c>
      <c r="B41" s="11">
        <f>October!B41-September!B41</f>
        <v>158</v>
      </c>
      <c r="C41" s="11">
        <f>October!C41-September!C41</f>
        <v>-18</v>
      </c>
      <c r="D41" s="11">
        <f>October!D41-September!D41</f>
        <v>16</v>
      </c>
      <c r="E41" s="11">
        <f>October!E41-September!E41</f>
        <v>59</v>
      </c>
      <c r="F41" s="10">
        <f t="shared" si="0"/>
        <v>215</v>
      </c>
    </row>
    <row r="42" spans="1:6" x14ac:dyDescent="0.25">
      <c r="A42" s="1" t="s">
        <v>39</v>
      </c>
      <c r="B42" s="11">
        <f>October!B42-September!B42</f>
        <v>6</v>
      </c>
      <c r="C42" s="11">
        <f>October!C42-September!C42</f>
        <v>-16</v>
      </c>
      <c r="D42" s="11">
        <f>October!D42-September!D42</f>
        <v>1</v>
      </c>
      <c r="E42" s="11">
        <f>October!E42-September!E42</f>
        <v>-2</v>
      </c>
      <c r="F42" s="10">
        <f t="shared" si="0"/>
        <v>-11</v>
      </c>
    </row>
    <row r="43" spans="1:6" x14ac:dyDescent="0.25">
      <c r="A43" s="1" t="s">
        <v>40</v>
      </c>
      <c r="B43" s="11">
        <f>October!B43-September!B43</f>
        <v>43</v>
      </c>
      <c r="C43" s="11">
        <f>October!C43-September!C43</f>
        <v>2</v>
      </c>
      <c r="D43" s="11">
        <f>October!D43-September!D43</f>
        <v>3</v>
      </c>
      <c r="E43" s="11">
        <f>October!E43-September!E43</f>
        <v>0</v>
      </c>
      <c r="F43" s="10">
        <f t="shared" si="0"/>
        <v>48</v>
      </c>
    </row>
    <row r="44" spans="1:6" x14ac:dyDescent="0.25">
      <c r="A44" s="1" t="s">
        <v>41</v>
      </c>
      <c r="B44" s="11">
        <f>October!B44-September!B44</f>
        <v>1114</v>
      </c>
      <c r="C44" s="11">
        <f>October!C44-September!C44</f>
        <v>662</v>
      </c>
      <c r="D44" s="11">
        <f>October!D44-September!D44</f>
        <v>126</v>
      </c>
      <c r="E44" s="11">
        <f>October!E44-September!E44</f>
        <v>801</v>
      </c>
      <c r="F44" s="10">
        <f t="shared" si="0"/>
        <v>2703</v>
      </c>
    </row>
    <row r="45" spans="1:6" x14ac:dyDescent="0.25">
      <c r="A45" s="1" t="s">
        <v>42</v>
      </c>
      <c r="B45" s="11">
        <f>October!B45-September!B45</f>
        <v>770</v>
      </c>
      <c r="C45" s="11">
        <f>October!C45-September!C45</f>
        <v>209</v>
      </c>
      <c r="D45" s="11">
        <f>October!D45-September!D45</f>
        <v>90</v>
      </c>
      <c r="E45" s="11">
        <f>October!E45-September!E45</f>
        <v>372</v>
      </c>
      <c r="F45" s="10">
        <f t="shared" si="0"/>
        <v>1441</v>
      </c>
    </row>
    <row r="46" spans="1:6" x14ac:dyDescent="0.25">
      <c r="A46" s="1" t="s">
        <v>43</v>
      </c>
      <c r="B46" s="11">
        <f>October!B46-September!B46</f>
        <v>307</v>
      </c>
      <c r="C46" s="11">
        <f>October!C46-September!C46</f>
        <v>96</v>
      </c>
      <c r="D46" s="11">
        <f>October!D46-September!D46</f>
        <v>84</v>
      </c>
      <c r="E46" s="11">
        <f>October!E46-September!E46</f>
        <v>189</v>
      </c>
      <c r="F46" s="10">
        <f t="shared" si="0"/>
        <v>676</v>
      </c>
    </row>
    <row r="47" spans="1:6" x14ac:dyDescent="0.25">
      <c r="A47" s="1" t="s">
        <v>44</v>
      </c>
      <c r="B47" s="11">
        <f>October!B47-September!B47</f>
        <v>3629</v>
      </c>
      <c r="C47" s="11">
        <f>October!C47-September!C47</f>
        <v>5588</v>
      </c>
      <c r="D47" s="11">
        <f>October!D47-September!D47</f>
        <v>890</v>
      </c>
      <c r="E47" s="11">
        <f>October!E47-September!E47</f>
        <v>6265</v>
      </c>
      <c r="F47" s="10">
        <f t="shared" si="0"/>
        <v>16372</v>
      </c>
    </row>
    <row r="48" spans="1:6" x14ac:dyDescent="0.25">
      <c r="A48" s="1" t="s">
        <v>45</v>
      </c>
      <c r="B48" s="11">
        <f>October!B48-September!B48</f>
        <v>172</v>
      </c>
      <c r="C48" s="11">
        <f>October!C48-September!C48</f>
        <v>78</v>
      </c>
      <c r="D48" s="11">
        <f>October!D48-September!D48</f>
        <v>47</v>
      </c>
      <c r="E48" s="11">
        <f>October!E48-September!E48</f>
        <v>1</v>
      </c>
      <c r="F48" s="10">
        <f t="shared" si="0"/>
        <v>298</v>
      </c>
    </row>
    <row r="49" spans="1:6" x14ac:dyDescent="0.25">
      <c r="A49" s="1" t="s">
        <v>46</v>
      </c>
      <c r="B49" s="11">
        <f>October!B49-September!B49</f>
        <v>234</v>
      </c>
      <c r="C49" s="11">
        <f>October!C49-September!C49</f>
        <v>69</v>
      </c>
      <c r="D49" s="11">
        <f>October!D49-September!D49</f>
        <v>43</v>
      </c>
      <c r="E49" s="11">
        <f>October!E49-September!E49</f>
        <v>102</v>
      </c>
      <c r="F49" s="10">
        <f t="shared" si="0"/>
        <v>448</v>
      </c>
    </row>
    <row r="50" spans="1:6" x14ac:dyDescent="0.25">
      <c r="A50" s="1" t="s">
        <v>47</v>
      </c>
      <c r="B50" s="11">
        <f>October!B50-September!B50</f>
        <v>704</v>
      </c>
      <c r="C50" s="11">
        <f>October!C50-September!C50</f>
        <v>347</v>
      </c>
      <c r="D50" s="11">
        <f>October!D50-September!D50</f>
        <v>75</v>
      </c>
      <c r="E50" s="11">
        <f>October!E50-September!E50</f>
        <v>437</v>
      </c>
      <c r="F50" s="10">
        <f t="shared" si="0"/>
        <v>1563</v>
      </c>
    </row>
    <row r="51" spans="1:6" x14ac:dyDescent="0.25">
      <c r="A51" s="1" t="s">
        <v>48</v>
      </c>
      <c r="B51" s="11">
        <f>October!B51-September!B51</f>
        <v>117</v>
      </c>
      <c r="C51" s="11">
        <f>October!C51-September!C51</f>
        <v>9</v>
      </c>
      <c r="D51" s="11">
        <f>October!D51-September!D51</f>
        <v>8</v>
      </c>
      <c r="E51" s="11">
        <f>October!E51-September!E51</f>
        <v>53</v>
      </c>
      <c r="F51" s="10">
        <f t="shared" si="0"/>
        <v>187</v>
      </c>
    </row>
    <row r="52" spans="1:6" x14ac:dyDescent="0.25">
      <c r="A52" s="1" t="s">
        <v>49</v>
      </c>
      <c r="B52" s="11">
        <f>October!B52-September!B52</f>
        <v>2295</v>
      </c>
      <c r="C52" s="11">
        <f>October!C52-September!C52</f>
        <v>7116</v>
      </c>
      <c r="D52" s="11">
        <f>October!D52-September!D52</f>
        <v>570</v>
      </c>
      <c r="E52" s="11">
        <f>October!E52-September!E52</f>
        <v>5329</v>
      </c>
      <c r="F52" s="10">
        <f t="shared" si="0"/>
        <v>15310</v>
      </c>
    </row>
    <row r="53" spans="1:6" x14ac:dyDescent="0.25">
      <c r="A53" s="1" t="s">
        <v>50</v>
      </c>
      <c r="B53" s="11">
        <f>October!B53-September!B53</f>
        <v>520</v>
      </c>
      <c r="C53" s="11">
        <f>October!C53-September!C53</f>
        <v>1115</v>
      </c>
      <c r="D53" s="11">
        <f>October!D53-September!D53</f>
        <v>87</v>
      </c>
      <c r="E53" s="11">
        <f>October!E53-September!E53</f>
        <v>1142</v>
      </c>
      <c r="F53" s="10">
        <f t="shared" si="0"/>
        <v>2864</v>
      </c>
    </row>
    <row r="54" spans="1:6" x14ac:dyDescent="0.25">
      <c r="A54" s="1" t="s">
        <v>51</v>
      </c>
      <c r="B54" s="11">
        <f>October!B54-September!B54</f>
        <v>2106</v>
      </c>
      <c r="C54" s="11">
        <f>October!C54-September!C54</f>
        <v>2551</v>
      </c>
      <c r="D54" s="11">
        <f>October!D54-September!D54</f>
        <v>575</v>
      </c>
      <c r="E54" s="11">
        <f>October!E54-September!E54</f>
        <v>2241</v>
      </c>
      <c r="F54" s="10">
        <f t="shared" si="0"/>
        <v>7473</v>
      </c>
    </row>
    <row r="55" spans="1:6" x14ac:dyDescent="0.25">
      <c r="A55" s="1" t="s">
        <v>52</v>
      </c>
      <c r="B55" s="11">
        <f>October!B55-September!B55</f>
        <v>1202</v>
      </c>
      <c r="C55" s="11">
        <f>October!C55-September!C55</f>
        <v>717</v>
      </c>
      <c r="D55" s="11">
        <f>October!D55-September!D55</f>
        <v>232</v>
      </c>
      <c r="E55" s="11">
        <f>October!E55-September!E55</f>
        <v>943</v>
      </c>
      <c r="F55" s="10">
        <f t="shared" si="0"/>
        <v>3094</v>
      </c>
    </row>
    <row r="56" spans="1:6" x14ac:dyDescent="0.25">
      <c r="A56" s="1" t="s">
        <v>53</v>
      </c>
      <c r="B56" s="11">
        <f>October!B56-September!B56</f>
        <v>1951</v>
      </c>
      <c r="C56" s="11">
        <f>October!C56-September!C56</f>
        <v>2300</v>
      </c>
      <c r="D56" s="11">
        <f>October!D56-September!D56</f>
        <v>375</v>
      </c>
      <c r="E56" s="11">
        <f>October!E56-September!E56</f>
        <v>2466</v>
      </c>
      <c r="F56" s="10">
        <f t="shared" si="0"/>
        <v>7092</v>
      </c>
    </row>
    <row r="57" spans="1:6" x14ac:dyDescent="0.25">
      <c r="A57" s="1" t="s">
        <v>54</v>
      </c>
      <c r="B57" s="11">
        <f>October!B57-September!B57</f>
        <v>1286</v>
      </c>
      <c r="C57" s="11">
        <f>October!C57-September!C57</f>
        <v>1164</v>
      </c>
      <c r="D57" s="11">
        <f>October!D57-September!D57</f>
        <v>178</v>
      </c>
      <c r="E57" s="11">
        <f>October!E57-September!E57</f>
        <v>1427</v>
      </c>
      <c r="F57" s="10">
        <f t="shared" si="0"/>
        <v>4055</v>
      </c>
    </row>
    <row r="58" spans="1:6" x14ac:dyDescent="0.25">
      <c r="A58" s="1" t="s">
        <v>55</v>
      </c>
      <c r="B58" s="11">
        <f>October!B58-September!B58</f>
        <v>205</v>
      </c>
      <c r="C58" s="11">
        <f>October!C58-September!C58</f>
        <v>17</v>
      </c>
      <c r="D58" s="11">
        <f>October!D58-September!D58</f>
        <v>19</v>
      </c>
      <c r="E58" s="11">
        <f>October!E58-September!E58</f>
        <v>50</v>
      </c>
      <c r="F58" s="10">
        <f t="shared" si="0"/>
        <v>291</v>
      </c>
    </row>
    <row r="59" spans="1:6" x14ac:dyDescent="0.25">
      <c r="A59" s="1" t="s">
        <v>56</v>
      </c>
      <c r="B59" s="11">
        <f>October!B59-September!B59</f>
        <v>539</v>
      </c>
      <c r="C59" s="11">
        <f>October!C59-September!C59</f>
        <v>133</v>
      </c>
      <c r="D59" s="11">
        <f>October!D59-September!D59</f>
        <v>78</v>
      </c>
      <c r="E59" s="11">
        <f>October!E59-September!E59</f>
        <v>239</v>
      </c>
      <c r="F59" s="10">
        <f t="shared" si="0"/>
        <v>989</v>
      </c>
    </row>
    <row r="60" spans="1:6" x14ac:dyDescent="0.25">
      <c r="A60" s="1" t="s">
        <v>57</v>
      </c>
      <c r="B60" s="11">
        <f>October!B60-September!B60</f>
        <v>902</v>
      </c>
      <c r="C60" s="11">
        <f>October!C60-September!C60</f>
        <v>608</v>
      </c>
      <c r="D60" s="11">
        <f>October!D60-September!D60</f>
        <v>121</v>
      </c>
      <c r="E60" s="11">
        <f>October!E60-September!E60</f>
        <v>686</v>
      </c>
      <c r="F60" s="10">
        <f t="shared" si="0"/>
        <v>2317</v>
      </c>
    </row>
    <row r="61" spans="1:6" x14ac:dyDescent="0.25">
      <c r="A61" s="1" t="s">
        <v>58</v>
      </c>
      <c r="B61" s="11">
        <f>October!B61-September!B61</f>
        <v>1295</v>
      </c>
      <c r="C61" s="11">
        <f>October!C61-September!C61</f>
        <v>1704</v>
      </c>
      <c r="D61" s="11">
        <f>October!D61-September!D61</f>
        <v>250</v>
      </c>
      <c r="E61" s="11">
        <f>October!E61-September!E61</f>
        <v>1871</v>
      </c>
      <c r="F61" s="10">
        <f t="shared" si="0"/>
        <v>5120</v>
      </c>
    </row>
    <row r="62" spans="1:6" x14ac:dyDescent="0.25">
      <c r="A62" s="1" t="s">
        <v>59</v>
      </c>
      <c r="B62" s="11">
        <f>October!B62-September!B62</f>
        <v>724</v>
      </c>
      <c r="C62" s="11">
        <f>October!C62-September!C62</f>
        <v>445</v>
      </c>
      <c r="D62" s="11">
        <f>October!D62-September!D62</f>
        <v>125</v>
      </c>
      <c r="E62" s="11">
        <f>October!E62-September!E62</f>
        <v>330</v>
      </c>
      <c r="F62" s="10">
        <f t="shared" si="0"/>
        <v>1624</v>
      </c>
    </row>
    <row r="63" spans="1:6" x14ac:dyDescent="0.25">
      <c r="A63" s="1" t="s">
        <v>60</v>
      </c>
      <c r="B63" s="11">
        <f>October!B63-September!B63</f>
        <v>690</v>
      </c>
      <c r="C63" s="11">
        <f>October!C63-September!C63</f>
        <v>578</v>
      </c>
      <c r="D63" s="11">
        <f>October!D63-September!D63</f>
        <v>94</v>
      </c>
      <c r="E63" s="11">
        <f>October!E63-September!E63</f>
        <v>401</v>
      </c>
      <c r="F63" s="10">
        <f t="shared" si="0"/>
        <v>1763</v>
      </c>
    </row>
    <row r="64" spans="1:6" x14ac:dyDescent="0.25">
      <c r="A64" s="1" t="s">
        <v>61</v>
      </c>
      <c r="B64" s="11">
        <f>October!B64-September!B64</f>
        <v>422</v>
      </c>
      <c r="C64" s="11">
        <f>October!C64-September!C64</f>
        <v>135</v>
      </c>
      <c r="D64" s="11">
        <f>October!D64-September!D64</f>
        <v>18</v>
      </c>
      <c r="E64" s="11">
        <f>October!E64-September!E64</f>
        <v>227</v>
      </c>
      <c r="F64" s="10">
        <f t="shared" si="0"/>
        <v>802</v>
      </c>
    </row>
    <row r="65" spans="1:6" x14ac:dyDescent="0.25">
      <c r="A65" s="1" t="s">
        <v>62</v>
      </c>
      <c r="B65" s="11">
        <f>October!B65-September!B65</f>
        <v>91</v>
      </c>
      <c r="C65" s="11">
        <f>October!C65-September!C65</f>
        <v>-43</v>
      </c>
      <c r="D65" s="11">
        <f>October!D65-September!D65</f>
        <v>8</v>
      </c>
      <c r="E65" s="11">
        <f>October!E65-September!E65</f>
        <v>44</v>
      </c>
      <c r="F65" s="10">
        <f t="shared" si="0"/>
        <v>100</v>
      </c>
    </row>
    <row r="66" spans="1:6" x14ac:dyDescent="0.25">
      <c r="A66" s="1" t="s">
        <v>63</v>
      </c>
      <c r="B66" s="11">
        <f>October!B66-September!B66</f>
        <v>127</v>
      </c>
      <c r="C66" s="11">
        <f>October!C66-September!C66</f>
        <v>-45</v>
      </c>
      <c r="D66" s="11">
        <f>October!D66-September!D66</f>
        <v>4</v>
      </c>
      <c r="E66" s="11">
        <f>October!E66-September!E66</f>
        <v>5</v>
      </c>
      <c r="F66" s="10">
        <f t="shared" si="0"/>
        <v>91</v>
      </c>
    </row>
    <row r="67" spans="1:6" x14ac:dyDescent="0.25">
      <c r="A67" s="1" t="s">
        <v>64</v>
      </c>
      <c r="B67" s="11">
        <f>October!B67-September!B67</f>
        <v>64</v>
      </c>
      <c r="C67" s="11">
        <f>October!C67-September!C67</f>
        <v>-31</v>
      </c>
      <c r="D67" s="11">
        <f>October!D67-September!D67</f>
        <v>4</v>
      </c>
      <c r="E67" s="11">
        <f>October!E67-September!E67</f>
        <v>6</v>
      </c>
      <c r="F67" s="10">
        <f t="shared" si="0"/>
        <v>43</v>
      </c>
    </row>
    <row r="68" spans="1:6" x14ac:dyDescent="0.25">
      <c r="A68" s="1" t="s">
        <v>65</v>
      </c>
      <c r="B68" s="11">
        <f>October!B68-September!B68</f>
        <v>1320</v>
      </c>
      <c r="C68" s="11">
        <f>October!C68-September!C68</f>
        <v>877</v>
      </c>
      <c r="D68" s="11">
        <f>October!D68-September!D68</f>
        <v>208</v>
      </c>
      <c r="E68" s="11">
        <f>October!E68-September!E68</f>
        <v>1066</v>
      </c>
      <c r="F68" s="10">
        <f t="shared" si="0"/>
        <v>3471</v>
      </c>
    </row>
    <row r="69" spans="1:6" x14ac:dyDescent="0.25">
      <c r="A69" s="1" t="s">
        <v>66</v>
      </c>
      <c r="B69" s="11">
        <f>October!B69-September!B69</f>
        <v>132</v>
      </c>
      <c r="C69" s="11">
        <f>October!C69-September!C69</f>
        <v>-52</v>
      </c>
      <c r="D69" s="11">
        <f>October!D69-September!D69</f>
        <v>9</v>
      </c>
      <c r="E69" s="11">
        <f>October!E69-September!E69</f>
        <v>16</v>
      </c>
      <c r="F69" s="10">
        <f t="shared" si="0"/>
        <v>105</v>
      </c>
    </row>
    <row r="70" spans="1:6" x14ac:dyDescent="0.25">
      <c r="A70" s="1" t="s">
        <v>67</v>
      </c>
      <c r="B70" s="11">
        <f>October!B70-September!B70</f>
        <v>372</v>
      </c>
      <c r="C70" s="11">
        <f>October!C70-September!C70</f>
        <v>48</v>
      </c>
      <c r="D70" s="11">
        <f>October!D70-September!D70</f>
        <v>30</v>
      </c>
      <c r="E70" s="11">
        <f>October!E70-September!E70</f>
        <v>178</v>
      </c>
      <c r="F70" s="10">
        <f t="shared" ref="F70:F71" si="1">SUM(B70:E70)</f>
        <v>628</v>
      </c>
    </row>
    <row r="71" spans="1:6" ht="15.75" thickBot="1" x14ac:dyDescent="0.3">
      <c r="A71" s="1" t="s">
        <v>68</v>
      </c>
      <c r="B71" s="11">
        <f>October!B71-September!B71</f>
        <v>82</v>
      </c>
      <c r="C71" s="11">
        <f>October!C71-September!C71</f>
        <v>-30</v>
      </c>
      <c r="D71" s="11">
        <f>October!D71-September!D71</f>
        <v>2</v>
      </c>
      <c r="E71" s="11">
        <f>October!E71-September!E71</f>
        <v>15</v>
      </c>
      <c r="F71" s="10">
        <f t="shared" si="1"/>
        <v>69</v>
      </c>
    </row>
    <row r="72" spans="1:6" ht="16.5" thickTop="1" thickBot="1" x14ac:dyDescent="0.3">
      <c r="A72" s="3" t="s">
        <v>1</v>
      </c>
      <c r="B72" s="8">
        <f>SUM(B5:B71)</f>
        <v>43605</v>
      </c>
      <c r="C72" s="8">
        <f>SUM(C5:C71)</f>
        <v>50671</v>
      </c>
      <c r="D72" s="8">
        <f>SUM(D5:D71)</f>
        <v>7923</v>
      </c>
      <c r="E72" s="8">
        <f>SUM(E5:E71)</f>
        <v>46935</v>
      </c>
      <c r="F72" s="8">
        <f>SUM(F5:F71)</f>
        <v>149134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>
      <selection activeCell="F5" sqref="F5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x14ac:dyDescent="0.3">
      <c r="A1" s="14" t="s">
        <v>96</v>
      </c>
      <c r="B1" s="15"/>
      <c r="C1" s="15"/>
      <c r="D1" s="15"/>
      <c r="E1" s="15"/>
      <c r="F1" s="16"/>
    </row>
    <row r="2" spans="1:6" x14ac:dyDescent="0.25">
      <c r="A2" s="17" t="s">
        <v>119</v>
      </c>
      <c r="B2" s="18"/>
      <c r="C2" s="18"/>
      <c r="D2" s="18"/>
      <c r="E2" s="18"/>
      <c r="F2" s="19"/>
    </row>
    <row r="3" spans="1:6" x14ac:dyDescent="0.25">
      <c r="A3" s="20" t="s">
        <v>73</v>
      </c>
      <c r="B3" s="21"/>
      <c r="C3" s="21"/>
      <c r="D3" s="21"/>
      <c r="E3" s="21"/>
      <c r="F3" s="22"/>
    </row>
    <row r="4" spans="1:6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11">
        <f>November!B5-October!B5</f>
        <v>83</v>
      </c>
      <c r="C5" s="11">
        <f>November!C5-October!C5</f>
        <v>258</v>
      </c>
      <c r="D5" s="11">
        <f>November!D5-October!D5</f>
        <v>27</v>
      </c>
      <c r="E5" s="11">
        <f>November!E5-October!E5</f>
        <v>130</v>
      </c>
      <c r="F5" s="10">
        <f>SUM(B5:E5)</f>
        <v>498</v>
      </c>
    </row>
    <row r="6" spans="1:6" x14ac:dyDescent="0.25">
      <c r="A6" s="1" t="s">
        <v>3</v>
      </c>
      <c r="B6" s="11">
        <f>November!B6-October!B6</f>
        <v>114</v>
      </c>
      <c r="C6" s="11">
        <f>November!C6-October!C6</f>
        <v>12</v>
      </c>
      <c r="D6" s="11">
        <f>November!D6-October!D6</f>
        <v>6</v>
      </c>
      <c r="E6" s="11">
        <f>November!E6-October!E6</f>
        <v>37</v>
      </c>
      <c r="F6" s="10">
        <f t="shared" ref="F6:F69" si="0">SUM(B6:E6)</f>
        <v>169</v>
      </c>
    </row>
    <row r="7" spans="1:6" x14ac:dyDescent="0.25">
      <c r="A7" s="1" t="s">
        <v>4</v>
      </c>
      <c r="B7" s="11">
        <f>November!B7-October!B7</f>
        <v>218</v>
      </c>
      <c r="C7" s="11">
        <f>November!C7-October!C7</f>
        <v>11</v>
      </c>
      <c r="D7" s="11">
        <f>November!D7-October!D7</f>
        <v>19</v>
      </c>
      <c r="E7" s="11">
        <f>November!E7-October!E7</f>
        <v>147</v>
      </c>
      <c r="F7" s="10">
        <f t="shared" si="0"/>
        <v>395</v>
      </c>
    </row>
    <row r="8" spans="1:6" x14ac:dyDescent="0.25">
      <c r="A8" s="1" t="s">
        <v>5</v>
      </c>
      <c r="B8" s="11">
        <f>November!B8-October!B8</f>
        <v>53</v>
      </c>
      <c r="C8" s="11">
        <f>November!C8-October!C8</f>
        <v>-9</v>
      </c>
      <c r="D8" s="11">
        <f>November!D8-October!D8</f>
        <v>3</v>
      </c>
      <c r="E8" s="11">
        <f>November!E8-October!E8</f>
        <v>16</v>
      </c>
      <c r="F8" s="10">
        <f t="shared" si="0"/>
        <v>63</v>
      </c>
    </row>
    <row r="9" spans="1:6" x14ac:dyDescent="0.25">
      <c r="A9" s="1" t="s">
        <v>6</v>
      </c>
      <c r="B9" s="11">
        <f>November!B9-October!B9</f>
        <v>535</v>
      </c>
      <c r="C9" s="11">
        <f>November!C9-October!C9</f>
        <v>335</v>
      </c>
      <c r="D9" s="11">
        <f>November!D9-October!D9</f>
        <v>153</v>
      </c>
      <c r="E9" s="11">
        <f>November!E9-October!E9</f>
        <v>674</v>
      </c>
      <c r="F9" s="10">
        <f t="shared" si="0"/>
        <v>1697</v>
      </c>
    </row>
    <row r="10" spans="1:6" x14ac:dyDescent="0.25">
      <c r="A10" s="1" t="s">
        <v>7</v>
      </c>
      <c r="B10" s="11">
        <f>November!B10-October!B10</f>
        <v>561</v>
      </c>
      <c r="C10" s="11">
        <f>November!C10-October!C10</f>
        <v>1843</v>
      </c>
      <c r="D10" s="11">
        <f>November!D10-October!D10</f>
        <v>305</v>
      </c>
      <c r="E10" s="11">
        <f>November!E10-October!E10</f>
        <v>1607</v>
      </c>
      <c r="F10" s="10">
        <f t="shared" si="0"/>
        <v>4316</v>
      </c>
    </row>
    <row r="11" spans="1:6" x14ac:dyDescent="0.25">
      <c r="A11" s="1" t="s">
        <v>8</v>
      </c>
      <c r="B11" s="11">
        <f>November!B11-October!B11</f>
        <v>10</v>
      </c>
      <c r="C11" s="11">
        <f>November!C11-October!C11</f>
        <v>-24</v>
      </c>
      <c r="D11" s="11">
        <f>November!D11-October!D11</f>
        <v>-1</v>
      </c>
      <c r="E11" s="11">
        <f>November!E11-October!E11</f>
        <v>9</v>
      </c>
      <c r="F11" s="10">
        <f t="shared" si="0"/>
        <v>-6</v>
      </c>
    </row>
    <row r="12" spans="1:6" x14ac:dyDescent="0.25">
      <c r="A12" s="1" t="s">
        <v>9</v>
      </c>
      <c r="B12" s="11">
        <f>November!B12-October!B12</f>
        <v>260</v>
      </c>
      <c r="C12" s="11">
        <f>November!C12-October!C12</f>
        <v>109</v>
      </c>
      <c r="D12" s="11">
        <f>November!D12-October!D12</f>
        <v>48</v>
      </c>
      <c r="E12" s="11">
        <f>November!E12-October!E12</f>
        <v>205</v>
      </c>
      <c r="F12" s="10">
        <f t="shared" si="0"/>
        <v>622</v>
      </c>
    </row>
    <row r="13" spans="1:6" x14ac:dyDescent="0.25">
      <c r="A13" s="1" t="s">
        <v>10</v>
      </c>
      <c r="B13" s="11">
        <f>November!B13-October!B13</f>
        <v>231</v>
      </c>
      <c r="C13" s="11">
        <f>November!C13-October!C13</f>
        <v>25</v>
      </c>
      <c r="D13" s="11">
        <f>November!D13-October!D13</f>
        <v>37</v>
      </c>
      <c r="E13" s="11">
        <f>November!E13-October!E13</f>
        <v>118</v>
      </c>
      <c r="F13" s="10">
        <f t="shared" si="0"/>
        <v>411</v>
      </c>
    </row>
    <row r="14" spans="1:6" x14ac:dyDescent="0.25">
      <c r="A14" s="1" t="s">
        <v>11</v>
      </c>
      <c r="B14" s="11">
        <f>November!B14-October!B14</f>
        <v>-43</v>
      </c>
      <c r="C14" s="11">
        <f>November!C14-October!C14</f>
        <v>103</v>
      </c>
      <c r="D14" s="11">
        <f>November!D14-October!D14</f>
        <v>52</v>
      </c>
      <c r="E14" s="11">
        <f>November!E14-October!E14</f>
        <v>-38</v>
      </c>
      <c r="F14" s="10">
        <f t="shared" si="0"/>
        <v>74</v>
      </c>
    </row>
    <row r="15" spans="1:6" x14ac:dyDescent="0.25">
      <c r="A15" s="1" t="s">
        <v>12</v>
      </c>
      <c r="B15" s="11">
        <f>November!B15-October!B15</f>
        <v>745</v>
      </c>
      <c r="C15" s="11">
        <f>November!C15-October!C15</f>
        <v>443</v>
      </c>
      <c r="D15" s="11">
        <f>November!D15-October!D15</f>
        <v>64</v>
      </c>
      <c r="E15" s="11">
        <f>November!E15-October!E15</f>
        <v>610</v>
      </c>
      <c r="F15" s="10">
        <f t="shared" si="0"/>
        <v>1862</v>
      </c>
    </row>
    <row r="16" spans="1:6" x14ac:dyDescent="0.25">
      <c r="A16" s="1" t="s">
        <v>13</v>
      </c>
      <c r="B16" s="11">
        <f>November!B16-October!B16</f>
        <v>62</v>
      </c>
      <c r="C16" s="11">
        <f>November!C16-October!C16</f>
        <v>1</v>
      </c>
      <c r="D16" s="11">
        <f>November!D16-October!D16</f>
        <v>3</v>
      </c>
      <c r="E16" s="11">
        <f>November!E16-October!E16</f>
        <v>19</v>
      </c>
      <c r="F16" s="10">
        <f t="shared" si="0"/>
        <v>85</v>
      </c>
    </row>
    <row r="17" spans="1:6" x14ac:dyDescent="0.25">
      <c r="A17" s="1" t="s">
        <v>14</v>
      </c>
      <c r="B17" s="11">
        <f>November!B17-October!B17</f>
        <v>44</v>
      </c>
      <c r="C17" s="11">
        <f>November!C17-October!C17</f>
        <v>-8</v>
      </c>
      <c r="D17" s="11">
        <f>November!D17-October!D17</f>
        <v>1</v>
      </c>
      <c r="E17" s="11">
        <f>November!E17-October!E17</f>
        <v>9</v>
      </c>
      <c r="F17" s="10">
        <f t="shared" si="0"/>
        <v>46</v>
      </c>
    </row>
    <row r="18" spans="1:6" x14ac:dyDescent="0.25">
      <c r="A18" s="1" t="s">
        <v>15</v>
      </c>
      <c r="B18" s="11">
        <f>November!B18-October!B18</f>
        <v>28</v>
      </c>
      <c r="C18" s="11">
        <f>November!C18-October!C18</f>
        <v>-48</v>
      </c>
      <c r="D18" s="11">
        <f>November!D18-October!D18</f>
        <v>-1</v>
      </c>
      <c r="E18" s="11">
        <f>November!E18-October!E18</f>
        <v>14</v>
      </c>
      <c r="F18" s="10">
        <f t="shared" si="0"/>
        <v>-7</v>
      </c>
    </row>
    <row r="19" spans="1:6" x14ac:dyDescent="0.25">
      <c r="A19" s="1" t="s">
        <v>16</v>
      </c>
      <c r="B19" s="11">
        <f>November!B19-October!B19</f>
        <v>55</v>
      </c>
      <c r="C19" s="11">
        <f>November!C19-October!C19</f>
        <v>700</v>
      </c>
      <c r="D19" s="11">
        <f>November!D19-October!D19</f>
        <v>136</v>
      </c>
      <c r="E19" s="11">
        <f>November!E19-October!E19</f>
        <v>511</v>
      </c>
      <c r="F19" s="10">
        <f t="shared" si="0"/>
        <v>1402</v>
      </c>
    </row>
    <row r="20" spans="1:6" x14ac:dyDescent="0.25">
      <c r="A20" s="1" t="s">
        <v>17</v>
      </c>
      <c r="B20" s="11">
        <f>November!B20-October!B20</f>
        <v>250</v>
      </c>
      <c r="C20" s="11">
        <f>November!C20-October!C20</f>
        <v>156</v>
      </c>
      <c r="D20" s="11">
        <f>November!D20-October!D20</f>
        <v>56</v>
      </c>
      <c r="E20" s="11">
        <f>November!E20-October!E20</f>
        <v>264</v>
      </c>
      <c r="F20" s="10">
        <f t="shared" si="0"/>
        <v>726</v>
      </c>
    </row>
    <row r="21" spans="1:6" x14ac:dyDescent="0.25">
      <c r="A21" s="1" t="s">
        <v>18</v>
      </c>
      <c r="B21" s="11">
        <f>November!B21-October!B21</f>
        <v>78</v>
      </c>
      <c r="C21" s="11">
        <f>November!C21-October!C21</f>
        <v>56</v>
      </c>
      <c r="D21" s="11">
        <f>November!D21-October!D21</f>
        <v>19</v>
      </c>
      <c r="E21" s="11">
        <f>November!E21-October!E21</f>
        <v>94</v>
      </c>
      <c r="F21" s="10">
        <f t="shared" si="0"/>
        <v>247</v>
      </c>
    </row>
    <row r="22" spans="1:6" x14ac:dyDescent="0.25">
      <c r="A22" s="1" t="s">
        <v>19</v>
      </c>
      <c r="B22" s="11">
        <f>November!B22-October!B22</f>
        <v>6</v>
      </c>
      <c r="C22" s="11">
        <f>November!C22-October!C22</f>
        <v>9</v>
      </c>
      <c r="D22" s="11">
        <f>November!D22-October!D22</f>
        <v>2</v>
      </c>
      <c r="E22" s="11">
        <f>November!E22-October!E22</f>
        <v>-3</v>
      </c>
      <c r="F22" s="10">
        <f t="shared" si="0"/>
        <v>14</v>
      </c>
    </row>
    <row r="23" spans="1:6" x14ac:dyDescent="0.25">
      <c r="A23" s="1" t="s">
        <v>20</v>
      </c>
      <c r="B23" s="11">
        <f>November!B23-October!B23</f>
        <v>22</v>
      </c>
      <c r="C23" s="11">
        <f>November!C23-October!C23</f>
        <v>38</v>
      </c>
      <c r="D23" s="11">
        <f>November!D23-October!D23</f>
        <v>-1</v>
      </c>
      <c r="E23" s="11">
        <f>November!E23-October!E23</f>
        <v>20</v>
      </c>
      <c r="F23" s="10">
        <f t="shared" si="0"/>
        <v>79</v>
      </c>
    </row>
    <row r="24" spans="1:6" x14ac:dyDescent="0.25">
      <c r="A24" s="1" t="s">
        <v>21</v>
      </c>
      <c r="B24" s="11">
        <f>November!B24-October!B24</f>
        <v>36</v>
      </c>
      <c r="C24" s="11">
        <f>November!C24-October!C24</f>
        <v>-2</v>
      </c>
      <c r="D24" s="11">
        <f>November!D24-October!D24</f>
        <v>0</v>
      </c>
      <c r="E24" s="11">
        <f>November!E24-October!E24</f>
        <v>2</v>
      </c>
      <c r="F24" s="10">
        <f t="shared" si="0"/>
        <v>36</v>
      </c>
    </row>
    <row r="25" spans="1:6" x14ac:dyDescent="0.25">
      <c r="A25" s="1" t="s">
        <v>22</v>
      </c>
      <c r="B25" s="11">
        <f>November!B25-October!B25</f>
        <v>19</v>
      </c>
      <c r="C25" s="11">
        <f>November!C25-October!C25</f>
        <v>2</v>
      </c>
      <c r="D25" s="11">
        <f>November!D25-October!D25</f>
        <v>2</v>
      </c>
      <c r="E25" s="11">
        <f>November!E25-October!E25</f>
        <v>7</v>
      </c>
      <c r="F25" s="10">
        <f t="shared" si="0"/>
        <v>30</v>
      </c>
    </row>
    <row r="26" spans="1:6" x14ac:dyDescent="0.25">
      <c r="A26" s="1" t="s">
        <v>23</v>
      </c>
      <c r="B26" s="11">
        <f>November!B26-October!B26</f>
        <v>34</v>
      </c>
      <c r="C26" s="11">
        <f>November!C26-October!C26</f>
        <v>4</v>
      </c>
      <c r="D26" s="11">
        <f>November!D26-October!D26</f>
        <v>2</v>
      </c>
      <c r="E26" s="11">
        <f>November!E26-October!E26</f>
        <v>7</v>
      </c>
      <c r="F26" s="10">
        <f t="shared" si="0"/>
        <v>47</v>
      </c>
    </row>
    <row r="27" spans="1:6" x14ac:dyDescent="0.25">
      <c r="A27" s="1" t="s">
        <v>24</v>
      </c>
      <c r="B27" s="11">
        <f>November!B27-October!B27</f>
        <v>3</v>
      </c>
      <c r="C27" s="11">
        <f>November!C27-October!C27</f>
        <v>10</v>
      </c>
      <c r="D27" s="11">
        <f>November!D27-October!D27</f>
        <v>2</v>
      </c>
      <c r="E27" s="11">
        <f>November!E27-October!E27</f>
        <v>6</v>
      </c>
      <c r="F27" s="10">
        <f t="shared" si="0"/>
        <v>21</v>
      </c>
    </row>
    <row r="28" spans="1:6" x14ac:dyDescent="0.25">
      <c r="A28" s="1" t="s">
        <v>25</v>
      </c>
      <c r="B28" s="11">
        <f>November!B28-October!B28</f>
        <v>10</v>
      </c>
      <c r="C28" s="11">
        <f>November!C28-October!C28</f>
        <v>5</v>
      </c>
      <c r="D28" s="11">
        <f>November!D28-October!D28</f>
        <v>0</v>
      </c>
      <c r="E28" s="11">
        <f>November!E28-October!E28</f>
        <v>4</v>
      </c>
      <c r="F28" s="10">
        <f t="shared" si="0"/>
        <v>19</v>
      </c>
    </row>
    <row r="29" spans="1:6" x14ac:dyDescent="0.25">
      <c r="A29" s="1" t="s">
        <v>26</v>
      </c>
      <c r="B29" s="11">
        <f>November!B29-October!B29</f>
        <v>43</v>
      </c>
      <c r="C29" s="11">
        <f>November!C29-October!C29</f>
        <v>22</v>
      </c>
      <c r="D29" s="11">
        <f>November!D29-October!D29</f>
        <v>3</v>
      </c>
      <c r="E29" s="11">
        <f>November!E29-October!E29</f>
        <v>21</v>
      </c>
      <c r="F29" s="10">
        <f t="shared" si="0"/>
        <v>89</v>
      </c>
    </row>
    <row r="30" spans="1:6" x14ac:dyDescent="0.25">
      <c r="A30" s="1" t="s">
        <v>27</v>
      </c>
      <c r="B30" s="11">
        <f>November!B30-October!B30</f>
        <v>327</v>
      </c>
      <c r="C30" s="11">
        <f>November!C30-October!C30</f>
        <v>113</v>
      </c>
      <c r="D30" s="11">
        <f>November!D30-October!D30</f>
        <v>47</v>
      </c>
      <c r="E30" s="11">
        <f>November!E30-October!E30</f>
        <v>178</v>
      </c>
      <c r="F30" s="10">
        <f t="shared" si="0"/>
        <v>665</v>
      </c>
    </row>
    <row r="31" spans="1:6" x14ac:dyDescent="0.25">
      <c r="A31" s="1" t="s">
        <v>28</v>
      </c>
      <c r="B31" s="11">
        <f>November!B31-October!B31</f>
        <v>106</v>
      </c>
      <c r="C31" s="11">
        <f>November!C31-October!C31</f>
        <v>56</v>
      </c>
      <c r="D31" s="11">
        <f>November!D31-October!D31</f>
        <v>16</v>
      </c>
      <c r="E31" s="11">
        <f>November!E31-October!E31</f>
        <v>125</v>
      </c>
      <c r="F31" s="10">
        <f t="shared" si="0"/>
        <v>303</v>
      </c>
    </row>
    <row r="32" spans="1:6" x14ac:dyDescent="0.25">
      <c r="A32" s="1" t="s">
        <v>29</v>
      </c>
      <c r="B32" s="11">
        <f>November!B32-October!B32</f>
        <v>912</v>
      </c>
      <c r="C32" s="11">
        <f>November!C32-October!C32</f>
        <v>1600</v>
      </c>
      <c r="D32" s="11">
        <f>November!D32-October!D32</f>
        <v>250</v>
      </c>
      <c r="E32" s="11">
        <f>November!E32-October!E32</f>
        <v>1697</v>
      </c>
      <c r="F32" s="10">
        <f t="shared" si="0"/>
        <v>4459</v>
      </c>
    </row>
    <row r="33" spans="1:6" x14ac:dyDescent="0.25">
      <c r="A33" s="1" t="s">
        <v>30</v>
      </c>
      <c r="B33" s="11">
        <f>November!B33-October!B33</f>
        <v>19</v>
      </c>
      <c r="C33" s="11">
        <f>November!C33-October!C33</f>
        <v>-12</v>
      </c>
      <c r="D33" s="11">
        <f>November!D33-October!D33</f>
        <v>3</v>
      </c>
      <c r="E33" s="11">
        <f>November!E33-October!E33</f>
        <v>14</v>
      </c>
      <c r="F33" s="10">
        <f t="shared" si="0"/>
        <v>24</v>
      </c>
    </row>
    <row r="34" spans="1:6" x14ac:dyDescent="0.25">
      <c r="A34" s="1" t="s">
        <v>31</v>
      </c>
      <c r="B34" s="11">
        <f>November!B34-October!B34</f>
        <v>152</v>
      </c>
      <c r="C34" s="11">
        <f>November!C34-October!C34</f>
        <v>137</v>
      </c>
      <c r="D34" s="11">
        <f>November!D34-October!D34</f>
        <v>33</v>
      </c>
      <c r="E34" s="11">
        <f>November!E34-October!E34</f>
        <v>165</v>
      </c>
      <c r="F34" s="10">
        <f t="shared" si="0"/>
        <v>487</v>
      </c>
    </row>
    <row r="35" spans="1:6" x14ac:dyDescent="0.25">
      <c r="A35" s="1" t="s">
        <v>32</v>
      </c>
      <c r="B35" s="11">
        <f>November!B35-October!B35</f>
        <v>52</v>
      </c>
      <c r="C35" s="11">
        <f>November!C35-October!C35</f>
        <v>2</v>
      </c>
      <c r="D35" s="11">
        <f>November!D35-October!D35</f>
        <v>2</v>
      </c>
      <c r="E35" s="11">
        <f>November!E35-October!E35</f>
        <v>21</v>
      </c>
      <c r="F35" s="10">
        <f t="shared" si="0"/>
        <v>77</v>
      </c>
    </row>
    <row r="36" spans="1:6" x14ac:dyDescent="0.25">
      <c r="A36" s="1" t="s">
        <v>33</v>
      </c>
      <c r="B36" s="11">
        <f>November!B36-October!B36</f>
        <v>17</v>
      </c>
      <c r="C36" s="11">
        <f>November!C36-October!C36</f>
        <v>-9</v>
      </c>
      <c r="D36" s="11">
        <f>November!D36-October!D36</f>
        <v>1</v>
      </c>
      <c r="E36" s="11">
        <f>November!E36-October!E36</f>
        <v>9</v>
      </c>
      <c r="F36" s="10">
        <f t="shared" si="0"/>
        <v>18</v>
      </c>
    </row>
    <row r="37" spans="1:6" x14ac:dyDescent="0.25">
      <c r="A37" s="1" t="s">
        <v>34</v>
      </c>
      <c r="B37" s="11">
        <f>November!B37-October!B37</f>
        <v>11</v>
      </c>
      <c r="C37" s="11">
        <f>November!C37-October!C37</f>
        <v>-4</v>
      </c>
      <c r="D37" s="11">
        <f>November!D37-October!D37</f>
        <v>1</v>
      </c>
      <c r="E37" s="11">
        <f>November!E37-October!E37</f>
        <v>2</v>
      </c>
      <c r="F37" s="10">
        <f t="shared" si="0"/>
        <v>10</v>
      </c>
    </row>
    <row r="38" spans="1:6" x14ac:dyDescent="0.25">
      <c r="A38" s="1" t="s">
        <v>35</v>
      </c>
      <c r="B38" s="11">
        <f>November!B38-October!B38</f>
        <v>239</v>
      </c>
      <c r="C38" s="11">
        <f>November!C38-October!C38</f>
        <v>121</v>
      </c>
      <c r="D38" s="11">
        <f>November!D38-October!D38</f>
        <v>42</v>
      </c>
      <c r="E38" s="11">
        <f>November!E38-October!E38</f>
        <v>349</v>
      </c>
      <c r="F38" s="10">
        <f t="shared" si="0"/>
        <v>751</v>
      </c>
    </row>
    <row r="39" spans="1:6" x14ac:dyDescent="0.25">
      <c r="A39" s="1" t="s">
        <v>36</v>
      </c>
      <c r="B39" s="11">
        <f>November!B39-October!B39</f>
        <v>996</v>
      </c>
      <c r="C39" s="11">
        <f>November!C39-October!C39</f>
        <v>556</v>
      </c>
      <c r="D39" s="11">
        <f>November!D39-October!D39</f>
        <v>113</v>
      </c>
      <c r="E39" s="11">
        <f>November!E39-October!E39</f>
        <v>1083</v>
      </c>
      <c r="F39" s="10">
        <f t="shared" si="0"/>
        <v>2748</v>
      </c>
    </row>
    <row r="40" spans="1:6" x14ac:dyDescent="0.25">
      <c r="A40" s="1" t="s">
        <v>37</v>
      </c>
      <c r="B40" s="11">
        <f>November!B40-October!B40</f>
        <v>-270</v>
      </c>
      <c r="C40" s="11">
        <f>November!C40-October!C40</f>
        <v>-581</v>
      </c>
      <c r="D40" s="11">
        <f>November!D40-October!D40</f>
        <v>38</v>
      </c>
      <c r="E40" s="11">
        <f>November!E40-October!E40</f>
        <v>-181</v>
      </c>
      <c r="F40" s="10">
        <f t="shared" si="0"/>
        <v>-994</v>
      </c>
    </row>
    <row r="41" spans="1:6" x14ac:dyDescent="0.25">
      <c r="A41" s="1" t="s">
        <v>38</v>
      </c>
      <c r="B41" s="11">
        <f>November!B41-October!B41</f>
        <v>-13</v>
      </c>
      <c r="C41" s="11">
        <f>November!C41-October!C41</f>
        <v>-39</v>
      </c>
      <c r="D41" s="11">
        <f>November!D41-October!D41</f>
        <v>1</v>
      </c>
      <c r="E41" s="11">
        <f>November!E41-October!E41</f>
        <v>-5</v>
      </c>
      <c r="F41" s="10">
        <f t="shared" si="0"/>
        <v>-56</v>
      </c>
    </row>
    <row r="42" spans="1:6" x14ac:dyDescent="0.25">
      <c r="A42" s="1" t="s">
        <v>39</v>
      </c>
      <c r="B42" s="11">
        <f>November!B42-October!B42</f>
        <v>12</v>
      </c>
      <c r="C42" s="11">
        <f>November!C42-October!C42</f>
        <v>-12</v>
      </c>
      <c r="D42" s="11">
        <f>November!D42-October!D42</f>
        <v>0</v>
      </c>
      <c r="E42" s="11">
        <f>November!E42-October!E42</f>
        <v>0</v>
      </c>
      <c r="F42" s="10">
        <f t="shared" si="0"/>
        <v>0</v>
      </c>
    </row>
    <row r="43" spans="1:6" x14ac:dyDescent="0.25">
      <c r="A43" s="1" t="s">
        <v>40</v>
      </c>
      <c r="B43" s="11">
        <f>November!B43-October!B43</f>
        <v>22</v>
      </c>
      <c r="C43" s="11">
        <f>November!C43-October!C43</f>
        <v>18</v>
      </c>
      <c r="D43" s="11">
        <f>November!D43-October!D43</f>
        <v>1</v>
      </c>
      <c r="E43" s="11">
        <f>November!E43-October!E43</f>
        <v>11</v>
      </c>
      <c r="F43" s="10">
        <f t="shared" si="0"/>
        <v>52</v>
      </c>
    </row>
    <row r="44" spans="1:6" x14ac:dyDescent="0.25">
      <c r="A44" s="1" t="s">
        <v>41</v>
      </c>
      <c r="B44" s="11">
        <f>November!B44-October!B44</f>
        <v>364</v>
      </c>
      <c r="C44" s="11">
        <f>November!C44-October!C44</f>
        <v>172</v>
      </c>
      <c r="D44" s="11">
        <f>November!D44-October!D44</f>
        <v>75</v>
      </c>
      <c r="E44" s="11">
        <f>November!E44-October!E44</f>
        <v>404</v>
      </c>
      <c r="F44" s="10">
        <f t="shared" si="0"/>
        <v>1015</v>
      </c>
    </row>
    <row r="45" spans="1:6" x14ac:dyDescent="0.25">
      <c r="A45" s="1" t="s">
        <v>42</v>
      </c>
      <c r="B45" s="11">
        <f>November!B45-October!B45</f>
        <v>516</v>
      </c>
      <c r="C45" s="11">
        <f>November!C45-October!C45</f>
        <v>263</v>
      </c>
      <c r="D45" s="11">
        <f>November!D45-October!D45</f>
        <v>65</v>
      </c>
      <c r="E45" s="11">
        <f>November!E45-October!E45</f>
        <v>339</v>
      </c>
      <c r="F45" s="10">
        <f t="shared" si="0"/>
        <v>1183</v>
      </c>
    </row>
    <row r="46" spans="1:6" x14ac:dyDescent="0.25">
      <c r="A46" s="1" t="s">
        <v>43</v>
      </c>
      <c r="B46" s="11">
        <f>November!B46-October!B46</f>
        <v>94</v>
      </c>
      <c r="C46" s="11">
        <f>November!C46-October!C46</f>
        <v>31</v>
      </c>
      <c r="D46" s="11">
        <f>November!D46-October!D46</f>
        <v>35</v>
      </c>
      <c r="E46" s="11">
        <f>November!E46-October!E46</f>
        <v>108</v>
      </c>
      <c r="F46" s="10">
        <f t="shared" si="0"/>
        <v>268</v>
      </c>
    </row>
    <row r="47" spans="1:6" x14ac:dyDescent="0.25">
      <c r="A47" s="1" t="s">
        <v>44</v>
      </c>
      <c r="B47" s="11">
        <f>November!B47-October!B47</f>
        <v>1006</v>
      </c>
      <c r="C47" s="11">
        <f>November!C47-October!C47</f>
        <v>2073</v>
      </c>
      <c r="D47" s="11">
        <f>November!D47-October!D47</f>
        <v>366</v>
      </c>
      <c r="E47" s="11">
        <f>November!E47-October!E47</f>
        <v>2154</v>
      </c>
      <c r="F47" s="10">
        <f t="shared" si="0"/>
        <v>5599</v>
      </c>
    </row>
    <row r="48" spans="1:6" x14ac:dyDescent="0.25">
      <c r="A48" s="1" t="s">
        <v>45</v>
      </c>
      <c r="B48" s="11">
        <f>November!B48-October!B48</f>
        <v>4</v>
      </c>
      <c r="C48" s="11">
        <f>November!C48-October!C48</f>
        <v>-24</v>
      </c>
      <c r="D48" s="11">
        <f>November!D48-October!D48</f>
        <v>12</v>
      </c>
      <c r="E48" s="11">
        <f>November!E48-October!E48</f>
        <v>-37</v>
      </c>
      <c r="F48" s="10">
        <f t="shared" si="0"/>
        <v>-45</v>
      </c>
    </row>
    <row r="49" spans="1:6" x14ac:dyDescent="0.25">
      <c r="A49" s="1" t="s">
        <v>46</v>
      </c>
      <c r="B49" s="11">
        <f>November!B49-October!B49</f>
        <v>237</v>
      </c>
      <c r="C49" s="11">
        <f>November!C49-October!C49</f>
        <v>37</v>
      </c>
      <c r="D49" s="11">
        <f>November!D49-October!D49</f>
        <v>37</v>
      </c>
      <c r="E49" s="11">
        <f>November!E49-October!E49</f>
        <v>95</v>
      </c>
      <c r="F49" s="10">
        <f t="shared" si="0"/>
        <v>406</v>
      </c>
    </row>
    <row r="50" spans="1:6" x14ac:dyDescent="0.25">
      <c r="A50" s="1" t="s">
        <v>47</v>
      </c>
      <c r="B50" s="11">
        <f>November!B50-October!B50</f>
        <v>249</v>
      </c>
      <c r="C50" s="11">
        <f>November!C50-October!C50</f>
        <v>66</v>
      </c>
      <c r="D50" s="11">
        <f>November!D50-October!D50</f>
        <v>47</v>
      </c>
      <c r="E50" s="11">
        <f>November!E50-October!E50</f>
        <v>67</v>
      </c>
      <c r="F50" s="10">
        <f t="shared" si="0"/>
        <v>429</v>
      </c>
    </row>
    <row r="51" spans="1:6" x14ac:dyDescent="0.25">
      <c r="A51" s="1" t="s">
        <v>48</v>
      </c>
      <c r="B51" s="11">
        <f>November!B51-October!B51</f>
        <v>45</v>
      </c>
      <c r="C51" s="11">
        <f>November!C51-October!C51</f>
        <v>-20</v>
      </c>
      <c r="D51" s="11">
        <f>November!D51-October!D51</f>
        <v>8</v>
      </c>
      <c r="E51" s="11">
        <f>November!E51-October!E51</f>
        <v>10</v>
      </c>
      <c r="F51" s="10">
        <f t="shared" si="0"/>
        <v>43</v>
      </c>
    </row>
    <row r="52" spans="1:6" x14ac:dyDescent="0.25">
      <c r="A52" s="1" t="s">
        <v>49</v>
      </c>
      <c r="B52" s="11">
        <f>November!B52-October!B52</f>
        <v>655</v>
      </c>
      <c r="C52" s="11">
        <f>November!C52-October!C52</f>
        <v>1672</v>
      </c>
      <c r="D52" s="11">
        <f>November!D52-October!D52</f>
        <v>230</v>
      </c>
      <c r="E52" s="11">
        <f>November!E52-October!E52</f>
        <v>1795</v>
      </c>
      <c r="F52" s="10">
        <f t="shared" si="0"/>
        <v>4352</v>
      </c>
    </row>
    <row r="53" spans="1:6" x14ac:dyDescent="0.25">
      <c r="A53" s="1" t="s">
        <v>50</v>
      </c>
      <c r="B53" s="11">
        <f>November!B53-October!B53</f>
        <v>-587</v>
      </c>
      <c r="C53" s="11">
        <f>November!C53-October!C53</f>
        <v>-1690</v>
      </c>
      <c r="D53" s="11">
        <f>November!D53-October!D53</f>
        <v>38</v>
      </c>
      <c r="E53" s="11">
        <f>November!E53-October!E53</f>
        <v>-1965</v>
      </c>
      <c r="F53" s="10">
        <f t="shared" si="0"/>
        <v>-4204</v>
      </c>
    </row>
    <row r="54" spans="1:6" x14ac:dyDescent="0.25">
      <c r="A54" s="1" t="s">
        <v>51</v>
      </c>
      <c r="B54" s="11">
        <f>November!B54-October!B54</f>
        <v>951</v>
      </c>
      <c r="C54" s="11">
        <f>November!C54-October!C54</f>
        <v>1118</v>
      </c>
      <c r="D54" s="11">
        <f>November!D54-October!D54</f>
        <v>381</v>
      </c>
      <c r="E54" s="11">
        <f>November!E54-October!E54</f>
        <v>1514</v>
      </c>
      <c r="F54" s="10">
        <f t="shared" si="0"/>
        <v>3964</v>
      </c>
    </row>
    <row r="55" spans="1:6" x14ac:dyDescent="0.25">
      <c r="A55" s="1" t="s">
        <v>52</v>
      </c>
      <c r="B55" s="11">
        <f>November!B55-October!B55</f>
        <v>628</v>
      </c>
      <c r="C55" s="11">
        <f>November!C55-October!C55</f>
        <v>303</v>
      </c>
      <c r="D55" s="11">
        <f>November!D55-October!D55</f>
        <v>119</v>
      </c>
      <c r="E55" s="11">
        <f>November!E55-October!E55</f>
        <v>485</v>
      </c>
      <c r="F55" s="10">
        <f t="shared" si="0"/>
        <v>1535</v>
      </c>
    </row>
    <row r="56" spans="1:6" x14ac:dyDescent="0.25">
      <c r="A56" s="1" t="s">
        <v>53</v>
      </c>
      <c r="B56" s="11">
        <f>November!B56-October!B56</f>
        <v>101</v>
      </c>
      <c r="C56" s="11">
        <f>November!C56-October!C56</f>
        <v>124</v>
      </c>
      <c r="D56" s="11">
        <f>November!D56-October!D56</f>
        <v>168</v>
      </c>
      <c r="E56" s="11">
        <f>November!E56-October!E56</f>
        <v>548</v>
      </c>
      <c r="F56" s="10">
        <f t="shared" si="0"/>
        <v>941</v>
      </c>
    </row>
    <row r="57" spans="1:6" x14ac:dyDescent="0.25">
      <c r="A57" s="1" t="s">
        <v>54</v>
      </c>
      <c r="B57" s="11">
        <f>November!B57-October!B57</f>
        <v>563</v>
      </c>
      <c r="C57" s="11">
        <f>November!C57-October!C57</f>
        <v>586</v>
      </c>
      <c r="D57" s="11">
        <f>November!D57-October!D57</f>
        <v>89</v>
      </c>
      <c r="E57" s="11">
        <f>November!E57-October!E57</f>
        <v>638</v>
      </c>
      <c r="F57" s="10">
        <f t="shared" si="0"/>
        <v>1876</v>
      </c>
    </row>
    <row r="58" spans="1:6" x14ac:dyDescent="0.25">
      <c r="A58" s="1" t="s">
        <v>55</v>
      </c>
      <c r="B58" s="11">
        <f>November!B58-October!B58</f>
        <v>111</v>
      </c>
      <c r="C58" s="11">
        <f>November!C58-October!C58</f>
        <v>7</v>
      </c>
      <c r="D58" s="11">
        <f>November!D58-October!D58</f>
        <v>13</v>
      </c>
      <c r="E58" s="11">
        <f>November!E58-October!E58</f>
        <v>64</v>
      </c>
      <c r="F58" s="10">
        <f t="shared" si="0"/>
        <v>195</v>
      </c>
    </row>
    <row r="59" spans="1:6" x14ac:dyDescent="0.25">
      <c r="A59" s="1" t="s">
        <v>56</v>
      </c>
      <c r="B59" s="11">
        <f>November!B59-October!B59</f>
        <v>377</v>
      </c>
      <c r="C59" s="11">
        <f>November!C59-October!C59</f>
        <v>91</v>
      </c>
      <c r="D59" s="11">
        <f>November!D59-October!D59</f>
        <v>61</v>
      </c>
      <c r="E59" s="11">
        <f>November!E59-October!E59</f>
        <v>165</v>
      </c>
      <c r="F59" s="10">
        <f t="shared" si="0"/>
        <v>694</v>
      </c>
    </row>
    <row r="60" spans="1:6" x14ac:dyDescent="0.25">
      <c r="A60" s="1" t="s">
        <v>57</v>
      </c>
      <c r="B60" s="11">
        <f>November!B60-October!B60</f>
        <v>577</v>
      </c>
      <c r="C60" s="11">
        <f>November!C60-October!C60</f>
        <v>356</v>
      </c>
      <c r="D60" s="11">
        <f>November!D60-October!D60</f>
        <v>71</v>
      </c>
      <c r="E60" s="11">
        <f>November!E60-October!E60</f>
        <v>512</v>
      </c>
      <c r="F60" s="10">
        <f t="shared" si="0"/>
        <v>1516</v>
      </c>
    </row>
    <row r="61" spans="1:6" x14ac:dyDescent="0.25">
      <c r="A61" s="1" t="s">
        <v>58</v>
      </c>
      <c r="B61" s="11">
        <f>November!B61-October!B61</f>
        <v>15</v>
      </c>
      <c r="C61" s="11">
        <f>November!C61-October!C61</f>
        <v>107</v>
      </c>
      <c r="D61" s="11">
        <f>November!D61-October!D61</f>
        <v>99</v>
      </c>
      <c r="E61" s="11">
        <f>November!E61-October!E61</f>
        <v>340</v>
      </c>
      <c r="F61" s="10">
        <f t="shared" si="0"/>
        <v>561</v>
      </c>
    </row>
    <row r="62" spans="1:6" x14ac:dyDescent="0.25">
      <c r="A62" s="1" t="s">
        <v>59</v>
      </c>
      <c r="B62" s="11">
        <f>November!B62-October!B62</f>
        <v>720</v>
      </c>
      <c r="C62" s="11">
        <f>November!C62-October!C62</f>
        <v>249</v>
      </c>
      <c r="D62" s="11">
        <f>November!D62-October!D62</f>
        <v>59</v>
      </c>
      <c r="E62" s="11">
        <f>November!E62-October!E62</f>
        <v>440</v>
      </c>
      <c r="F62" s="10">
        <f t="shared" si="0"/>
        <v>1468</v>
      </c>
    </row>
    <row r="63" spans="1:6" x14ac:dyDescent="0.25">
      <c r="A63" s="1" t="s">
        <v>60</v>
      </c>
      <c r="B63" s="11">
        <f>November!B63-October!B63</f>
        <v>166</v>
      </c>
      <c r="C63" s="11">
        <f>November!C63-October!C63</f>
        <v>103</v>
      </c>
      <c r="D63" s="11">
        <f>November!D63-October!D63</f>
        <v>61</v>
      </c>
      <c r="E63" s="11">
        <f>November!E63-October!E63</f>
        <v>290</v>
      </c>
      <c r="F63" s="10">
        <f t="shared" si="0"/>
        <v>620</v>
      </c>
    </row>
    <row r="64" spans="1:6" x14ac:dyDescent="0.25">
      <c r="A64" s="1" t="s">
        <v>61</v>
      </c>
      <c r="B64" s="11">
        <f>November!B64-October!B64</f>
        <v>378</v>
      </c>
      <c r="C64" s="11">
        <f>November!C64-October!C64</f>
        <v>83</v>
      </c>
      <c r="D64" s="11">
        <f>November!D64-October!D64</f>
        <v>15</v>
      </c>
      <c r="E64" s="11">
        <f>November!E64-October!E64</f>
        <v>140</v>
      </c>
      <c r="F64" s="10">
        <f t="shared" si="0"/>
        <v>616</v>
      </c>
    </row>
    <row r="65" spans="1:6" x14ac:dyDescent="0.25">
      <c r="A65" s="1" t="s">
        <v>62</v>
      </c>
      <c r="B65" s="11">
        <f>November!B65-October!B65</f>
        <v>79</v>
      </c>
      <c r="C65" s="11">
        <f>November!C65-October!C65</f>
        <v>-49</v>
      </c>
      <c r="D65" s="11">
        <f>November!D65-October!D65</f>
        <v>5</v>
      </c>
      <c r="E65" s="11">
        <f>November!E65-October!E65</f>
        <v>15</v>
      </c>
      <c r="F65" s="10">
        <f t="shared" si="0"/>
        <v>50</v>
      </c>
    </row>
    <row r="66" spans="1:6" x14ac:dyDescent="0.25">
      <c r="A66" s="1" t="s">
        <v>63</v>
      </c>
      <c r="B66" s="11">
        <f>November!B66-October!B66</f>
        <v>63</v>
      </c>
      <c r="C66" s="11">
        <f>November!C66-October!C66</f>
        <v>18</v>
      </c>
      <c r="D66" s="11">
        <f>November!D66-October!D66</f>
        <v>5</v>
      </c>
      <c r="E66" s="11">
        <f>November!E66-October!E66</f>
        <v>14</v>
      </c>
      <c r="F66" s="10">
        <f t="shared" si="0"/>
        <v>100</v>
      </c>
    </row>
    <row r="67" spans="1:6" x14ac:dyDescent="0.25">
      <c r="A67" s="1" t="s">
        <v>64</v>
      </c>
      <c r="B67" s="11">
        <f>November!B67-October!B67</f>
        <v>29</v>
      </c>
      <c r="C67" s="11">
        <f>November!C67-October!C67</f>
        <v>-4</v>
      </c>
      <c r="D67" s="11">
        <f>November!D67-October!D67</f>
        <v>1</v>
      </c>
      <c r="E67" s="11">
        <f>November!E67-October!E67</f>
        <v>6</v>
      </c>
      <c r="F67" s="10">
        <f t="shared" si="0"/>
        <v>32</v>
      </c>
    </row>
    <row r="68" spans="1:6" x14ac:dyDescent="0.25">
      <c r="A68" s="1" t="s">
        <v>65</v>
      </c>
      <c r="B68" s="11">
        <f>November!B68-October!B68</f>
        <v>422</v>
      </c>
      <c r="C68" s="11">
        <f>November!C68-October!C68</f>
        <v>196</v>
      </c>
      <c r="D68" s="11">
        <f>November!D68-October!D68</f>
        <v>101</v>
      </c>
      <c r="E68" s="11">
        <f>November!E68-October!E68</f>
        <v>434</v>
      </c>
      <c r="F68" s="10">
        <f t="shared" si="0"/>
        <v>1153</v>
      </c>
    </row>
    <row r="69" spans="1:6" x14ac:dyDescent="0.25">
      <c r="A69" s="1" t="s">
        <v>66</v>
      </c>
      <c r="B69" s="11">
        <f>November!B69-October!B69</f>
        <v>35</v>
      </c>
      <c r="C69" s="11">
        <f>November!C69-October!C69</f>
        <v>-18</v>
      </c>
      <c r="D69" s="11">
        <f>November!D69-October!D69</f>
        <v>8</v>
      </c>
      <c r="E69" s="11">
        <f>November!E69-October!E69</f>
        <v>14</v>
      </c>
      <c r="F69" s="10">
        <f t="shared" si="0"/>
        <v>39</v>
      </c>
    </row>
    <row r="70" spans="1:6" x14ac:dyDescent="0.25">
      <c r="A70" s="1" t="s">
        <v>67</v>
      </c>
      <c r="B70" s="11">
        <f>November!B70-October!B70</f>
        <v>136</v>
      </c>
      <c r="C70" s="11">
        <f>November!C70-October!C70</f>
        <v>4</v>
      </c>
      <c r="D70" s="11">
        <f>November!D70-October!D70</f>
        <v>14</v>
      </c>
      <c r="E70" s="11">
        <f>November!E70-October!E70</f>
        <v>23</v>
      </c>
      <c r="F70" s="10">
        <f t="shared" ref="F70:F71" si="1">SUM(B70:E70)</f>
        <v>177</v>
      </c>
    </row>
    <row r="71" spans="1:6" ht="15.75" thickBot="1" x14ac:dyDescent="0.3">
      <c r="A71" s="1" t="s">
        <v>68</v>
      </c>
      <c r="B71" s="11">
        <f>November!B71-October!B71</f>
        <v>38</v>
      </c>
      <c r="C71" s="11">
        <f>November!C71-October!C71</f>
        <v>-14</v>
      </c>
      <c r="D71" s="11">
        <f>November!D71-October!D71</f>
        <v>1</v>
      </c>
      <c r="E71" s="11">
        <f>November!E71-October!E71</f>
        <v>19</v>
      </c>
      <c r="F71" s="10">
        <f t="shared" si="1"/>
        <v>44</v>
      </c>
    </row>
    <row r="72" spans="1:6" ht="16.5" thickTop="1" thickBot="1" x14ac:dyDescent="0.3">
      <c r="A72" s="3" t="s">
        <v>1</v>
      </c>
      <c r="B72" s="8">
        <f>SUM(B5:B71)</f>
        <v>14011</v>
      </c>
      <c r="C72" s="8">
        <f>SUM(C5:C71)</f>
        <v>11837</v>
      </c>
      <c r="D72" s="8">
        <f>SUM(D5:D71)</f>
        <v>3669</v>
      </c>
      <c r="E72" s="8">
        <f>SUM(E5:E71)</f>
        <v>16589</v>
      </c>
      <c r="F72" s="8">
        <f>SUM(F5:F71)</f>
        <v>46106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zoomScaleNormal="100" workbookViewId="0">
      <selection activeCell="C8" sqref="C8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x14ac:dyDescent="0.3">
      <c r="A1" s="14" t="s">
        <v>97</v>
      </c>
      <c r="B1" s="15"/>
      <c r="C1" s="15"/>
      <c r="D1" s="15"/>
      <c r="E1" s="15"/>
      <c r="F1" s="16"/>
    </row>
    <row r="2" spans="1:6" x14ac:dyDescent="0.25">
      <c r="A2" s="17" t="s">
        <v>120</v>
      </c>
      <c r="B2" s="18"/>
      <c r="C2" s="18"/>
      <c r="D2" s="18"/>
      <c r="E2" s="18"/>
      <c r="F2" s="19"/>
    </row>
    <row r="3" spans="1:6" x14ac:dyDescent="0.25">
      <c r="A3" s="20" t="s">
        <v>73</v>
      </c>
      <c r="B3" s="21"/>
      <c r="C3" s="21"/>
      <c r="D3" s="21"/>
      <c r="E3" s="21"/>
      <c r="F3" s="22"/>
    </row>
    <row r="4" spans="1:6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11">
        <f>December!B5-November!B5</f>
        <v>-46</v>
      </c>
      <c r="C5" s="11">
        <f>December!C5-November!C5</f>
        <v>-18</v>
      </c>
      <c r="D5" s="11">
        <f>December!D5-November!D5</f>
        <v>13</v>
      </c>
      <c r="E5" s="11">
        <f>December!E5-November!E5</f>
        <v>44</v>
      </c>
      <c r="F5" s="11">
        <f>SUM(B5:E5)</f>
        <v>-7</v>
      </c>
    </row>
    <row r="6" spans="1:6" x14ac:dyDescent="0.25">
      <c r="A6" s="1" t="s">
        <v>3</v>
      </c>
      <c r="B6" s="11">
        <f>December!B6-November!B6</f>
        <v>13</v>
      </c>
      <c r="C6" s="11">
        <f>December!C6-November!C6</f>
        <v>-7</v>
      </c>
      <c r="D6" s="11">
        <f>December!D6-November!D6</f>
        <v>1</v>
      </c>
      <c r="E6" s="11">
        <f>December!E6-November!E6</f>
        <v>17</v>
      </c>
      <c r="F6" s="11">
        <f t="shared" ref="F6:F69" si="0">SUM(B6:E6)</f>
        <v>24</v>
      </c>
    </row>
    <row r="7" spans="1:6" x14ac:dyDescent="0.25">
      <c r="A7" s="1" t="s">
        <v>4</v>
      </c>
      <c r="B7" s="11">
        <f>December!B7-November!B7</f>
        <v>-429</v>
      </c>
      <c r="C7" s="11">
        <f>December!C7-November!C7</f>
        <v>-354</v>
      </c>
      <c r="D7" s="11">
        <f>December!D7-November!D7</f>
        <v>5</v>
      </c>
      <c r="E7" s="11">
        <f>December!E7-November!E7</f>
        <v>-223</v>
      </c>
      <c r="F7" s="11">
        <f t="shared" si="0"/>
        <v>-1001</v>
      </c>
    </row>
    <row r="8" spans="1:6" x14ac:dyDescent="0.25">
      <c r="A8" s="1" t="s">
        <v>5</v>
      </c>
      <c r="B8" s="11">
        <f>December!B8-November!B8</f>
        <v>17</v>
      </c>
      <c r="C8" s="11">
        <f>December!C8-November!C8</f>
        <v>1</v>
      </c>
      <c r="D8" s="11">
        <f>December!D8-November!D8</f>
        <v>4</v>
      </c>
      <c r="E8" s="11">
        <f>December!E8-November!E8</f>
        <v>15</v>
      </c>
      <c r="F8" s="11">
        <f t="shared" si="0"/>
        <v>37</v>
      </c>
    </row>
    <row r="9" spans="1:6" x14ac:dyDescent="0.25">
      <c r="A9" s="1" t="s">
        <v>6</v>
      </c>
      <c r="B9" s="11">
        <f>December!B9-November!B9</f>
        <v>393</v>
      </c>
      <c r="C9" s="11">
        <f>December!C9-November!C9</f>
        <v>104</v>
      </c>
      <c r="D9" s="11">
        <f>December!D9-November!D9</f>
        <v>148</v>
      </c>
      <c r="E9" s="11">
        <f>December!E9-November!E9</f>
        <v>392</v>
      </c>
      <c r="F9" s="11">
        <f t="shared" si="0"/>
        <v>1037</v>
      </c>
    </row>
    <row r="10" spans="1:6" x14ac:dyDescent="0.25">
      <c r="A10" s="1" t="s">
        <v>7</v>
      </c>
      <c r="B10" s="11">
        <f>December!B10-November!B10</f>
        <v>166</v>
      </c>
      <c r="C10" s="11">
        <f>December!C10-November!C10</f>
        <v>954</v>
      </c>
      <c r="D10" s="11">
        <f>December!D10-November!D10</f>
        <v>223</v>
      </c>
      <c r="E10" s="11">
        <f>December!E10-November!E10</f>
        <v>1234</v>
      </c>
      <c r="F10" s="11">
        <f t="shared" si="0"/>
        <v>2577</v>
      </c>
    </row>
    <row r="11" spans="1:6" x14ac:dyDescent="0.25">
      <c r="A11" s="1" t="s">
        <v>8</v>
      </c>
      <c r="B11" s="11">
        <f>December!B11-November!B11</f>
        <v>-3</v>
      </c>
      <c r="C11" s="11">
        <f>December!C11-November!C11</f>
        <v>-27</v>
      </c>
      <c r="D11" s="11">
        <f>December!D11-November!D11</f>
        <v>0</v>
      </c>
      <c r="E11" s="11">
        <f>December!E11-November!E11</f>
        <v>1</v>
      </c>
      <c r="F11" s="11">
        <f t="shared" si="0"/>
        <v>-29</v>
      </c>
    </row>
    <row r="12" spans="1:6" x14ac:dyDescent="0.25">
      <c r="A12" s="1" t="s">
        <v>9</v>
      </c>
      <c r="B12" s="11">
        <f>December!B12-November!B12</f>
        <v>275</v>
      </c>
      <c r="C12" s="11">
        <f>December!C12-November!C12</f>
        <v>57</v>
      </c>
      <c r="D12" s="11">
        <f>December!D12-November!D12</f>
        <v>43</v>
      </c>
      <c r="E12" s="11">
        <f>December!E12-November!E12</f>
        <v>176</v>
      </c>
      <c r="F12" s="11">
        <f t="shared" si="0"/>
        <v>551</v>
      </c>
    </row>
    <row r="13" spans="1:6" x14ac:dyDescent="0.25">
      <c r="A13" s="1" t="s">
        <v>10</v>
      </c>
      <c r="B13" s="11">
        <f>December!B13-November!B13</f>
        <v>217</v>
      </c>
      <c r="C13" s="11">
        <f>December!C13-November!C13</f>
        <v>-15</v>
      </c>
      <c r="D13" s="11">
        <f>December!D13-November!D13</f>
        <v>22</v>
      </c>
      <c r="E13" s="11">
        <f>December!E13-November!E13</f>
        <v>121</v>
      </c>
      <c r="F13" s="11">
        <f t="shared" si="0"/>
        <v>345</v>
      </c>
    </row>
    <row r="14" spans="1:6" x14ac:dyDescent="0.25">
      <c r="A14" s="1" t="s">
        <v>11</v>
      </c>
      <c r="B14" s="11">
        <f>December!B14-November!B14</f>
        <v>-348</v>
      </c>
      <c r="C14" s="11">
        <f>December!C14-November!C14</f>
        <v>-151</v>
      </c>
      <c r="D14" s="11">
        <f>December!D14-November!D14</f>
        <v>13</v>
      </c>
      <c r="E14" s="11">
        <f>December!E14-November!E14</f>
        <v>-78</v>
      </c>
      <c r="F14" s="11">
        <f t="shared" si="0"/>
        <v>-564</v>
      </c>
    </row>
    <row r="15" spans="1:6" x14ac:dyDescent="0.25">
      <c r="A15" s="1" t="s">
        <v>12</v>
      </c>
      <c r="B15" s="11">
        <f>December!B15-November!B15</f>
        <v>-171</v>
      </c>
      <c r="C15" s="11">
        <f>December!C15-November!C15</f>
        <v>-231</v>
      </c>
      <c r="D15" s="11">
        <f>December!D15-November!D15</f>
        <v>7</v>
      </c>
      <c r="E15" s="11">
        <f>December!E15-November!E15</f>
        <v>-210</v>
      </c>
      <c r="F15" s="11">
        <f t="shared" si="0"/>
        <v>-605</v>
      </c>
    </row>
    <row r="16" spans="1:6" x14ac:dyDescent="0.25">
      <c r="A16" s="1" t="s">
        <v>13</v>
      </c>
      <c r="B16" s="11">
        <f>December!B16-November!B16</f>
        <v>-190</v>
      </c>
      <c r="C16" s="11">
        <f>December!C16-November!C16</f>
        <v>-169</v>
      </c>
      <c r="D16" s="11">
        <f>December!D16-November!D16</f>
        <v>-1</v>
      </c>
      <c r="E16" s="11">
        <f>December!E16-November!E16</f>
        <v>-106</v>
      </c>
      <c r="F16" s="11">
        <f t="shared" si="0"/>
        <v>-466</v>
      </c>
    </row>
    <row r="17" spans="1:6" x14ac:dyDescent="0.25">
      <c r="A17" s="1" t="s">
        <v>14</v>
      </c>
      <c r="B17" s="11">
        <f>December!B17-November!B17</f>
        <v>24</v>
      </c>
      <c r="C17" s="11">
        <f>December!C17-November!C17</f>
        <v>3</v>
      </c>
      <c r="D17" s="11">
        <f>December!D17-November!D17</f>
        <v>3</v>
      </c>
      <c r="E17" s="11">
        <f>December!E17-November!E17</f>
        <v>31</v>
      </c>
      <c r="F17" s="11">
        <f t="shared" si="0"/>
        <v>61</v>
      </c>
    </row>
    <row r="18" spans="1:6" x14ac:dyDescent="0.25">
      <c r="A18" s="1" t="s">
        <v>15</v>
      </c>
      <c r="B18" s="11">
        <f>December!B18-November!B18</f>
        <v>16</v>
      </c>
      <c r="C18" s="11">
        <f>December!C18-November!C18</f>
        <v>-16</v>
      </c>
      <c r="D18" s="11">
        <f>December!D18-November!D18</f>
        <v>1</v>
      </c>
      <c r="E18" s="11">
        <f>December!E18-November!E18</f>
        <v>2</v>
      </c>
      <c r="F18" s="11">
        <f t="shared" si="0"/>
        <v>3</v>
      </c>
    </row>
    <row r="19" spans="1:6" x14ac:dyDescent="0.25">
      <c r="A19" s="1" t="s">
        <v>16</v>
      </c>
      <c r="B19" s="11">
        <f>December!B19-November!B19</f>
        <v>399</v>
      </c>
      <c r="C19" s="11">
        <f>December!C19-November!C19</f>
        <v>428</v>
      </c>
      <c r="D19" s="11">
        <f>December!D19-November!D19</f>
        <v>128</v>
      </c>
      <c r="E19" s="11">
        <f>December!E19-November!E19</f>
        <v>605</v>
      </c>
      <c r="F19" s="11">
        <f t="shared" si="0"/>
        <v>1560</v>
      </c>
    </row>
    <row r="20" spans="1:6" x14ac:dyDescent="0.25">
      <c r="A20" s="1" t="s">
        <v>17</v>
      </c>
      <c r="B20" s="11">
        <f>December!B20-November!B20</f>
        <v>25</v>
      </c>
      <c r="C20" s="11">
        <f>December!C20-November!C20</f>
        <v>-24</v>
      </c>
      <c r="D20" s="11">
        <f>December!D20-November!D20</f>
        <v>35</v>
      </c>
      <c r="E20" s="11">
        <f>December!E20-November!E20</f>
        <v>105</v>
      </c>
      <c r="F20" s="11">
        <f t="shared" si="0"/>
        <v>141</v>
      </c>
    </row>
    <row r="21" spans="1:6" x14ac:dyDescent="0.25">
      <c r="A21" s="1" t="s">
        <v>18</v>
      </c>
      <c r="B21" s="11">
        <f>December!B21-November!B21</f>
        <v>188</v>
      </c>
      <c r="C21" s="11">
        <f>December!C21-November!C21</f>
        <v>90</v>
      </c>
      <c r="D21" s="11">
        <f>December!D21-November!D21</f>
        <v>16</v>
      </c>
      <c r="E21" s="11">
        <f>December!E21-November!E21</f>
        <v>116</v>
      </c>
      <c r="F21" s="11">
        <f t="shared" si="0"/>
        <v>410</v>
      </c>
    </row>
    <row r="22" spans="1:6" x14ac:dyDescent="0.25">
      <c r="A22" s="1" t="s">
        <v>19</v>
      </c>
      <c r="B22" s="11">
        <f>December!B22-November!B22</f>
        <v>36</v>
      </c>
      <c r="C22" s="11">
        <f>December!C22-November!C22</f>
        <v>-17</v>
      </c>
      <c r="D22" s="11">
        <f>December!D22-November!D22</f>
        <v>2</v>
      </c>
      <c r="E22" s="11">
        <f>December!E22-November!E22</f>
        <v>8</v>
      </c>
      <c r="F22" s="11">
        <f t="shared" si="0"/>
        <v>29</v>
      </c>
    </row>
    <row r="23" spans="1:6" x14ac:dyDescent="0.25">
      <c r="A23" s="1" t="s">
        <v>20</v>
      </c>
      <c r="B23" s="11">
        <f>December!B23-November!B23</f>
        <v>-20</v>
      </c>
      <c r="C23" s="11">
        <f>December!C23-November!C23</f>
        <v>-184</v>
      </c>
      <c r="D23" s="11">
        <f>December!D23-November!D23</f>
        <v>0</v>
      </c>
      <c r="E23" s="11">
        <f>December!E23-November!E23</f>
        <v>-34</v>
      </c>
      <c r="F23" s="11">
        <f t="shared" si="0"/>
        <v>-238</v>
      </c>
    </row>
    <row r="24" spans="1:6" x14ac:dyDescent="0.25">
      <c r="A24" s="1" t="s">
        <v>21</v>
      </c>
      <c r="B24" s="11">
        <f>December!B24-November!B24</f>
        <v>14</v>
      </c>
      <c r="C24" s="11">
        <f>December!C24-November!C24</f>
        <v>-10</v>
      </c>
      <c r="D24" s="11">
        <f>December!D24-November!D24</f>
        <v>1</v>
      </c>
      <c r="E24" s="11">
        <f>December!E24-November!E24</f>
        <v>20</v>
      </c>
      <c r="F24" s="11">
        <f t="shared" si="0"/>
        <v>25</v>
      </c>
    </row>
    <row r="25" spans="1:6" x14ac:dyDescent="0.25">
      <c r="A25" s="1" t="s">
        <v>22</v>
      </c>
      <c r="B25" s="11">
        <f>December!B25-November!B25</f>
        <v>26</v>
      </c>
      <c r="C25" s="11">
        <f>December!C25-November!C25</f>
        <v>-9</v>
      </c>
      <c r="D25" s="11">
        <f>December!D25-November!D25</f>
        <v>2</v>
      </c>
      <c r="E25" s="11">
        <f>December!E25-November!E25</f>
        <v>14</v>
      </c>
      <c r="F25" s="11">
        <f t="shared" si="0"/>
        <v>33</v>
      </c>
    </row>
    <row r="26" spans="1:6" x14ac:dyDescent="0.25">
      <c r="A26" s="1" t="s">
        <v>23</v>
      </c>
      <c r="B26" s="11">
        <f>December!B26-November!B26</f>
        <v>9</v>
      </c>
      <c r="C26" s="11">
        <f>December!C26-November!C26</f>
        <v>-5</v>
      </c>
      <c r="D26" s="11">
        <f>December!D26-November!D26</f>
        <v>5</v>
      </c>
      <c r="E26" s="11">
        <f>December!E26-November!E26</f>
        <v>4</v>
      </c>
      <c r="F26" s="11">
        <f t="shared" si="0"/>
        <v>13</v>
      </c>
    </row>
    <row r="27" spans="1:6" x14ac:dyDescent="0.25">
      <c r="A27" s="1" t="s">
        <v>24</v>
      </c>
      <c r="B27" s="11">
        <f>December!B27-November!B27</f>
        <v>17</v>
      </c>
      <c r="C27" s="11">
        <f>December!C27-November!C27</f>
        <v>-22</v>
      </c>
      <c r="D27" s="11">
        <f>December!D27-November!D27</f>
        <v>-1</v>
      </c>
      <c r="E27" s="11">
        <f>December!E27-November!E27</f>
        <v>6</v>
      </c>
      <c r="F27" s="11">
        <f t="shared" si="0"/>
        <v>0</v>
      </c>
    </row>
    <row r="28" spans="1:6" x14ac:dyDescent="0.25">
      <c r="A28" s="1" t="s">
        <v>25</v>
      </c>
      <c r="B28" s="11">
        <f>December!B28-November!B28</f>
        <v>15</v>
      </c>
      <c r="C28" s="11">
        <f>December!C28-November!C28</f>
        <v>-7</v>
      </c>
      <c r="D28" s="11">
        <f>December!D28-November!D28</f>
        <v>2</v>
      </c>
      <c r="E28" s="11">
        <f>December!E28-November!E28</f>
        <v>-5</v>
      </c>
      <c r="F28" s="11">
        <f t="shared" si="0"/>
        <v>5</v>
      </c>
    </row>
    <row r="29" spans="1:6" x14ac:dyDescent="0.25">
      <c r="A29" s="1" t="s">
        <v>26</v>
      </c>
      <c r="B29" s="11">
        <f>December!B29-November!B29</f>
        <v>15</v>
      </c>
      <c r="C29" s="11">
        <f>December!C29-November!C29</f>
        <v>-11</v>
      </c>
      <c r="D29" s="11">
        <f>December!D29-November!D29</f>
        <v>4</v>
      </c>
      <c r="E29" s="11">
        <f>December!E29-November!E29</f>
        <v>16</v>
      </c>
      <c r="F29" s="11">
        <f t="shared" si="0"/>
        <v>24</v>
      </c>
    </row>
    <row r="30" spans="1:6" x14ac:dyDescent="0.25">
      <c r="A30" s="1" t="s">
        <v>27</v>
      </c>
      <c r="B30" s="11">
        <f>December!B30-November!B30</f>
        <v>-7</v>
      </c>
      <c r="C30" s="11">
        <f>December!C30-November!C30</f>
        <v>-146</v>
      </c>
      <c r="D30" s="11">
        <f>December!D30-November!D30</f>
        <v>37</v>
      </c>
      <c r="E30" s="11">
        <f>December!E30-November!E30</f>
        <v>-62</v>
      </c>
      <c r="F30" s="11">
        <f t="shared" si="0"/>
        <v>-178</v>
      </c>
    </row>
    <row r="31" spans="1:6" x14ac:dyDescent="0.25">
      <c r="A31" s="1" t="s">
        <v>28</v>
      </c>
      <c r="B31" s="11">
        <f>December!B31-November!B31</f>
        <v>90</v>
      </c>
      <c r="C31" s="11">
        <f>December!C31-November!C31</f>
        <v>44</v>
      </c>
      <c r="D31" s="11">
        <f>December!D31-November!D31</f>
        <v>9</v>
      </c>
      <c r="E31" s="11">
        <f>December!E31-November!E31</f>
        <v>118</v>
      </c>
      <c r="F31" s="11">
        <f t="shared" si="0"/>
        <v>261</v>
      </c>
    </row>
    <row r="32" spans="1:6" x14ac:dyDescent="0.25">
      <c r="A32" s="1" t="s">
        <v>29</v>
      </c>
      <c r="B32" s="11">
        <f>December!B32-November!B32</f>
        <v>339</v>
      </c>
      <c r="C32" s="11">
        <f>December!C32-November!C32</f>
        <v>679</v>
      </c>
      <c r="D32" s="11">
        <f>December!D32-November!D32</f>
        <v>165</v>
      </c>
      <c r="E32" s="11">
        <f>December!E32-November!E32</f>
        <v>1071</v>
      </c>
      <c r="F32" s="11">
        <f t="shared" si="0"/>
        <v>2254</v>
      </c>
    </row>
    <row r="33" spans="1:6" x14ac:dyDescent="0.25">
      <c r="A33" s="1" t="s">
        <v>30</v>
      </c>
      <c r="B33" s="11">
        <f>December!B33-November!B33</f>
        <v>14</v>
      </c>
      <c r="C33" s="11">
        <f>December!C33-November!C33</f>
        <v>2</v>
      </c>
      <c r="D33" s="11">
        <f>December!D33-November!D33</f>
        <v>1</v>
      </c>
      <c r="E33" s="11">
        <f>December!E33-November!E33</f>
        <v>11</v>
      </c>
      <c r="F33" s="11">
        <f t="shared" si="0"/>
        <v>28</v>
      </c>
    </row>
    <row r="34" spans="1:6" x14ac:dyDescent="0.25">
      <c r="A34" s="1" t="s">
        <v>31</v>
      </c>
      <c r="B34" s="11">
        <f>December!B34-November!B34</f>
        <v>14</v>
      </c>
      <c r="C34" s="11">
        <f>December!C34-November!C34</f>
        <v>58</v>
      </c>
      <c r="D34" s="11">
        <f>December!D34-November!D34</f>
        <v>31</v>
      </c>
      <c r="E34" s="11">
        <f>December!E34-November!E34</f>
        <v>37</v>
      </c>
      <c r="F34" s="11">
        <f t="shared" si="0"/>
        <v>140</v>
      </c>
    </row>
    <row r="35" spans="1:6" x14ac:dyDescent="0.25">
      <c r="A35" s="1" t="s">
        <v>32</v>
      </c>
      <c r="B35" s="11">
        <f>December!B35-November!B35</f>
        <v>2</v>
      </c>
      <c r="C35" s="11">
        <f>December!C35-November!C35</f>
        <v>-50</v>
      </c>
      <c r="D35" s="11">
        <f>December!D35-November!D35</f>
        <v>2</v>
      </c>
      <c r="E35" s="11">
        <f>December!E35-November!E35</f>
        <v>8</v>
      </c>
      <c r="F35" s="11">
        <f t="shared" si="0"/>
        <v>-38</v>
      </c>
    </row>
    <row r="36" spans="1:6" x14ac:dyDescent="0.25">
      <c r="A36" s="1" t="s">
        <v>33</v>
      </c>
      <c r="B36" s="11">
        <f>December!B36-November!B36</f>
        <v>10</v>
      </c>
      <c r="C36" s="11">
        <f>December!C36-November!C36</f>
        <v>-7</v>
      </c>
      <c r="D36" s="11">
        <f>December!D36-November!D36</f>
        <v>0</v>
      </c>
      <c r="E36" s="11">
        <f>December!E36-November!E36</f>
        <v>2</v>
      </c>
      <c r="F36" s="11">
        <f t="shared" si="0"/>
        <v>5</v>
      </c>
    </row>
    <row r="37" spans="1:6" x14ac:dyDescent="0.25">
      <c r="A37" s="1" t="s">
        <v>34</v>
      </c>
      <c r="B37" s="11">
        <f>December!B37-November!B37</f>
        <v>1</v>
      </c>
      <c r="C37" s="11">
        <f>December!C37-November!C37</f>
        <v>-10</v>
      </c>
      <c r="D37" s="11">
        <f>December!D37-November!D37</f>
        <v>0</v>
      </c>
      <c r="E37" s="11">
        <f>December!E37-November!E37</f>
        <v>-2</v>
      </c>
      <c r="F37" s="11">
        <f t="shared" si="0"/>
        <v>-11</v>
      </c>
    </row>
    <row r="38" spans="1:6" x14ac:dyDescent="0.25">
      <c r="A38" s="1" t="s">
        <v>35</v>
      </c>
      <c r="B38" s="11">
        <f>December!B38-November!B38</f>
        <v>263</v>
      </c>
      <c r="C38" s="11">
        <f>December!C38-November!C38</f>
        <v>67</v>
      </c>
      <c r="D38" s="11">
        <f>December!D38-November!D38</f>
        <v>19</v>
      </c>
      <c r="E38" s="11">
        <f>December!E38-November!E38</f>
        <v>318</v>
      </c>
      <c r="F38" s="11">
        <f t="shared" si="0"/>
        <v>667</v>
      </c>
    </row>
    <row r="39" spans="1:6" x14ac:dyDescent="0.25">
      <c r="A39" s="1" t="s">
        <v>36</v>
      </c>
      <c r="B39" s="11">
        <f>December!B39-November!B39</f>
        <v>485</v>
      </c>
      <c r="C39" s="11">
        <f>December!C39-November!C39</f>
        <v>305</v>
      </c>
      <c r="D39" s="11">
        <f>December!D39-November!D39</f>
        <v>95</v>
      </c>
      <c r="E39" s="11">
        <f>December!E39-November!E39</f>
        <v>728</v>
      </c>
      <c r="F39" s="11">
        <f t="shared" si="0"/>
        <v>1613</v>
      </c>
    </row>
    <row r="40" spans="1:6" x14ac:dyDescent="0.25">
      <c r="A40" s="1" t="s">
        <v>37</v>
      </c>
      <c r="B40" s="11">
        <f>December!B40-November!B40</f>
        <v>-38</v>
      </c>
      <c r="C40" s="11">
        <f>December!C40-November!C40</f>
        <v>-135</v>
      </c>
      <c r="D40" s="11">
        <f>December!D40-November!D40</f>
        <v>14</v>
      </c>
      <c r="E40" s="11">
        <f>December!E40-November!E40</f>
        <v>23</v>
      </c>
      <c r="F40" s="11">
        <f t="shared" si="0"/>
        <v>-136</v>
      </c>
    </row>
    <row r="41" spans="1:6" x14ac:dyDescent="0.25">
      <c r="A41" s="1" t="s">
        <v>38</v>
      </c>
      <c r="B41" s="11">
        <f>December!B41-November!B41</f>
        <v>13</v>
      </c>
      <c r="C41" s="11">
        <f>December!C41-November!C41</f>
        <v>-6</v>
      </c>
      <c r="D41" s="11">
        <f>December!D41-November!D41</f>
        <v>3</v>
      </c>
      <c r="E41" s="11">
        <f>December!E41-November!E41</f>
        <v>3</v>
      </c>
      <c r="F41" s="11">
        <f t="shared" si="0"/>
        <v>13</v>
      </c>
    </row>
    <row r="42" spans="1:6" x14ac:dyDescent="0.25">
      <c r="A42" s="1" t="s">
        <v>39</v>
      </c>
      <c r="B42" s="11">
        <f>December!B42-November!B42</f>
        <v>6</v>
      </c>
      <c r="C42" s="11">
        <f>December!C42-November!C42</f>
        <v>-3</v>
      </c>
      <c r="D42" s="11">
        <f>December!D42-November!D42</f>
        <v>0</v>
      </c>
      <c r="E42" s="11">
        <f>December!E42-November!E42</f>
        <v>1</v>
      </c>
      <c r="F42" s="11">
        <f t="shared" si="0"/>
        <v>4</v>
      </c>
    </row>
    <row r="43" spans="1:6" x14ac:dyDescent="0.25">
      <c r="A43" s="1" t="s">
        <v>40</v>
      </c>
      <c r="B43" s="11">
        <f>December!B43-November!B43</f>
        <v>16</v>
      </c>
      <c r="C43" s="11">
        <f>December!C43-November!C43</f>
        <v>-15</v>
      </c>
      <c r="D43" s="11">
        <f>December!D43-November!D43</f>
        <v>1</v>
      </c>
      <c r="E43" s="11">
        <f>December!E43-November!E43</f>
        <v>-1</v>
      </c>
      <c r="F43" s="11">
        <f t="shared" si="0"/>
        <v>1</v>
      </c>
    </row>
    <row r="44" spans="1:6" x14ac:dyDescent="0.25">
      <c r="A44" s="1" t="s">
        <v>41</v>
      </c>
      <c r="B44" s="11">
        <f>December!B44-November!B44</f>
        <v>-256</v>
      </c>
      <c r="C44" s="11">
        <f>December!C44-November!C44</f>
        <v>-493</v>
      </c>
      <c r="D44" s="11">
        <f>December!D44-November!D44</f>
        <v>54</v>
      </c>
      <c r="E44" s="11">
        <f>December!E44-November!E44</f>
        <v>-280</v>
      </c>
      <c r="F44" s="11">
        <f t="shared" si="0"/>
        <v>-975</v>
      </c>
    </row>
    <row r="45" spans="1:6" x14ac:dyDescent="0.25">
      <c r="A45" s="1" t="s">
        <v>42</v>
      </c>
      <c r="B45" s="11">
        <f>December!B45-November!B45</f>
        <v>254</v>
      </c>
      <c r="C45" s="11">
        <f>December!C45-November!C45</f>
        <v>142</v>
      </c>
      <c r="D45" s="11">
        <f>December!D45-November!D45</f>
        <v>40</v>
      </c>
      <c r="E45" s="11">
        <f>December!E45-November!E45</f>
        <v>182</v>
      </c>
      <c r="F45" s="11">
        <f t="shared" si="0"/>
        <v>618</v>
      </c>
    </row>
    <row r="46" spans="1:6" x14ac:dyDescent="0.25">
      <c r="A46" s="1" t="s">
        <v>43</v>
      </c>
      <c r="B46" s="11">
        <f>December!B46-November!B46</f>
        <v>8</v>
      </c>
      <c r="C46" s="11">
        <f>December!C46-November!C46</f>
        <v>-23</v>
      </c>
      <c r="D46" s="11">
        <f>December!D46-November!D46</f>
        <v>21</v>
      </c>
      <c r="E46" s="11">
        <f>December!E46-November!E46</f>
        <v>76</v>
      </c>
      <c r="F46" s="11">
        <f t="shared" si="0"/>
        <v>82</v>
      </c>
    </row>
    <row r="47" spans="1:6" x14ac:dyDescent="0.25">
      <c r="A47" s="1" t="s">
        <v>44</v>
      </c>
      <c r="B47" s="11">
        <f>December!B47-November!B47</f>
        <v>-117</v>
      </c>
      <c r="C47" s="11">
        <f>December!C47-November!C47</f>
        <v>-117</v>
      </c>
      <c r="D47" s="11">
        <f>December!D47-November!D47</f>
        <v>196</v>
      </c>
      <c r="E47" s="11">
        <f>December!E47-November!E47</f>
        <v>738</v>
      </c>
      <c r="F47" s="11">
        <f t="shared" si="0"/>
        <v>700</v>
      </c>
    </row>
    <row r="48" spans="1:6" x14ac:dyDescent="0.25">
      <c r="A48" s="1" t="s">
        <v>45</v>
      </c>
      <c r="B48" s="11">
        <f>December!B48-November!B48</f>
        <v>-38</v>
      </c>
      <c r="C48" s="11">
        <f>December!C48-November!C48</f>
        <v>-54</v>
      </c>
      <c r="D48" s="11">
        <f>December!D48-November!D48</f>
        <v>15</v>
      </c>
      <c r="E48" s="11">
        <f>December!E48-November!E48</f>
        <v>-92</v>
      </c>
      <c r="F48" s="11">
        <f t="shared" si="0"/>
        <v>-169</v>
      </c>
    </row>
    <row r="49" spans="1:6" x14ac:dyDescent="0.25">
      <c r="A49" s="1" t="s">
        <v>46</v>
      </c>
      <c r="B49" s="11">
        <f>December!B49-November!B49</f>
        <v>89</v>
      </c>
      <c r="C49" s="11">
        <f>December!C49-November!C49</f>
        <v>-11</v>
      </c>
      <c r="D49" s="11">
        <f>December!D49-November!D49</f>
        <v>21</v>
      </c>
      <c r="E49" s="11">
        <f>December!E49-November!E49</f>
        <v>48</v>
      </c>
      <c r="F49" s="11">
        <f t="shared" si="0"/>
        <v>147</v>
      </c>
    </row>
    <row r="50" spans="1:6" x14ac:dyDescent="0.25">
      <c r="A50" s="1" t="s">
        <v>47</v>
      </c>
      <c r="B50" s="11">
        <f>December!B50-November!B50</f>
        <v>241</v>
      </c>
      <c r="C50" s="11">
        <f>December!C50-November!C50</f>
        <v>82</v>
      </c>
      <c r="D50" s="11">
        <f>December!D50-November!D50</f>
        <v>36</v>
      </c>
      <c r="E50" s="11">
        <f>December!E50-November!E50</f>
        <v>189</v>
      </c>
      <c r="F50" s="11">
        <f t="shared" si="0"/>
        <v>548</v>
      </c>
    </row>
    <row r="51" spans="1:6" x14ac:dyDescent="0.25">
      <c r="A51" s="1" t="s">
        <v>48</v>
      </c>
      <c r="B51" s="11">
        <f>December!B51-November!B51</f>
        <v>18</v>
      </c>
      <c r="C51" s="11">
        <f>December!C51-November!C51</f>
        <v>0</v>
      </c>
      <c r="D51" s="11">
        <f>December!D51-November!D51</f>
        <v>4</v>
      </c>
      <c r="E51" s="11">
        <f>December!E51-November!E51</f>
        <v>21</v>
      </c>
      <c r="F51" s="11">
        <f t="shared" si="0"/>
        <v>43</v>
      </c>
    </row>
    <row r="52" spans="1:6" x14ac:dyDescent="0.25">
      <c r="A52" s="1" t="s">
        <v>49</v>
      </c>
      <c r="B52" s="11">
        <f>December!B52-November!B52</f>
        <v>293</v>
      </c>
      <c r="C52" s="11">
        <f>December!C52-November!C52</f>
        <v>635</v>
      </c>
      <c r="D52" s="11">
        <f>December!D52-November!D52</f>
        <v>163</v>
      </c>
      <c r="E52" s="11">
        <f>December!E52-November!E52</f>
        <v>1057</v>
      </c>
      <c r="F52" s="11">
        <f t="shared" si="0"/>
        <v>2148</v>
      </c>
    </row>
    <row r="53" spans="1:6" x14ac:dyDescent="0.25">
      <c r="A53" s="1" t="s">
        <v>50</v>
      </c>
      <c r="B53" s="11">
        <f>December!B53-November!B53</f>
        <v>-143</v>
      </c>
      <c r="C53" s="11">
        <f>December!C53-November!C53</f>
        <v>-329</v>
      </c>
      <c r="D53" s="11">
        <f>December!D53-November!D53</f>
        <v>14</v>
      </c>
      <c r="E53" s="11">
        <f>December!E53-November!E53</f>
        <v>-167</v>
      </c>
      <c r="F53" s="11">
        <f t="shared" si="0"/>
        <v>-625</v>
      </c>
    </row>
    <row r="54" spans="1:6" x14ac:dyDescent="0.25">
      <c r="A54" s="1" t="s">
        <v>51</v>
      </c>
      <c r="B54" s="11">
        <f>December!B54-November!B54</f>
        <v>-491</v>
      </c>
      <c r="C54" s="11">
        <f>December!C54-November!C54</f>
        <v>-1627</v>
      </c>
      <c r="D54" s="11">
        <f>December!D54-November!D54</f>
        <v>274</v>
      </c>
      <c r="E54" s="11">
        <f>December!E54-November!E54</f>
        <v>-959</v>
      </c>
      <c r="F54" s="11">
        <f t="shared" si="0"/>
        <v>-2803</v>
      </c>
    </row>
    <row r="55" spans="1:6" x14ac:dyDescent="0.25">
      <c r="A55" s="1" t="s">
        <v>52</v>
      </c>
      <c r="B55" s="11">
        <f>December!B55-November!B55</f>
        <v>423</v>
      </c>
      <c r="C55" s="11">
        <f>December!C55-November!C55</f>
        <v>194</v>
      </c>
      <c r="D55" s="11">
        <f>December!D55-November!D55</f>
        <v>80</v>
      </c>
      <c r="E55" s="11">
        <f>December!E55-November!E55</f>
        <v>537</v>
      </c>
      <c r="F55" s="11">
        <f t="shared" si="0"/>
        <v>1234</v>
      </c>
    </row>
    <row r="56" spans="1:6" x14ac:dyDescent="0.25">
      <c r="A56" s="1" t="s">
        <v>53</v>
      </c>
      <c r="B56" s="11">
        <f>December!B56-November!B56</f>
        <v>-8</v>
      </c>
      <c r="C56" s="11">
        <f>December!C56-November!C56</f>
        <v>-84</v>
      </c>
      <c r="D56" s="11">
        <f>December!D56-November!D56</f>
        <v>131</v>
      </c>
      <c r="E56" s="11">
        <f>December!E56-November!E56</f>
        <v>300</v>
      </c>
      <c r="F56" s="11">
        <f t="shared" si="0"/>
        <v>339</v>
      </c>
    </row>
    <row r="57" spans="1:6" x14ac:dyDescent="0.25">
      <c r="A57" s="1" t="s">
        <v>54</v>
      </c>
      <c r="B57" s="11">
        <f>December!B57-November!B57</f>
        <v>695</v>
      </c>
      <c r="C57" s="11">
        <f>December!C57-November!C57</f>
        <v>627</v>
      </c>
      <c r="D57" s="11">
        <f>December!D57-November!D57</f>
        <v>162</v>
      </c>
      <c r="E57" s="11">
        <f>December!E57-November!E57</f>
        <v>1158</v>
      </c>
      <c r="F57" s="11">
        <f t="shared" si="0"/>
        <v>2642</v>
      </c>
    </row>
    <row r="58" spans="1:6" x14ac:dyDescent="0.25">
      <c r="A58" s="1" t="s">
        <v>55</v>
      </c>
      <c r="B58" s="11">
        <f>December!B58-November!B58</f>
        <v>61</v>
      </c>
      <c r="C58" s="11">
        <f>December!C58-November!C58</f>
        <v>-48</v>
      </c>
      <c r="D58" s="11">
        <f>December!D58-November!D58</f>
        <v>11</v>
      </c>
      <c r="E58" s="11">
        <f>December!E58-November!E58</f>
        <v>49</v>
      </c>
      <c r="F58" s="11">
        <f t="shared" si="0"/>
        <v>73</v>
      </c>
    </row>
    <row r="59" spans="1:6" x14ac:dyDescent="0.25">
      <c r="A59" s="1" t="s">
        <v>56</v>
      </c>
      <c r="B59" s="11">
        <f>December!B59-November!B59</f>
        <v>112</v>
      </c>
      <c r="C59" s="11">
        <f>December!C59-November!C59</f>
        <v>-38</v>
      </c>
      <c r="D59" s="11">
        <f>December!D59-November!D59</f>
        <v>75</v>
      </c>
      <c r="E59" s="11">
        <f>December!E59-November!E59</f>
        <v>95</v>
      </c>
      <c r="F59" s="11">
        <f t="shared" si="0"/>
        <v>244</v>
      </c>
    </row>
    <row r="60" spans="1:6" x14ac:dyDescent="0.25">
      <c r="A60" s="1" t="s">
        <v>57</v>
      </c>
      <c r="B60" s="11">
        <f>December!B60-November!B60</f>
        <v>322</v>
      </c>
      <c r="C60" s="11">
        <f>December!C60-November!C60</f>
        <v>204</v>
      </c>
      <c r="D60" s="11">
        <f>December!D60-November!D60</f>
        <v>85</v>
      </c>
      <c r="E60" s="11">
        <f>December!E60-November!E60</f>
        <v>276</v>
      </c>
      <c r="F60" s="11">
        <f t="shared" si="0"/>
        <v>887</v>
      </c>
    </row>
    <row r="61" spans="1:6" x14ac:dyDescent="0.25">
      <c r="A61" s="1" t="s">
        <v>58</v>
      </c>
      <c r="B61" s="11">
        <f>December!B61-November!B61</f>
        <v>-17</v>
      </c>
      <c r="C61" s="11">
        <f>December!C61-November!C61</f>
        <v>79</v>
      </c>
      <c r="D61" s="11">
        <f>December!D61-November!D61</f>
        <v>62</v>
      </c>
      <c r="E61" s="11">
        <f>December!E61-November!E61</f>
        <v>210</v>
      </c>
      <c r="F61" s="11">
        <f t="shared" si="0"/>
        <v>334</v>
      </c>
    </row>
    <row r="62" spans="1:6" x14ac:dyDescent="0.25">
      <c r="A62" s="1" t="s">
        <v>59</v>
      </c>
      <c r="B62" s="11">
        <f>December!B62-November!B62</f>
        <v>-326</v>
      </c>
      <c r="C62" s="11">
        <f>December!C62-November!C62</f>
        <v>-311</v>
      </c>
      <c r="D62" s="11">
        <f>December!D62-November!D62</f>
        <v>7</v>
      </c>
      <c r="E62" s="11">
        <f>December!E62-November!E62</f>
        <v>-306</v>
      </c>
      <c r="F62" s="11">
        <f t="shared" si="0"/>
        <v>-936</v>
      </c>
    </row>
    <row r="63" spans="1:6" x14ac:dyDescent="0.25">
      <c r="A63" s="1" t="s">
        <v>60</v>
      </c>
      <c r="B63" s="11">
        <f>December!B63-November!B63</f>
        <v>19</v>
      </c>
      <c r="C63" s="11">
        <f>December!C63-November!C63</f>
        <v>-27</v>
      </c>
      <c r="D63" s="11">
        <f>December!D63-November!D63</f>
        <v>43</v>
      </c>
      <c r="E63" s="11">
        <f>December!E63-November!E63</f>
        <v>172</v>
      </c>
      <c r="F63" s="11">
        <f t="shared" si="0"/>
        <v>207</v>
      </c>
    </row>
    <row r="64" spans="1:6" x14ac:dyDescent="0.25">
      <c r="A64" s="1" t="s">
        <v>61</v>
      </c>
      <c r="B64" s="11">
        <f>December!B64-November!B64</f>
        <v>217</v>
      </c>
      <c r="C64" s="11">
        <f>December!C64-November!C64</f>
        <v>56</v>
      </c>
      <c r="D64" s="11">
        <f>December!D64-November!D64</f>
        <v>11</v>
      </c>
      <c r="E64" s="11">
        <f>December!E64-November!E64</f>
        <v>126</v>
      </c>
      <c r="F64" s="11">
        <f t="shared" si="0"/>
        <v>410</v>
      </c>
    </row>
    <row r="65" spans="1:6" x14ac:dyDescent="0.25">
      <c r="A65" s="1" t="s">
        <v>62</v>
      </c>
      <c r="B65" s="11">
        <f>December!B65-November!B65</f>
        <v>68</v>
      </c>
      <c r="C65" s="11">
        <f>December!C65-November!C65</f>
        <v>-13</v>
      </c>
      <c r="D65" s="11">
        <f>December!D65-November!D65</f>
        <v>3</v>
      </c>
      <c r="E65" s="11">
        <f>December!E65-November!E65</f>
        <v>30</v>
      </c>
      <c r="F65" s="11">
        <f t="shared" si="0"/>
        <v>88</v>
      </c>
    </row>
    <row r="66" spans="1:6" x14ac:dyDescent="0.25">
      <c r="A66" s="1" t="s">
        <v>63</v>
      </c>
      <c r="B66" s="11">
        <f>December!B66-November!B66</f>
        <v>14</v>
      </c>
      <c r="C66" s="11">
        <f>December!C66-November!C66</f>
        <v>-26</v>
      </c>
      <c r="D66" s="11">
        <f>December!D66-November!D66</f>
        <v>1</v>
      </c>
      <c r="E66" s="11">
        <f>December!E66-November!E66</f>
        <v>4</v>
      </c>
      <c r="F66" s="11">
        <f t="shared" si="0"/>
        <v>-7</v>
      </c>
    </row>
    <row r="67" spans="1:6" x14ac:dyDescent="0.25">
      <c r="A67" s="1" t="s">
        <v>64</v>
      </c>
      <c r="B67" s="11">
        <f>December!B67-November!B67</f>
        <v>8</v>
      </c>
      <c r="C67" s="11">
        <f>December!C67-November!C67</f>
        <v>-15</v>
      </c>
      <c r="D67" s="11">
        <f>December!D67-November!D67</f>
        <v>1</v>
      </c>
      <c r="E67" s="11">
        <f>December!E67-November!E67</f>
        <v>1</v>
      </c>
      <c r="F67" s="11">
        <f t="shared" si="0"/>
        <v>-5</v>
      </c>
    </row>
    <row r="68" spans="1:6" x14ac:dyDescent="0.25">
      <c r="A68" s="1" t="s">
        <v>65</v>
      </c>
      <c r="B68" s="11">
        <f>December!B68-November!B68</f>
        <v>-3193</v>
      </c>
      <c r="C68" s="11">
        <f>December!C68-November!C68</f>
        <v>-4823</v>
      </c>
      <c r="D68" s="11">
        <f>December!D68-November!D68</f>
        <v>1</v>
      </c>
      <c r="E68" s="11">
        <f>December!E68-November!E68</f>
        <v>-4785</v>
      </c>
      <c r="F68" s="11">
        <f t="shared" si="0"/>
        <v>-12800</v>
      </c>
    </row>
    <row r="69" spans="1:6" x14ac:dyDescent="0.25">
      <c r="A69" s="1" t="s">
        <v>66</v>
      </c>
      <c r="B69" s="11">
        <f>December!B69-November!B69</f>
        <v>45</v>
      </c>
      <c r="C69" s="11">
        <f>December!C69-November!C69</f>
        <v>-13</v>
      </c>
      <c r="D69" s="11">
        <f>December!D69-November!D69</f>
        <v>5</v>
      </c>
      <c r="E69" s="11">
        <f>December!E69-November!E69</f>
        <v>13</v>
      </c>
      <c r="F69" s="11">
        <f t="shared" si="0"/>
        <v>50</v>
      </c>
    </row>
    <row r="70" spans="1:6" x14ac:dyDescent="0.25">
      <c r="A70" s="1" t="s">
        <v>67</v>
      </c>
      <c r="B70" s="11">
        <f>December!B70-November!B70</f>
        <v>-246</v>
      </c>
      <c r="C70" s="11">
        <f>December!C70-November!C70</f>
        <v>-72</v>
      </c>
      <c r="D70" s="11">
        <f>December!D70-November!D70</f>
        <v>3</v>
      </c>
      <c r="E70" s="11">
        <f>December!E70-November!E70</f>
        <v>-134</v>
      </c>
      <c r="F70" s="11">
        <f t="shared" ref="F70:F71" si="1">SUM(B70:E70)</f>
        <v>-449</v>
      </c>
    </row>
    <row r="71" spans="1:6" ht="15.75" thickBot="1" x14ac:dyDescent="0.3">
      <c r="A71" s="1" t="s">
        <v>68</v>
      </c>
      <c r="B71" s="11">
        <f>December!B71-November!B71</f>
        <v>-44</v>
      </c>
      <c r="C71" s="11">
        <f>December!C71-November!C71</f>
        <v>-66</v>
      </c>
      <c r="D71" s="11">
        <f>December!D71-November!D71</f>
        <v>3</v>
      </c>
      <c r="E71" s="11">
        <f>December!E71-November!E71</f>
        <v>4</v>
      </c>
      <c r="F71" s="11">
        <f t="shared" si="1"/>
        <v>-103</v>
      </c>
    </row>
    <row r="72" spans="1:6" ht="16.5" thickTop="1" thickBot="1" x14ac:dyDescent="0.3">
      <c r="A72" s="3" t="s">
        <v>1</v>
      </c>
      <c r="B72" s="8">
        <f>SUM(B5:B71)</f>
        <v>-126</v>
      </c>
      <c r="C72" s="8">
        <f>SUM(C5:C71)</f>
        <v>-5028</v>
      </c>
      <c r="D72" s="8">
        <f>SUM(D5:D71)</f>
        <v>2575</v>
      </c>
      <c r="E72" s="8">
        <f>SUM(E5:E71)</f>
        <v>3089</v>
      </c>
      <c r="F72" s="8">
        <f>SUM(F5:F71)</f>
        <v>510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opLeftCell="A2" workbookViewId="0">
      <selection activeCell="F5" sqref="F5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x14ac:dyDescent="0.3">
      <c r="A1" s="14" t="s">
        <v>74</v>
      </c>
      <c r="B1" s="15"/>
      <c r="C1" s="15"/>
      <c r="D1" s="15"/>
      <c r="E1" s="15"/>
      <c r="F1" s="16"/>
    </row>
    <row r="2" spans="1:6" x14ac:dyDescent="0.25">
      <c r="A2" s="17" t="s">
        <v>121</v>
      </c>
      <c r="B2" s="18"/>
      <c r="C2" s="18"/>
      <c r="D2" s="18"/>
      <c r="E2" s="18"/>
      <c r="F2" s="19"/>
    </row>
    <row r="3" spans="1:6" x14ac:dyDescent="0.25">
      <c r="A3" s="20" t="s">
        <v>73</v>
      </c>
      <c r="B3" s="21"/>
      <c r="C3" s="21"/>
      <c r="D3" s="21"/>
      <c r="E3" s="21"/>
      <c r="F3" s="22"/>
    </row>
    <row r="4" spans="1:6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11">
        <f>NetJanToFeb!B5+NetFebToMar!B5+NetMarToApr!B5+NetAprToMay!B5+NetMayToJun!B5+NetJunToJul!B5+NetJulToAug!B5+NetAugToSep!B5+NetSepToOct!B5+NetOctToNov!B5+NetNovToDec!B5</f>
        <v>1602</v>
      </c>
      <c r="C5" s="11">
        <f>NetJanToFeb!C5+NetFebToMar!C5+NetMarToApr!C5+NetAprToMay!C5+NetMayToJun!C5+NetJunToJul!C5+NetJulToAug!C5+NetAugToSep!C5+NetSepToOct!C5+NetOctToNov!C5+NetNovToDec!C5</f>
        <v>5609</v>
      </c>
      <c r="D5" s="11">
        <f>NetJanToFeb!D5+NetFebToMar!D5+NetMarToApr!D5+NetAprToMay!D5+NetMayToJun!D5+NetJunToJul!D5+NetJulToAug!D5+NetAugToSep!D5+NetSepToOct!D5+NetOctToNov!D5+NetNovToDec!D5</f>
        <v>545</v>
      </c>
      <c r="E5" s="11">
        <f>NetJanToFeb!E5+NetFebToMar!E5+NetMarToApr!E5+NetAprToMay!E5+NetMayToJun!E5+NetJunToJul!E5+NetJulToAug!E5+NetAugToSep!E5+NetSepToOct!E5+NetOctToNov!E5+NetNovToDec!E5</f>
        <v>2926</v>
      </c>
      <c r="F5" s="10">
        <f>SUM(B5:E5)</f>
        <v>10682</v>
      </c>
    </row>
    <row r="6" spans="1:6" x14ac:dyDescent="0.25">
      <c r="A6" s="1" t="s">
        <v>3</v>
      </c>
      <c r="B6" s="11">
        <f>NetJanToFeb!B6+NetFebToMar!B6+NetMarToApr!B6+NetAprToMay!B6+NetMayToJun!B6+NetJunToJul!B6+NetJulToAug!B6+NetAugToSep!B6+NetSepToOct!B6+NetOctToNov!B6+NetNovToDec!B6</f>
        <v>563</v>
      </c>
      <c r="C6" s="11">
        <f>NetJanToFeb!C6+NetFebToMar!C6+NetMarToApr!C6+NetAprToMay!C6+NetMayToJun!C6+NetJunToJul!C6+NetJulToAug!C6+NetAugToSep!C6+NetSepToOct!C6+NetOctToNov!C6+NetNovToDec!C6</f>
        <v>-485</v>
      </c>
      <c r="D6" s="11">
        <f>NetJanToFeb!D6+NetFebToMar!D6+NetMarToApr!D6+NetAprToMay!D6+NetMayToJun!D6+NetJunToJul!D6+NetJulToAug!D6+NetAugToSep!D6+NetSepToOct!D6+NetOctToNov!D6+NetNovToDec!D6</f>
        <v>19</v>
      </c>
      <c r="E6" s="11">
        <f>NetJanToFeb!E6+NetFebToMar!E6+NetMarToApr!E6+NetAprToMay!E6+NetMayToJun!E6+NetJunToJul!E6+NetJulToAug!E6+NetAugToSep!E6+NetSepToOct!E6+NetOctToNov!E6+NetNovToDec!E6</f>
        <v>28</v>
      </c>
      <c r="F6" s="10">
        <f t="shared" ref="F6:F69" si="0">SUM(B6:E6)</f>
        <v>125</v>
      </c>
    </row>
    <row r="7" spans="1:6" x14ac:dyDescent="0.25">
      <c r="A7" s="1" t="s">
        <v>4</v>
      </c>
      <c r="B7" s="11">
        <f>NetJanToFeb!B7+NetFebToMar!B7+NetMarToApr!B7+NetAprToMay!B7+NetMayToJun!B7+NetJunToJul!B7+NetJulToAug!B7+NetAugToSep!B7+NetSepToOct!B7+NetOctToNov!B7+NetNovToDec!B7</f>
        <v>2234</v>
      </c>
      <c r="C7" s="11">
        <f>NetJanToFeb!C7+NetFebToMar!C7+NetMarToApr!C7+NetAprToMay!C7+NetMayToJun!C7+NetJunToJul!C7+NetJulToAug!C7+NetAugToSep!C7+NetSepToOct!C7+NetOctToNov!C7+NetNovToDec!C7</f>
        <v>105</v>
      </c>
      <c r="D7" s="11">
        <f>NetJanToFeb!D7+NetFebToMar!D7+NetMarToApr!D7+NetAprToMay!D7+NetMayToJun!D7+NetJunToJul!D7+NetJulToAug!D7+NetAugToSep!D7+NetSepToOct!D7+NetOctToNov!D7+NetNovToDec!D7</f>
        <v>356</v>
      </c>
      <c r="E7" s="11">
        <f>NetJanToFeb!E7+NetFebToMar!E7+NetMarToApr!E7+NetAprToMay!E7+NetMayToJun!E7+NetJunToJul!E7+NetJulToAug!E7+NetAugToSep!E7+NetSepToOct!E7+NetOctToNov!E7+NetNovToDec!E7</f>
        <v>1002</v>
      </c>
      <c r="F7" s="10">
        <f t="shared" si="0"/>
        <v>3697</v>
      </c>
    </row>
    <row r="8" spans="1:6" x14ac:dyDescent="0.25">
      <c r="A8" s="1" t="s">
        <v>5</v>
      </c>
      <c r="B8" s="11">
        <f>NetJanToFeb!B8+NetFebToMar!B8+NetMarToApr!B8+NetAprToMay!B8+NetMayToJun!B8+NetJunToJul!B8+NetJulToAug!B8+NetAugToSep!B8+NetSepToOct!B8+NetOctToNov!B8+NetNovToDec!B8</f>
        <v>517</v>
      </c>
      <c r="C8" s="11">
        <f>NetJanToFeb!C8+NetFebToMar!C8+NetMarToApr!C8+NetAprToMay!C8+NetMayToJun!C8+NetJunToJul!C8+NetJulToAug!C8+NetAugToSep!C8+NetSepToOct!C8+NetOctToNov!C8+NetNovToDec!C8</f>
        <v>-249</v>
      </c>
      <c r="D8" s="11">
        <f>NetJanToFeb!D8+NetFebToMar!D8+NetMarToApr!D8+NetAprToMay!D8+NetMayToJun!D8+NetJunToJul!D8+NetJulToAug!D8+NetAugToSep!D8+NetSepToOct!D8+NetOctToNov!D8+NetNovToDec!D8</f>
        <v>25</v>
      </c>
      <c r="E8" s="11">
        <f>NetJanToFeb!E8+NetFebToMar!E8+NetMarToApr!E8+NetAprToMay!E8+NetMayToJun!E8+NetJunToJul!E8+NetJulToAug!E8+NetAugToSep!E8+NetSepToOct!E8+NetOctToNov!E8+NetNovToDec!E8</f>
        <v>96</v>
      </c>
      <c r="F8" s="10">
        <f t="shared" si="0"/>
        <v>389</v>
      </c>
    </row>
    <row r="9" spans="1:6" x14ac:dyDescent="0.25">
      <c r="A9" s="1" t="s">
        <v>6</v>
      </c>
      <c r="B9" s="11">
        <f>NetJanToFeb!B9+NetFebToMar!B9+NetMarToApr!B9+NetAprToMay!B9+NetMayToJun!B9+NetJunToJul!B9+NetJulToAug!B9+NetAugToSep!B9+NetSepToOct!B9+NetOctToNov!B9+NetNovToDec!B9</f>
        <v>7400</v>
      </c>
      <c r="C9" s="11">
        <f>NetJanToFeb!C9+NetFebToMar!C9+NetMarToApr!C9+NetAprToMay!C9+NetMayToJun!C9+NetJunToJul!C9+NetJulToAug!C9+NetAugToSep!C9+NetSepToOct!C9+NetOctToNov!C9+NetNovToDec!C9</f>
        <v>5078</v>
      </c>
      <c r="D9" s="11">
        <f>NetJanToFeb!D9+NetFebToMar!D9+NetMarToApr!D9+NetAprToMay!D9+NetMayToJun!D9+NetJunToJul!D9+NetJulToAug!D9+NetAugToSep!D9+NetSepToOct!D9+NetOctToNov!D9+NetNovToDec!D9</f>
        <v>1766</v>
      </c>
      <c r="E9" s="11">
        <f>NetJanToFeb!E9+NetFebToMar!E9+NetMarToApr!E9+NetAprToMay!E9+NetMayToJun!E9+NetJunToJul!E9+NetJulToAug!E9+NetAugToSep!E9+NetSepToOct!E9+NetOctToNov!E9+NetNovToDec!E9</f>
        <v>3826</v>
      </c>
      <c r="F9" s="10">
        <f t="shared" si="0"/>
        <v>18070</v>
      </c>
    </row>
    <row r="10" spans="1:6" x14ac:dyDescent="0.25">
      <c r="A10" s="1" t="s">
        <v>7</v>
      </c>
      <c r="B10" s="11">
        <f>NetJanToFeb!B10+NetFebToMar!B10+NetMarToApr!B10+NetAprToMay!B10+NetMayToJun!B10+NetJunToJul!B10+NetJulToAug!B10+NetAugToSep!B10+NetSepToOct!B10+NetOctToNov!B10+NetNovToDec!B10</f>
        <v>-748</v>
      </c>
      <c r="C10" s="11">
        <f>NetJanToFeb!C10+NetFebToMar!C10+NetMarToApr!C10+NetAprToMay!C10+NetMayToJun!C10+NetJunToJul!C10+NetJulToAug!C10+NetAugToSep!C10+NetSepToOct!C10+NetOctToNov!C10+NetNovToDec!C10</f>
        <v>3767</v>
      </c>
      <c r="D10" s="11">
        <f>NetJanToFeb!D10+NetFebToMar!D10+NetMarToApr!D10+NetAprToMay!D10+NetMayToJun!D10+NetJunToJul!D10+NetJulToAug!D10+NetAugToSep!D10+NetSepToOct!D10+NetOctToNov!D10+NetNovToDec!D10</f>
        <v>3686</v>
      </c>
      <c r="E10" s="11">
        <f>NetJanToFeb!E10+NetFebToMar!E10+NetMarToApr!E10+NetAprToMay!E10+NetMayToJun!E10+NetJunToJul!E10+NetJulToAug!E10+NetAugToSep!E10+NetSepToOct!E10+NetOctToNov!E10+NetNovToDec!E10</f>
        <v>720</v>
      </c>
      <c r="F10" s="10">
        <f t="shared" si="0"/>
        <v>7425</v>
      </c>
    </row>
    <row r="11" spans="1:6" x14ac:dyDescent="0.25">
      <c r="A11" s="1" t="s">
        <v>8</v>
      </c>
      <c r="B11" s="11">
        <f>NetJanToFeb!B11+NetFebToMar!B11+NetMarToApr!B11+NetAprToMay!B11+NetMayToJun!B11+NetJunToJul!B11+NetJulToAug!B11+NetAugToSep!B11+NetSepToOct!B11+NetOctToNov!B11+NetNovToDec!B11</f>
        <v>297</v>
      </c>
      <c r="C11" s="11">
        <f>NetJanToFeb!C11+NetFebToMar!C11+NetMarToApr!C11+NetAprToMay!C11+NetMayToJun!C11+NetJunToJul!C11+NetJulToAug!C11+NetAugToSep!C11+NetSepToOct!C11+NetOctToNov!C11+NetNovToDec!C11</f>
        <v>-318</v>
      </c>
      <c r="D11" s="11">
        <f>NetJanToFeb!D11+NetFebToMar!D11+NetMarToApr!D11+NetAprToMay!D11+NetMayToJun!D11+NetJunToJul!D11+NetJulToAug!D11+NetAugToSep!D11+NetSepToOct!D11+NetOctToNov!D11+NetNovToDec!D11</f>
        <v>4</v>
      </c>
      <c r="E11" s="11">
        <f>NetJanToFeb!E11+NetFebToMar!E11+NetMarToApr!E11+NetAprToMay!E11+NetMayToJun!E11+NetJunToJul!E11+NetJulToAug!E11+NetAugToSep!E11+NetSepToOct!E11+NetOctToNov!E11+NetNovToDec!E11</f>
        <v>53</v>
      </c>
      <c r="F11" s="10">
        <f t="shared" si="0"/>
        <v>36</v>
      </c>
    </row>
    <row r="12" spans="1:6" x14ac:dyDescent="0.25">
      <c r="A12" s="1" t="s">
        <v>9</v>
      </c>
      <c r="B12" s="11">
        <f>NetJanToFeb!B12+NetFebToMar!B12+NetMarToApr!B12+NetAprToMay!B12+NetMayToJun!B12+NetJunToJul!B12+NetJulToAug!B12+NetAugToSep!B12+NetSepToOct!B12+NetOctToNov!B12+NetNovToDec!B12</f>
        <v>3425</v>
      </c>
      <c r="C12" s="11">
        <f>NetJanToFeb!C12+NetFebToMar!C12+NetMarToApr!C12+NetAprToMay!C12+NetMayToJun!C12+NetJunToJul!C12+NetJulToAug!C12+NetAugToSep!C12+NetSepToOct!C12+NetOctToNov!C12+NetNovToDec!C12</f>
        <v>1082</v>
      </c>
      <c r="D12" s="11">
        <f>NetJanToFeb!D12+NetFebToMar!D12+NetMarToApr!D12+NetAprToMay!D12+NetMayToJun!D12+NetJunToJul!D12+NetJulToAug!D12+NetAugToSep!D12+NetSepToOct!D12+NetOctToNov!D12+NetNovToDec!D12</f>
        <v>561</v>
      </c>
      <c r="E12" s="11">
        <f>NetJanToFeb!E12+NetFebToMar!E12+NetMarToApr!E12+NetAprToMay!E12+NetMayToJun!E12+NetJunToJul!E12+NetJulToAug!E12+NetAugToSep!E12+NetSepToOct!E12+NetOctToNov!E12+NetNovToDec!E12</f>
        <v>1271</v>
      </c>
      <c r="F12" s="10">
        <f t="shared" si="0"/>
        <v>6339</v>
      </c>
    </row>
    <row r="13" spans="1:6" x14ac:dyDescent="0.25">
      <c r="A13" s="1" t="s">
        <v>10</v>
      </c>
      <c r="B13" s="11">
        <f>NetJanToFeb!B13+NetFebToMar!B13+NetMarToApr!B13+NetAprToMay!B13+NetMayToJun!B13+NetJunToJul!B13+NetJulToAug!B13+NetAugToSep!B13+NetSepToOct!B13+NetOctToNov!B13+NetNovToDec!B13</f>
        <v>3567</v>
      </c>
      <c r="C13" s="11">
        <f>NetJanToFeb!C13+NetFebToMar!C13+NetMarToApr!C13+NetAprToMay!C13+NetMayToJun!C13+NetJunToJul!C13+NetJulToAug!C13+NetAugToSep!C13+NetSepToOct!C13+NetOctToNov!C13+NetNovToDec!C13</f>
        <v>368</v>
      </c>
      <c r="D13" s="11">
        <f>NetJanToFeb!D13+NetFebToMar!D13+NetMarToApr!D13+NetAprToMay!D13+NetMayToJun!D13+NetJunToJul!D13+NetJulToAug!D13+NetAugToSep!D13+NetSepToOct!D13+NetOctToNov!D13+NetNovToDec!D13</f>
        <v>392</v>
      </c>
      <c r="E13" s="11">
        <f>NetJanToFeb!E13+NetFebToMar!E13+NetMarToApr!E13+NetAprToMay!E13+NetMayToJun!E13+NetJunToJul!E13+NetJulToAug!E13+NetAugToSep!E13+NetSepToOct!E13+NetOctToNov!E13+NetNovToDec!E13</f>
        <v>723</v>
      </c>
      <c r="F13" s="10">
        <f t="shared" si="0"/>
        <v>5050</v>
      </c>
    </row>
    <row r="14" spans="1:6" x14ac:dyDescent="0.25">
      <c r="A14" s="1" t="s">
        <v>11</v>
      </c>
      <c r="B14" s="11">
        <f>NetJanToFeb!B14+NetFebToMar!B14+NetMarToApr!B14+NetAprToMay!B14+NetMayToJun!B14+NetJunToJul!B14+NetJulToAug!B14+NetAugToSep!B14+NetSepToOct!B14+NetOctToNov!B14+NetNovToDec!B14</f>
        <v>1581</v>
      </c>
      <c r="C14" s="11">
        <f>NetJanToFeb!C14+NetFebToMar!C14+NetMarToApr!C14+NetAprToMay!C14+NetMayToJun!C14+NetJunToJul!C14+NetJulToAug!C14+NetAugToSep!C14+NetSepToOct!C14+NetOctToNov!C14+NetNovToDec!C14</f>
        <v>1447</v>
      </c>
      <c r="D14" s="11">
        <f>NetJanToFeb!D14+NetFebToMar!D14+NetMarToApr!D14+NetAprToMay!D14+NetMayToJun!D14+NetJunToJul!D14+NetJulToAug!D14+NetAugToSep!D14+NetSepToOct!D14+NetOctToNov!D14+NetNovToDec!D14</f>
        <v>467</v>
      </c>
      <c r="E14" s="11">
        <f>NetJanToFeb!E14+NetFebToMar!E14+NetMarToApr!E14+NetAprToMay!E14+NetMayToJun!E14+NetJunToJul!E14+NetJulToAug!E14+NetAugToSep!E14+NetSepToOct!E14+NetOctToNov!E14+NetNovToDec!E14</f>
        <v>442</v>
      </c>
      <c r="F14" s="10">
        <f t="shared" si="0"/>
        <v>3937</v>
      </c>
    </row>
    <row r="15" spans="1:6" x14ac:dyDescent="0.25">
      <c r="A15" s="1" t="s">
        <v>12</v>
      </c>
      <c r="B15" s="11">
        <f>NetJanToFeb!B15+NetFebToMar!B15+NetMarToApr!B15+NetAprToMay!B15+NetMayToJun!B15+NetJunToJul!B15+NetJulToAug!B15+NetAugToSep!B15+NetSepToOct!B15+NetOctToNov!B15+NetNovToDec!B15</f>
        <v>6194</v>
      </c>
      <c r="C15" s="11">
        <f>NetJanToFeb!C15+NetFebToMar!C15+NetMarToApr!C15+NetAprToMay!C15+NetMayToJun!C15+NetJunToJul!C15+NetJulToAug!C15+NetAugToSep!C15+NetSepToOct!C15+NetOctToNov!C15+NetNovToDec!C15</f>
        <v>4312</v>
      </c>
      <c r="D15" s="11">
        <f>NetJanToFeb!D15+NetFebToMar!D15+NetMarToApr!D15+NetAprToMay!D15+NetMayToJun!D15+NetJunToJul!D15+NetJulToAug!D15+NetAugToSep!D15+NetSepToOct!D15+NetOctToNov!D15+NetNovToDec!D15</f>
        <v>679</v>
      </c>
      <c r="E15" s="11">
        <f>NetJanToFeb!E15+NetFebToMar!E15+NetMarToApr!E15+NetAprToMay!E15+NetMayToJun!E15+NetJunToJul!E15+NetJulToAug!E15+NetAugToSep!E15+NetSepToOct!E15+NetOctToNov!E15+NetNovToDec!E15</f>
        <v>3545</v>
      </c>
      <c r="F15" s="10">
        <f t="shared" si="0"/>
        <v>14730</v>
      </c>
    </row>
    <row r="16" spans="1:6" x14ac:dyDescent="0.25">
      <c r="A16" s="1" t="s">
        <v>13</v>
      </c>
      <c r="B16" s="11">
        <f>NetJanToFeb!B16+NetFebToMar!B16+NetMarToApr!B16+NetAprToMay!B16+NetMayToJun!B16+NetJunToJul!B16+NetJulToAug!B16+NetAugToSep!B16+NetSepToOct!B16+NetOctToNov!B16+NetNovToDec!B16</f>
        <v>1327</v>
      </c>
      <c r="C16" s="11">
        <f>NetJanToFeb!C16+NetFebToMar!C16+NetMarToApr!C16+NetAprToMay!C16+NetMayToJun!C16+NetJunToJul!C16+NetJulToAug!C16+NetAugToSep!C16+NetSepToOct!C16+NetOctToNov!C16+NetNovToDec!C16</f>
        <v>-232</v>
      </c>
      <c r="D16" s="11">
        <f>NetJanToFeb!D16+NetFebToMar!D16+NetMarToApr!D16+NetAprToMay!D16+NetMayToJun!D16+NetJunToJul!D16+NetJulToAug!D16+NetAugToSep!D16+NetSepToOct!D16+NetOctToNov!D16+NetNovToDec!D16</f>
        <v>83</v>
      </c>
      <c r="E16" s="11">
        <f>NetJanToFeb!E16+NetFebToMar!E16+NetMarToApr!E16+NetAprToMay!E16+NetMayToJun!E16+NetJunToJul!E16+NetJulToAug!E16+NetAugToSep!E16+NetSepToOct!E16+NetOctToNov!E16+NetNovToDec!E16</f>
        <v>158</v>
      </c>
      <c r="F16" s="10">
        <f t="shared" si="0"/>
        <v>1336</v>
      </c>
    </row>
    <row r="17" spans="1:6" x14ac:dyDescent="0.25">
      <c r="A17" s="1" t="s">
        <v>14</v>
      </c>
      <c r="B17" s="11">
        <f>NetJanToFeb!B17+NetFebToMar!B17+NetMarToApr!B17+NetAprToMay!B17+NetMayToJun!B17+NetJunToJul!B17+NetJulToAug!B17+NetAugToSep!B17+NetSepToOct!B17+NetOctToNov!B17+NetNovToDec!B17</f>
        <v>419</v>
      </c>
      <c r="C17" s="11">
        <f>NetJanToFeb!C17+NetFebToMar!C17+NetMarToApr!C17+NetAprToMay!C17+NetMayToJun!C17+NetJunToJul!C17+NetJulToAug!C17+NetAugToSep!C17+NetSepToOct!C17+NetOctToNov!C17+NetNovToDec!C17</f>
        <v>-196</v>
      </c>
      <c r="D17" s="11">
        <f>NetJanToFeb!D17+NetFebToMar!D17+NetMarToApr!D17+NetAprToMay!D17+NetMayToJun!D17+NetJunToJul!D17+NetJulToAug!D17+NetAugToSep!D17+NetSepToOct!D17+NetOctToNov!D17+NetNovToDec!D17</f>
        <v>23</v>
      </c>
      <c r="E17" s="11">
        <f>NetJanToFeb!E17+NetFebToMar!E17+NetMarToApr!E17+NetAprToMay!E17+NetMayToJun!E17+NetJunToJul!E17+NetJulToAug!E17+NetAugToSep!E17+NetSepToOct!E17+NetOctToNov!E17+NetNovToDec!E17</f>
        <v>237</v>
      </c>
      <c r="F17" s="10">
        <f t="shared" si="0"/>
        <v>483</v>
      </c>
    </row>
    <row r="18" spans="1:6" x14ac:dyDescent="0.25">
      <c r="A18" s="1" t="s">
        <v>15</v>
      </c>
      <c r="B18" s="11">
        <f>NetJanToFeb!B18+NetFebToMar!B18+NetMarToApr!B18+NetAprToMay!B18+NetMayToJun!B18+NetJunToJul!B18+NetJulToAug!B18+NetAugToSep!B18+NetSepToOct!B18+NetOctToNov!B18+NetNovToDec!B18</f>
        <v>406</v>
      </c>
      <c r="C18" s="11">
        <f>NetJanToFeb!C18+NetFebToMar!C18+NetMarToApr!C18+NetAprToMay!C18+NetMayToJun!C18+NetJunToJul!C18+NetJulToAug!C18+NetAugToSep!C18+NetSepToOct!C18+NetOctToNov!C18+NetNovToDec!C18</f>
        <v>-314</v>
      </c>
      <c r="D18" s="11">
        <f>NetJanToFeb!D18+NetFebToMar!D18+NetMarToApr!D18+NetAprToMay!D18+NetMayToJun!D18+NetJunToJul!D18+NetJulToAug!D18+NetAugToSep!D18+NetSepToOct!D18+NetOctToNov!D18+NetNovToDec!D18</f>
        <v>19</v>
      </c>
      <c r="E18" s="11">
        <f>NetJanToFeb!E18+NetFebToMar!E18+NetMarToApr!E18+NetAprToMay!E18+NetMayToJun!E18+NetJunToJul!E18+NetJulToAug!E18+NetAugToSep!E18+NetSepToOct!E18+NetOctToNov!E18+NetNovToDec!E18</f>
        <v>80</v>
      </c>
      <c r="F18" s="10">
        <f t="shared" si="0"/>
        <v>191</v>
      </c>
    </row>
    <row r="19" spans="1:6" x14ac:dyDescent="0.25">
      <c r="A19" s="1" t="s">
        <v>16</v>
      </c>
      <c r="B19" s="11">
        <f>NetJanToFeb!B19+NetFebToMar!B19+NetMarToApr!B19+NetAprToMay!B19+NetMayToJun!B19+NetJunToJul!B19+NetJulToAug!B19+NetAugToSep!B19+NetSepToOct!B19+NetOctToNov!B19+NetNovToDec!B19</f>
        <v>6593</v>
      </c>
      <c r="C19" s="11">
        <f>NetJanToFeb!C19+NetFebToMar!C19+NetMarToApr!C19+NetAprToMay!C19+NetMayToJun!C19+NetJunToJul!C19+NetJulToAug!C19+NetAugToSep!C19+NetSepToOct!C19+NetOctToNov!C19+NetNovToDec!C19</f>
        <v>14498</v>
      </c>
      <c r="D19" s="11">
        <f>NetJanToFeb!D19+NetFebToMar!D19+NetMarToApr!D19+NetAprToMay!D19+NetMayToJun!D19+NetJunToJul!D19+NetJulToAug!D19+NetAugToSep!D19+NetSepToOct!D19+NetOctToNov!D19+NetNovToDec!D19</f>
        <v>2116</v>
      </c>
      <c r="E19" s="11">
        <f>NetJanToFeb!E19+NetFebToMar!E19+NetMarToApr!E19+NetAprToMay!E19+NetMayToJun!E19+NetJunToJul!E19+NetJulToAug!E19+NetAugToSep!E19+NetSepToOct!E19+NetOctToNov!E19+NetNovToDec!E19</f>
        <v>9502</v>
      </c>
      <c r="F19" s="10">
        <f t="shared" si="0"/>
        <v>32709</v>
      </c>
    </row>
    <row r="20" spans="1:6" x14ac:dyDescent="0.25">
      <c r="A20" s="1" t="s">
        <v>17</v>
      </c>
      <c r="B20" s="11">
        <f>NetJanToFeb!B20+NetFebToMar!B20+NetMarToApr!B20+NetAprToMay!B20+NetMayToJun!B20+NetJunToJul!B20+NetJulToAug!B20+NetAugToSep!B20+NetSepToOct!B20+NetOctToNov!B20+NetNovToDec!B20</f>
        <v>4093</v>
      </c>
      <c r="C20" s="11">
        <f>NetJanToFeb!C20+NetFebToMar!C20+NetMarToApr!C20+NetAprToMay!C20+NetMayToJun!C20+NetJunToJul!C20+NetJulToAug!C20+NetAugToSep!C20+NetSepToOct!C20+NetOctToNov!C20+NetNovToDec!C20</f>
        <v>2501</v>
      </c>
      <c r="D20" s="11">
        <f>NetJanToFeb!D20+NetFebToMar!D20+NetMarToApr!D20+NetAprToMay!D20+NetMayToJun!D20+NetJunToJul!D20+NetJulToAug!D20+NetAugToSep!D20+NetSepToOct!D20+NetOctToNov!D20+NetNovToDec!D20</f>
        <v>782</v>
      </c>
      <c r="E20" s="11">
        <f>NetJanToFeb!E20+NetFebToMar!E20+NetMarToApr!E20+NetAprToMay!E20+NetMayToJun!E20+NetJunToJul!E20+NetJulToAug!E20+NetAugToSep!E20+NetSepToOct!E20+NetOctToNov!E20+NetNovToDec!E20</f>
        <v>2571</v>
      </c>
      <c r="F20" s="10">
        <f t="shared" si="0"/>
        <v>9947</v>
      </c>
    </row>
    <row r="21" spans="1:6" x14ac:dyDescent="0.25">
      <c r="A21" s="1" t="s">
        <v>18</v>
      </c>
      <c r="B21" s="11">
        <f>NetJanToFeb!B21+NetFebToMar!B21+NetMarToApr!B21+NetAprToMay!B21+NetMayToJun!B21+NetJunToJul!B21+NetJulToAug!B21+NetAugToSep!B21+NetSepToOct!B21+NetOctToNov!B21+NetNovToDec!B21</f>
        <v>2209</v>
      </c>
      <c r="C21" s="11">
        <f>NetJanToFeb!C21+NetFebToMar!C21+NetMarToApr!C21+NetAprToMay!C21+NetMayToJun!C21+NetJunToJul!C21+NetJulToAug!C21+NetAugToSep!C21+NetSepToOct!C21+NetOctToNov!C21+NetNovToDec!C21</f>
        <v>1129</v>
      </c>
      <c r="D21" s="11">
        <f>NetJanToFeb!D21+NetFebToMar!D21+NetMarToApr!D21+NetAprToMay!D21+NetMayToJun!D21+NetJunToJul!D21+NetJulToAug!D21+NetAugToSep!D21+NetSepToOct!D21+NetOctToNov!D21+NetNovToDec!D21</f>
        <v>223</v>
      </c>
      <c r="E21" s="11">
        <f>NetJanToFeb!E21+NetFebToMar!E21+NetMarToApr!E21+NetAprToMay!E21+NetMayToJun!E21+NetJunToJul!E21+NetJulToAug!E21+NetAugToSep!E21+NetSepToOct!E21+NetOctToNov!E21+NetNovToDec!E21</f>
        <v>637</v>
      </c>
      <c r="F21" s="10">
        <f t="shared" si="0"/>
        <v>4198</v>
      </c>
    </row>
    <row r="22" spans="1:6" x14ac:dyDescent="0.25">
      <c r="A22" s="1" t="s">
        <v>19</v>
      </c>
      <c r="B22" s="11">
        <f>NetJanToFeb!B22+NetFebToMar!B22+NetMarToApr!B22+NetAprToMay!B22+NetMayToJun!B22+NetJunToJul!B22+NetJulToAug!B22+NetAugToSep!B22+NetSepToOct!B22+NetOctToNov!B22+NetNovToDec!B22</f>
        <v>269</v>
      </c>
      <c r="C22" s="11">
        <f>NetJanToFeb!C22+NetFebToMar!C22+NetMarToApr!C22+NetAprToMay!C22+NetMayToJun!C22+NetJunToJul!C22+NetJulToAug!C22+NetAugToSep!C22+NetSepToOct!C22+NetOctToNov!C22+NetNovToDec!C22</f>
        <v>-114</v>
      </c>
      <c r="D22" s="11">
        <f>NetJanToFeb!D22+NetFebToMar!D22+NetMarToApr!D22+NetAprToMay!D22+NetMayToJun!D22+NetJunToJul!D22+NetJulToAug!D22+NetAugToSep!D22+NetSepToOct!D22+NetOctToNov!D22+NetNovToDec!D22</f>
        <v>32</v>
      </c>
      <c r="E22" s="11">
        <f>NetJanToFeb!E22+NetFebToMar!E22+NetMarToApr!E22+NetAprToMay!E22+NetMayToJun!E22+NetJunToJul!E22+NetJulToAug!E22+NetAugToSep!E22+NetSepToOct!E22+NetOctToNov!E22+NetNovToDec!E22</f>
        <v>37</v>
      </c>
      <c r="F22" s="10">
        <f t="shared" si="0"/>
        <v>224</v>
      </c>
    </row>
    <row r="23" spans="1:6" x14ac:dyDescent="0.25">
      <c r="A23" s="1" t="s">
        <v>20</v>
      </c>
      <c r="B23" s="11">
        <f>NetJanToFeb!B23+NetFebToMar!B23+NetMarToApr!B23+NetAprToMay!B23+NetMayToJun!B23+NetJunToJul!B23+NetJulToAug!B23+NetAugToSep!B23+NetSepToOct!B23+NetOctToNov!B23+NetNovToDec!B23</f>
        <v>195</v>
      </c>
      <c r="C23" s="11">
        <f>NetJanToFeb!C23+NetFebToMar!C23+NetMarToApr!C23+NetAprToMay!C23+NetMayToJun!C23+NetJunToJul!C23+NetJulToAug!C23+NetAugToSep!C23+NetSepToOct!C23+NetOctToNov!C23+NetNovToDec!C23</f>
        <v>-410</v>
      </c>
      <c r="D23" s="11">
        <f>NetJanToFeb!D23+NetFebToMar!D23+NetMarToApr!D23+NetAprToMay!D23+NetMayToJun!D23+NetJunToJul!D23+NetJulToAug!D23+NetAugToSep!D23+NetSepToOct!D23+NetOctToNov!D23+NetNovToDec!D23</f>
        <v>46</v>
      </c>
      <c r="E23" s="11">
        <f>NetJanToFeb!E23+NetFebToMar!E23+NetMarToApr!E23+NetAprToMay!E23+NetMayToJun!E23+NetJunToJul!E23+NetJulToAug!E23+NetAugToSep!E23+NetSepToOct!E23+NetOctToNov!E23+NetNovToDec!E23</f>
        <v>152</v>
      </c>
      <c r="F23" s="10">
        <f t="shared" si="0"/>
        <v>-17</v>
      </c>
    </row>
    <row r="24" spans="1:6" x14ac:dyDescent="0.25">
      <c r="A24" s="1" t="s">
        <v>21</v>
      </c>
      <c r="B24" s="11">
        <f>NetJanToFeb!B24+NetFebToMar!B24+NetMarToApr!B24+NetAprToMay!B24+NetMayToJun!B24+NetJunToJul!B24+NetJulToAug!B24+NetAugToSep!B24+NetSepToOct!B24+NetOctToNov!B24+NetNovToDec!B24</f>
        <v>435</v>
      </c>
      <c r="C24" s="11">
        <f>NetJanToFeb!C24+NetFebToMar!C24+NetMarToApr!C24+NetAprToMay!C24+NetMayToJun!C24+NetJunToJul!C24+NetJulToAug!C24+NetAugToSep!C24+NetSepToOct!C24+NetOctToNov!C24+NetNovToDec!C24</f>
        <v>-150</v>
      </c>
      <c r="D24" s="11">
        <f>NetJanToFeb!D24+NetFebToMar!D24+NetMarToApr!D24+NetAprToMay!D24+NetMayToJun!D24+NetJunToJul!D24+NetJulToAug!D24+NetAugToSep!D24+NetSepToOct!D24+NetOctToNov!D24+NetNovToDec!D24</f>
        <v>17</v>
      </c>
      <c r="E24" s="11">
        <f>NetJanToFeb!E24+NetFebToMar!E24+NetMarToApr!E24+NetAprToMay!E24+NetMayToJun!E24+NetJunToJul!E24+NetJulToAug!E24+NetAugToSep!E24+NetSepToOct!E24+NetOctToNov!E24+NetNovToDec!E24</f>
        <v>114</v>
      </c>
      <c r="F24" s="10">
        <f t="shared" si="0"/>
        <v>416</v>
      </c>
    </row>
    <row r="25" spans="1:6" x14ac:dyDescent="0.25">
      <c r="A25" s="1" t="s">
        <v>22</v>
      </c>
      <c r="B25" s="11">
        <f>NetJanToFeb!B25+NetFebToMar!B25+NetMarToApr!B25+NetAprToMay!B25+NetMayToJun!B25+NetJunToJul!B25+NetJulToAug!B25+NetAugToSep!B25+NetSepToOct!B25+NetOctToNov!B25+NetNovToDec!B25</f>
        <v>292</v>
      </c>
      <c r="C25" s="11">
        <f>NetJanToFeb!C25+NetFebToMar!C25+NetMarToApr!C25+NetAprToMay!C25+NetMayToJun!C25+NetJunToJul!C25+NetJulToAug!C25+NetAugToSep!C25+NetSepToOct!C25+NetOctToNov!C25+NetNovToDec!C25</f>
        <v>-174</v>
      </c>
      <c r="D25" s="11">
        <f>NetJanToFeb!D25+NetFebToMar!D25+NetMarToApr!D25+NetAprToMay!D25+NetMayToJun!D25+NetJunToJul!D25+NetJulToAug!D25+NetAugToSep!D25+NetSepToOct!D25+NetOctToNov!D25+NetNovToDec!D25</f>
        <v>15</v>
      </c>
      <c r="E25" s="11">
        <f>NetJanToFeb!E25+NetFebToMar!E25+NetMarToApr!E25+NetAprToMay!E25+NetMayToJun!E25+NetJunToJul!E25+NetJulToAug!E25+NetAugToSep!E25+NetSepToOct!E25+NetOctToNov!E25+NetNovToDec!E25</f>
        <v>69</v>
      </c>
      <c r="F25" s="10">
        <f t="shared" si="0"/>
        <v>202</v>
      </c>
    </row>
    <row r="26" spans="1:6" x14ac:dyDescent="0.25">
      <c r="A26" s="1" t="s">
        <v>23</v>
      </c>
      <c r="B26" s="11">
        <f>NetJanToFeb!B26+NetFebToMar!B26+NetMarToApr!B26+NetAprToMay!B26+NetMayToJun!B26+NetJunToJul!B26+NetJulToAug!B26+NetAugToSep!B26+NetSepToOct!B26+NetOctToNov!B26+NetNovToDec!B26</f>
        <v>368</v>
      </c>
      <c r="C26" s="11">
        <f>NetJanToFeb!C26+NetFebToMar!C26+NetMarToApr!C26+NetAprToMay!C26+NetMayToJun!C26+NetJunToJul!C26+NetJulToAug!C26+NetAugToSep!C26+NetSepToOct!C26+NetOctToNov!C26+NetNovToDec!C26</f>
        <v>-97</v>
      </c>
      <c r="D26" s="11">
        <f>NetJanToFeb!D26+NetFebToMar!D26+NetMarToApr!D26+NetAprToMay!D26+NetMayToJun!D26+NetJunToJul!D26+NetJulToAug!D26+NetAugToSep!D26+NetSepToOct!D26+NetOctToNov!D26+NetNovToDec!D26</f>
        <v>67</v>
      </c>
      <c r="E26" s="11">
        <f>NetJanToFeb!E26+NetFebToMar!E26+NetMarToApr!E26+NetAprToMay!E26+NetMayToJun!E26+NetJunToJul!E26+NetJulToAug!E26+NetAugToSep!E26+NetSepToOct!E26+NetOctToNov!E26+NetNovToDec!E26</f>
        <v>51</v>
      </c>
      <c r="F26" s="10">
        <f t="shared" si="0"/>
        <v>389</v>
      </c>
    </row>
    <row r="27" spans="1:6" x14ac:dyDescent="0.25">
      <c r="A27" s="1" t="s">
        <v>24</v>
      </c>
      <c r="B27" s="11">
        <f>NetJanToFeb!B27+NetFebToMar!B27+NetMarToApr!B27+NetAprToMay!B27+NetMayToJun!B27+NetJunToJul!B27+NetJulToAug!B27+NetAugToSep!B27+NetSepToOct!B27+NetOctToNov!B27+NetNovToDec!B27</f>
        <v>252</v>
      </c>
      <c r="C27" s="11">
        <f>NetJanToFeb!C27+NetFebToMar!C27+NetMarToApr!C27+NetAprToMay!C27+NetMayToJun!C27+NetJunToJul!C27+NetJulToAug!C27+NetAugToSep!C27+NetSepToOct!C27+NetOctToNov!C27+NetNovToDec!C27</f>
        <v>-186</v>
      </c>
      <c r="D27" s="11">
        <f>NetJanToFeb!D27+NetFebToMar!D27+NetMarToApr!D27+NetAprToMay!D27+NetMayToJun!D27+NetJunToJul!D27+NetJulToAug!D27+NetAugToSep!D27+NetSepToOct!D27+NetOctToNov!D27+NetNovToDec!D27</f>
        <v>25</v>
      </c>
      <c r="E27" s="11">
        <f>NetJanToFeb!E27+NetFebToMar!E27+NetMarToApr!E27+NetAprToMay!E27+NetMayToJun!E27+NetJunToJul!E27+NetJulToAug!E27+NetAugToSep!E27+NetSepToOct!E27+NetOctToNov!E27+NetNovToDec!E27</f>
        <v>24</v>
      </c>
      <c r="F27" s="10">
        <f t="shared" si="0"/>
        <v>115</v>
      </c>
    </row>
    <row r="28" spans="1:6" x14ac:dyDescent="0.25">
      <c r="A28" s="1" t="s">
        <v>25</v>
      </c>
      <c r="B28" s="11">
        <f>NetJanToFeb!B28+NetFebToMar!B28+NetMarToApr!B28+NetAprToMay!B28+NetMayToJun!B28+NetJunToJul!B28+NetJulToAug!B28+NetAugToSep!B28+NetSepToOct!B28+NetOctToNov!B28+NetNovToDec!B28</f>
        <v>360</v>
      </c>
      <c r="C28" s="11">
        <f>NetJanToFeb!C28+NetFebToMar!C28+NetMarToApr!C28+NetAprToMay!C28+NetMayToJun!C28+NetJunToJul!C28+NetJulToAug!C28+NetAugToSep!C28+NetSepToOct!C28+NetOctToNov!C28+NetNovToDec!C28</f>
        <v>-192</v>
      </c>
      <c r="D28" s="11">
        <f>NetJanToFeb!D28+NetFebToMar!D28+NetMarToApr!D28+NetAprToMay!D28+NetMayToJun!D28+NetJunToJul!D28+NetJulToAug!D28+NetAugToSep!D28+NetSepToOct!D28+NetOctToNov!D28+NetNovToDec!D28</f>
        <v>-78</v>
      </c>
      <c r="E28" s="11">
        <f>NetJanToFeb!E28+NetFebToMar!E28+NetMarToApr!E28+NetAprToMay!E28+NetMayToJun!E28+NetJunToJul!E28+NetJulToAug!E28+NetAugToSep!E28+NetSepToOct!E28+NetOctToNov!E28+NetNovToDec!E28</f>
        <v>207</v>
      </c>
      <c r="F28" s="10">
        <f t="shared" si="0"/>
        <v>297</v>
      </c>
    </row>
    <row r="29" spans="1:6" x14ac:dyDescent="0.25">
      <c r="A29" s="1" t="s">
        <v>26</v>
      </c>
      <c r="B29" s="11">
        <f>NetJanToFeb!B29+NetFebToMar!B29+NetMarToApr!B29+NetAprToMay!B29+NetMayToJun!B29+NetJunToJul!B29+NetJulToAug!B29+NetAugToSep!B29+NetSepToOct!B29+NetOctToNov!B29+NetNovToDec!B29</f>
        <v>462</v>
      </c>
      <c r="C29" s="11">
        <f>NetJanToFeb!C29+NetFebToMar!C29+NetMarToApr!C29+NetAprToMay!C29+NetMayToJun!C29+NetJunToJul!C29+NetJulToAug!C29+NetAugToSep!C29+NetSepToOct!C29+NetOctToNov!C29+NetNovToDec!C29</f>
        <v>-61</v>
      </c>
      <c r="D29" s="11">
        <f>NetJanToFeb!D29+NetFebToMar!D29+NetMarToApr!D29+NetAprToMay!D29+NetMayToJun!D29+NetJunToJul!D29+NetJulToAug!D29+NetAugToSep!D29+NetSepToOct!D29+NetOctToNov!D29+NetNovToDec!D29</f>
        <v>50</v>
      </c>
      <c r="E29" s="11">
        <f>NetJanToFeb!E29+NetFebToMar!E29+NetMarToApr!E29+NetAprToMay!E29+NetMayToJun!E29+NetJunToJul!E29+NetJulToAug!E29+NetAugToSep!E29+NetSepToOct!E29+NetOctToNov!E29+NetNovToDec!E29</f>
        <v>171</v>
      </c>
      <c r="F29" s="10">
        <f t="shared" si="0"/>
        <v>622</v>
      </c>
    </row>
    <row r="30" spans="1:6" x14ac:dyDescent="0.25">
      <c r="A30" s="1" t="s">
        <v>27</v>
      </c>
      <c r="B30" s="11">
        <f>NetJanToFeb!B30+NetFebToMar!B30+NetMarToApr!B30+NetAprToMay!B30+NetMayToJun!B30+NetJunToJul!B30+NetJulToAug!B30+NetAugToSep!B30+NetSepToOct!B30+NetOctToNov!B30+NetNovToDec!B30</f>
        <v>2728</v>
      </c>
      <c r="C30" s="11">
        <f>NetJanToFeb!C30+NetFebToMar!C30+NetMarToApr!C30+NetAprToMay!C30+NetMayToJun!C30+NetJunToJul!C30+NetJulToAug!C30+NetAugToSep!C30+NetSepToOct!C30+NetOctToNov!C30+NetNovToDec!C30</f>
        <v>330</v>
      </c>
      <c r="D30" s="11">
        <f>NetJanToFeb!D30+NetFebToMar!D30+NetMarToApr!D30+NetAprToMay!D30+NetMayToJun!D30+NetJunToJul!D30+NetJulToAug!D30+NetAugToSep!D30+NetSepToOct!D30+NetOctToNov!D30+NetNovToDec!D30</f>
        <v>546</v>
      </c>
      <c r="E30" s="11">
        <f>NetJanToFeb!E30+NetFebToMar!E30+NetMarToApr!E30+NetAprToMay!E30+NetMayToJun!E30+NetJunToJul!E30+NetJulToAug!E30+NetAugToSep!E30+NetSepToOct!E30+NetOctToNov!E30+NetNovToDec!E30</f>
        <v>459</v>
      </c>
      <c r="F30" s="10">
        <f t="shared" si="0"/>
        <v>4063</v>
      </c>
    </row>
    <row r="31" spans="1:6" x14ac:dyDescent="0.25">
      <c r="A31" s="1" t="s">
        <v>28</v>
      </c>
      <c r="B31" s="11">
        <f>NetJanToFeb!B31+NetFebToMar!B31+NetMarToApr!B31+NetAprToMay!B31+NetMayToJun!B31+NetJunToJul!B31+NetJulToAug!B31+NetAugToSep!B31+NetSepToOct!B31+NetOctToNov!B31+NetNovToDec!B31</f>
        <v>1364</v>
      </c>
      <c r="C31" s="11">
        <f>NetJanToFeb!C31+NetFebToMar!C31+NetMarToApr!C31+NetAprToMay!C31+NetMayToJun!C31+NetJunToJul!C31+NetJulToAug!C31+NetAugToSep!C31+NetSepToOct!C31+NetOctToNov!C31+NetNovToDec!C31</f>
        <v>148</v>
      </c>
      <c r="D31" s="11">
        <f>NetJanToFeb!D31+NetFebToMar!D31+NetMarToApr!D31+NetAprToMay!D31+NetMayToJun!D31+NetJunToJul!D31+NetJulToAug!D31+NetAugToSep!D31+NetSepToOct!D31+NetOctToNov!D31+NetNovToDec!D31</f>
        <v>140</v>
      </c>
      <c r="E31" s="11">
        <f>NetJanToFeb!E31+NetFebToMar!E31+NetMarToApr!E31+NetAprToMay!E31+NetMayToJun!E31+NetJunToJul!E31+NetJulToAug!E31+NetAugToSep!E31+NetSepToOct!E31+NetOctToNov!E31+NetNovToDec!E31</f>
        <v>612</v>
      </c>
      <c r="F31" s="10">
        <f t="shared" si="0"/>
        <v>2264</v>
      </c>
    </row>
    <row r="32" spans="1:6" x14ac:dyDescent="0.25">
      <c r="A32" s="1" t="s">
        <v>29</v>
      </c>
      <c r="B32" s="11">
        <f>NetJanToFeb!B32+NetFebToMar!B32+NetMarToApr!B32+NetAprToMay!B32+NetMayToJun!B32+NetJunToJul!B32+NetJulToAug!B32+NetAugToSep!B32+NetSepToOct!B32+NetOctToNov!B32+NetNovToDec!B32</f>
        <v>11234</v>
      </c>
      <c r="C32" s="11">
        <f>NetJanToFeb!C32+NetFebToMar!C32+NetMarToApr!C32+NetAprToMay!C32+NetMayToJun!C32+NetJunToJul!C32+NetJulToAug!C32+NetAugToSep!C32+NetSepToOct!C32+NetOctToNov!C32+NetNovToDec!C32</f>
        <v>18709</v>
      </c>
      <c r="D32" s="11">
        <f>NetJanToFeb!D32+NetFebToMar!D32+NetMarToApr!D32+NetAprToMay!D32+NetMayToJun!D32+NetJunToJul!D32+NetJulToAug!D32+NetAugToSep!D32+NetSepToOct!D32+NetOctToNov!D32+NetNovToDec!D32</f>
        <v>3066</v>
      </c>
      <c r="E32" s="11">
        <f>NetJanToFeb!E32+NetFebToMar!E32+NetMarToApr!E32+NetAprToMay!E32+NetMayToJun!E32+NetJunToJul!E32+NetJulToAug!E32+NetAugToSep!E32+NetSepToOct!E32+NetOctToNov!E32+NetNovToDec!E32</f>
        <v>12632</v>
      </c>
      <c r="F32" s="10">
        <f t="shared" si="0"/>
        <v>45641</v>
      </c>
    </row>
    <row r="33" spans="1:6" x14ac:dyDescent="0.25">
      <c r="A33" s="1" t="s">
        <v>30</v>
      </c>
      <c r="B33" s="11">
        <f>NetJanToFeb!B33+NetFebToMar!B33+NetMarToApr!B33+NetAprToMay!B33+NetMayToJun!B33+NetJunToJul!B33+NetJulToAug!B33+NetAugToSep!B33+NetSepToOct!B33+NetOctToNov!B33+NetNovToDec!B33</f>
        <v>442</v>
      </c>
      <c r="C33" s="11">
        <f>NetJanToFeb!C33+NetFebToMar!C33+NetMarToApr!C33+NetAprToMay!C33+NetMayToJun!C33+NetJunToJul!C33+NetJulToAug!C33+NetAugToSep!C33+NetSepToOct!C33+NetOctToNov!C33+NetNovToDec!C33</f>
        <v>-216</v>
      </c>
      <c r="D33" s="11">
        <f>NetJanToFeb!D33+NetFebToMar!D33+NetMarToApr!D33+NetAprToMay!D33+NetMayToJun!D33+NetJunToJul!D33+NetJulToAug!D33+NetAugToSep!D33+NetSepToOct!D33+NetOctToNov!D33+NetNovToDec!D33</f>
        <v>19</v>
      </c>
      <c r="E33" s="11">
        <f>NetJanToFeb!E33+NetFebToMar!E33+NetMarToApr!E33+NetAprToMay!E33+NetMayToJun!E33+NetJunToJul!E33+NetJulToAug!E33+NetAugToSep!E33+NetSepToOct!E33+NetOctToNov!E33+NetNovToDec!E33</f>
        <v>96</v>
      </c>
      <c r="F33" s="10">
        <f t="shared" si="0"/>
        <v>341</v>
      </c>
    </row>
    <row r="34" spans="1:6" x14ac:dyDescent="0.25">
      <c r="A34" s="1" t="s">
        <v>31</v>
      </c>
      <c r="B34" s="11">
        <f>NetJanToFeb!B34+NetFebToMar!B34+NetMarToApr!B34+NetAprToMay!B34+NetMayToJun!B34+NetJunToJul!B34+NetJulToAug!B34+NetAugToSep!B34+NetSepToOct!B34+NetOctToNov!B34+NetNovToDec!B34</f>
        <v>2280</v>
      </c>
      <c r="C34" s="11">
        <f>NetJanToFeb!C34+NetFebToMar!C34+NetMarToApr!C34+NetAprToMay!C34+NetMayToJun!C34+NetJunToJul!C34+NetJulToAug!C34+NetAugToSep!C34+NetSepToOct!C34+NetOctToNov!C34+NetNovToDec!C34</f>
        <v>1645</v>
      </c>
      <c r="D34" s="11">
        <f>NetJanToFeb!D34+NetFebToMar!D34+NetMarToApr!D34+NetAprToMay!D34+NetMayToJun!D34+NetJunToJul!D34+NetJulToAug!D34+NetAugToSep!D34+NetSepToOct!D34+NetOctToNov!D34+NetNovToDec!D34</f>
        <v>409</v>
      </c>
      <c r="E34" s="11">
        <f>NetJanToFeb!E34+NetFebToMar!E34+NetMarToApr!E34+NetAprToMay!E34+NetMayToJun!E34+NetJunToJul!E34+NetJulToAug!E34+NetAugToSep!E34+NetSepToOct!E34+NetOctToNov!E34+NetNovToDec!E34</f>
        <v>485</v>
      </c>
      <c r="F34" s="10">
        <f t="shared" si="0"/>
        <v>4819</v>
      </c>
    </row>
    <row r="35" spans="1:6" x14ac:dyDescent="0.25">
      <c r="A35" s="1" t="s">
        <v>32</v>
      </c>
      <c r="B35" s="11">
        <f>NetJanToFeb!B35+NetFebToMar!B35+NetMarToApr!B35+NetAprToMay!B35+NetMayToJun!B35+NetJunToJul!B35+NetJulToAug!B35+NetAugToSep!B35+NetSepToOct!B35+NetOctToNov!B35+NetNovToDec!B35</f>
        <v>936</v>
      </c>
      <c r="C35" s="11">
        <f>NetJanToFeb!C35+NetFebToMar!C35+NetMarToApr!C35+NetAprToMay!C35+NetMayToJun!C35+NetJunToJul!C35+NetJulToAug!C35+NetAugToSep!C35+NetSepToOct!C35+NetOctToNov!C35+NetNovToDec!C35</f>
        <v>-300</v>
      </c>
      <c r="D35" s="11">
        <f>NetJanToFeb!D35+NetFebToMar!D35+NetMarToApr!D35+NetAprToMay!D35+NetMayToJun!D35+NetJunToJul!D35+NetJulToAug!D35+NetAugToSep!D35+NetSepToOct!D35+NetOctToNov!D35+NetNovToDec!D35</f>
        <v>12</v>
      </c>
      <c r="E35" s="11">
        <f>NetJanToFeb!E35+NetFebToMar!E35+NetMarToApr!E35+NetAprToMay!E35+NetMayToJun!E35+NetJunToJul!E35+NetJulToAug!E35+NetAugToSep!E35+NetSepToOct!E35+NetOctToNov!E35+NetNovToDec!E35</f>
        <v>210</v>
      </c>
      <c r="F35" s="10">
        <f t="shared" si="0"/>
        <v>858</v>
      </c>
    </row>
    <row r="36" spans="1:6" x14ac:dyDescent="0.25">
      <c r="A36" s="1" t="s">
        <v>33</v>
      </c>
      <c r="B36" s="11">
        <f>NetJanToFeb!B36+NetFebToMar!B36+NetMarToApr!B36+NetAprToMay!B36+NetMayToJun!B36+NetJunToJul!B36+NetJulToAug!B36+NetAugToSep!B36+NetSepToOct!B36+NetOctToNov!B36+NetNovToDec!B36</f>
        <v>435</v>
      </c>
      <c r="C36" s="11">
        <f>NetJanToFeb!C36+NetFebToMar!C36+NetMarToApr!C36+NetAprToMay!C36+NetMayToJun!C36+NetJunToJul!C36+NetJulToAug!C36+NetAugToSep!C36+NetSepToOct!C36+NetOctToNov!C36+NetNovToDec!C36</f>
        <v>-232</v>
      </c>
      <c r="D36" s="11">
        <f>NetJanToFeb!D36+NetFebToMar!D36+NetMarToApr!D36+NetAprToMay!D36+NetMayToJun!D36+NetJunToJul!D36+NetJulToAug!D36+NetAugToSep!D36+NetSepToOct!D36+NetOctToNov!D36+NetNovToDec!D36</f>
        <v>14</v>
      </c>
      <c r="E36" s="11">
        <f>NetJanToFeb!E36+NetFebToMar!E36+NetMarToApr!E36+NetAprToMay!E36+NetMayToJun!E36+NetJunToJul!E36+NetJulToAug!E36+NetAugToSep!E36+NetSepToOct!E36+NetOctToNov!E36+NetNovToDec!E36</f>
        <v>31</v>
      </c>
      <c r="F36" s="10">
        <f t="shared" si="0"/>
        <v>248</v>
      </c>
    </row>
    <row r="37" spans="1:6" x14ac:dyDescent="0.25">
      <c r="A37" s="1" t="s">
        <v>34</v>
      </c>
      <c r="B37" s="11">
        <f>NetJanToFeb!B37+NetFebToMar!B37+NetMarToApr!B37+NetAprToMay!B37+NetMayToJun!B37+NetJunToJul!B37+NetJulToAug!B37+NetAugToSep!B37+NetSepToOct!B37+NetOctToNov!B37+NetNovToDec!B37</f>
        <v>325</v>
      </c>
      <c r="C37" s="11">
        <f>NetJanToFeb!C37+NetFebToMar!C37+NetMarToApr!C37+NetAprToMay!C37+NetMayToJun!C37+NetJunToJul!C37+NetJulToAug!C37+NetAugToSep!C37+NetSepToOct!C37+NetOctToNov!C37+NetNovToDec!C37</f>
        <v>-262</v>
      </c>
      <c r="D37" s="11">
        <f>NetJanToFeb!D37+NetFebToMar!D37+NetMarToApr!D37+NetAprToMay!D37+NetMayToJun!D37+NetJunToJul!D37+NetJulToAug!D37+NetAugToSep!D37+NetSepToOct!D37+NetOctToNov!D37+NetNovToDec!D37</f>
        <v>2</v>
      </c>
      <c r="E37" s="11">
        <f>NetJanToFeb!E37+NetFebToMar!E37+NetMarToApr!E37+NetAprToMay!E37+NetMayToJun!E37+NetJunToJul!E37+NetJulToAug!E37+NetAugToSep!E37+NetSepToOct!E37+NetOctToNov!E37+NetNovToDec!E37</f>
        <v>0</v>
      </c>
      <c r="F37" s="10">
        <f t="shared" si="0"/>
        <v>65</v>
      </c>
    </row>
    <row r="38" spans="1:6" x14ac:dyDescent="0.25">
      <c r="A38" s="1" t="s">
        <v>35</v>
      </c>
      <c r="B38" s="11">
        <f>NetJanToFeb!B38+NetFebToMar!B38+NetMarToApr!B38+NetAprToMay!B38+NetMayToJun!B38+NetJunToJul!B38+NetJulToAug!B38+NetAugToSep!B38+NetSepToOct!B38+NetOctToNov!B38+NetNovToDec!B38</f>
        <v>5481</v>
      </c>
      <c r="C38" s="11">
        <f>NetJanToFeb!C38+NetFebToMar!C38+NetMarToApr!C38+NetAprToMay!C38+NetMayToJun!C38+NetJunToJul!C38+NetJulToAug!C38+NetAugToSep!C38+NetSepToOct!C38+NetOctToNov!C38+NetNovToDec!C38</f>
        <v>3446</v>
      </c>
      <c r="D38" s="11">
        <f>NetJanToFeb!D38+NetFebToMar!D38+NetMarToApr!D38+NetAprToMay!D38+NetMayToJun!D38+NetJunToJul!D38+NetJulToAug!D38+NetAugToSep!D38+NetSepToOct!D38+NetOctToNov!D38+NetNovToDec!D38</f>
        <v>564</v>
      </c>
      <c r="E38" s="11">
        <f>NetJanToFeb!E38+NetFebToMar!E38+NetMarToApr!E38+NetAprToMay!E38+NetMayToJun!E38+NetJunToJul!E38+NetJulToAug!E38+NetAugToSep!E38+NetSepToOct!E38+NetOctToNov!E38+NetNovToDec!E38</f>
        <v>3744</v>
      </c>
      <c r="F38" s="10">
        <f t="shared" si="0"/>
        <v>13235</v>
      </c>
    </row>
    <row r="39" spans="1:6" x14ac:dyDescent="0.25">
      <c r="A39" s="1" t="s">
        <v>36</v>
      </c>
      <c r="B39" s="11">
        <f>NetJanToFeb!B39+NetFebToMar!B39+NetMarToApr!B39+NetAprToMay!B39+NetMayToJun!B39+NetJunToJul!B39+NetJulToAug!B39+NetAugToSep!B39+NetSepToOct!B39+NetOctToNov!B39+NetNovToDec!B39</f>
        <v>5652</v>
      </c>
      <c r="C39" s="11">
        <f>NetJanToFeb!C39+NetFebToMar!C39+NetMarToApr!C39+NetAprToMay!C39+NetMayToJun!C39+NetJunToJul!C39+NetJulToAug!C39+NetAugToSep!C39+NetSepToOct!C39+NetOctToNov!C39+NetNovToDec!C39</f>
        <v>4968</v>
      </c>
      <c r="D39" s="11">
        <f>NetJanToFeb!D39+NetFebToMar!D39+NetMarToApr!D39+NetAprToMay!D39+NetMayToJun!D39+NetJunToJul!D39+NetJulToAug!D39+NetAugToSep!D39+NetSepToOct!D39+NetOctToNov!D39+NetNovToDec!D39</f>
        <v>1382</v>
      </c>
      <c r="E39" s="11">
        <f>NetJanToFeb!E39+NetFebToMar!E39+NetMarToApr!E39+NetAprToMay!E39+NetMayToJun!E39+NetJunToJul!E39+NetJulToAug!E39+NetAugToSep!E39+NetSepToOct!E39+NetOctToNov!E39+NetNovToDec!E39</f>
        <v>5196</v>
      </c>
      <c r="F39" s="10">
        <f t="shared" si="0"/>
        <v>17198</v>
      </c>
    </row>
    <row r="40" spans="1:6" x14ac:dyDescent="0.25">
      <c r="A40" s="1" t="s">
        <v>37</v>
      </c>
      <c r="B40" s="11">
        <f>NetJanToFeb!B40+NetFebToMar!B40+NetMarToApr!B40+NetAprToMay!B40+NetMayToJun!B40+NetJunToJul!B40+NetJulToAug!B40+NetAugToSep!B40+NetSepToOct!B40+NetOctToNov!B40+NetNovToDec!B40</f>
        <v>932</v>
      </c>
      <c r="C40" s="11">
        <f>NetJanToFeb!C40+NetFebToMar!C40+NetMarToApr!C40+NetAprToMay!C40+NetMayToJun!C40+NetJunToJul!C40+NetJulToAug!C40+NetAugToSep!C40+NetSepToOct!C40+NetOctToNov!C40+NetNovToDec!C40</f>
        <v>4515</v>
      </c>
      <c r="D40" s="11">
        <f>NetJanToFeb!D40+NetFebToMar!D40+NetMarToApr!D40+NetAprToMay!D40+NetMayToJun!D40+NetJunToJul!D40+NetJulToAug!D40+NetAugToSep!D40+NetSepToOct!D40+NetOctToNov!D40+NetNovToDec!D40</f>
        <v>677</v>
      </c>
      <c r="E40" s="11">
        <f>NetJanToFeb!E40+NetFebToMar!E40+NetMarToApr!E40+NetAprToMay!E40+NetMayToJun!E40+NetJunToJul!E40+NetJulToAug!E40+NetAugToSep!E40+NetSepToOct!E40+NetOctToNov!E40+NetNovToDec!E40</f>
        <v>2687</v>
      </c>
      <c r="F40" s="10">
        <f t="shared" si="0"/>
        <v>8811</v>
      </c>
    </row>
    <row r="41" spans="1:6" x14ac:dyDescent="0.25">
      <c r="A41" s="1" t="s">
        <v>38</v>
      </c>
      <c r="B41" s="11">
        <f>NetJanToFeb!B41+NetFebToMar!B41+NetMarToApr!B41+NetAprToMay!B41+NetMayToJun!B41+NetJunToJul!B41+NetJulToAug!B41+NetAugToSep!B41+NetSepToOct!B41+NetOctToNov!B41+NetNovToDec!B41</f>
        <v>690</v>
      </c>
      <c r="C41" s="11">
        <f>NetJanToFeb!C41+NetFebToMar!C41+NetMarToApr!C41+NetAprToMay!C41+NetMayToJun!C41+NetJunToJul!C41+NetJulToAug!C41+NetAugToSep!C41+NetSepToOct!C41+NetOctToNov!C41+NetNovToDec!C41</f>
        <v>-122</v>
      </c>
      <c r="D41" s="11">
        <f>NetJanToFeb!D41+NetFebToMar!D41+NetMarToApr!D41+NetAprToMay!D41+NetMayToJun!D41+NetJunToJul!D41+NetJulToAug!D41+NetAugToSep!D41+NetSepToOct!D41+NetOctToNov!D41+NetNovToDec!D41</f>
        <v>54</v>
      </c>
      <c r="E41" s="11">
        <f>NetJanToFeb!E41+NetFebToMar!E41+NetMarToApr!E41+NetAprToMay!E41+NetMayToJun!E41+NetJunToJul!E41+NetJulToAug!E41+NetAugToSep!E41+NetSepToOct!E41+NetOctToNov!E41+NetNovToDec!E41</f>
        <v>218</v>
      </c>
      <c r="F41" s="10">
        <f t="shared" si="0"/>
        <v>840</v>
      </c>
    </row>
    <row r="42" spans="1:6" x14ac:dyDescent="0.25">
      <c r="A42" s="1" t="s">
        <v>39</v>
      </c>
      <c r="B42" s="11">
        <f>NetJanToFeb!B42+NetFebToMar!B42+NetMarToApr!B42+NetAprToMay!B42+NetMayToJun!B42+NetJunToJul!B42+NetJulToAug!B42+NetAugToSep!B42+NetSepToOct!B42+NetOctToNov!B42+NetNovToDec!B42</f>
        <v>203</v>
      </c>
      <c r="C42" s="11">
        <f>NetJanToFeb!C42+NetFebToMar!C42+NetMarToApr!C42+NetAprToMay!C42+NetMayToJun!C42+NetJunToJul!C42+NetJulToAug!C42+NetAugToSep!C42+NetSepToOct!C42+NetOctToNov!C42+NetNovToDec!C42</f>
        <v>-180</v>
      </c>
      <c r="D42" s="11">
        <f>NetJanToFeb!D42+NetFebToMar!D42+NetMarToApr!D42+NetAprToMay!D42+NetMayToJun!D42+NetJunToJul!D42+NetJulToAug!D42+NetAugToSep!D42+NetSepToOct!D42+NetOctToNov!D42+NetNovToDec!D42</f>
        <v>0</v>
      </c>
      <c r="E42" s="11">
        <f>NetJanToFeb!E42+NetFebToMar!E42+NetMarToApr!E42+NetAprToMay!E42+NetMayToJun!E42+NetJunToJul!E42+NetJulToAug!E42+NetAugToSep!E42+NetSepToOct!E42+NetOctToNov!E42+NetNovToDec!E42</f>
        <v>41</v>
      </c>
      <c r="F42" s="10">
        <f t="shared" si="0"/>
        <v>64</v>
      </c>
    </row>
    <row r="43" spans="1:6" x14ac:dyDescent="0.25">
      <c r="A43" s="1" t="s">
        <v>40</v>
      </c>
      <c r="B43" s="11">
        <f>NetJanToFeb!B43+NetFebToMar!B43+NetMarToApr!B43+NetAprToMay!B43+NetMayToJun!B43+NetJunToJul!B43+NetJulToAug!B43+NetAugToSep!B43+NetSepToOct!B43+NetOctToNov!B43+NetNovToDec!B43</f>
        <v>332</v>
      </c>
      <c r="C43" s="11">
        <f>NetJanToFeb!C43+NetFebToMar!C43+NetMarToApr!C43+NetAprToMay!C43+NetMayToJun!C43+NetJunToJul!C43+NetJulToAug!C43+NetAugToSep!C43+NetSepToOct!C43+NetOctToNov!C43+NetNovToDec!C43</f>
        <v>-144</v>
      </c>
      <c r="D43" s="11">
        <f>NetJanToFeb!D43+NetFebToMar!D43+NetMarToApr!D43+NetAprToMay!D43+NetMayToJun!D43+NetJunToJul!D43+NetJulToAug!D43+NetAugToSep!D43+NetSepToOct!D43+NetOctToNov!D43+NetNovToDec!D43</f>
        <v>14</v>
      </c>
      <c r="E43" s="11">
        <f>NetJanToFeb!E43+NetFebToMar!E43+NetMarToApr!E43+NetAprToMay!E43+NetMayToJun!E43+NetJunToJul!E43+NetJulToAug!E43+NetAugToSep!E43+NetSepToOct!E43+NetOctToNov!E43+NetNovToDec!E43</f>
        <v>41</v>
      </c>
      <c r="F43" s="10">
        <f t="shared" si="0"/>
        <v>243</v>
      </c>
    </row>
    <row r="44" spans="1:6" x14ac:dyDescent="0.25">
      <c r="A44" s="1" t="s">
        <v>41</v>
      </c>
      <c r="B44" s="11">
        <f>NetJanToFeb!B44+NetFebToMar!B44+NetMarToApr!B44+NetAprToMay!B44+NetMayToJun!B44+NetJunToJul!B44+NetJulToAug!B44+NetAugToSep!B44+NetSepToOct!B44+NetOctToNov!B44+NetNovToDec!B44</f>
        <v>4759</v>
      </c>
      <c r="C44" s="11">
        <f>NetJanToFeb!C44+NetFebToMar!C44+NetMarToApr!C44+NetAprToMay!C44+NetMayToJun!C44+NetJunToJul!C44+NetJulToAug!C44+NetAugToSep!C44+NetSepToOct!C44+NetOctToNov!C44+NetNovToDec!C44</f>
        <v>3215</v>
      </c>
      <c r="D44" s="11">
        <f>NetJanToFeb!D44+NetFebToMar!D44+NetMarToApr!D44+NetAprToMay!D44+NetMayToJun!D44+NetJunToJul!D44+NetJulToAug!D44+NetAugToSep!D44+NetSepToOct!D44+NetOctToNov!D44+NetNovToDec!D44</f>
        <v>857</v>
      </c>
      <c r="E44" s="11">
        <f>NetJanToFeb!E44+NetFebToMar!E44+NetMarToApr!E44+NetAprToMay!E44+NetMayToJun!E44+NetJunToJul!E44+NetJulToAug!E44+NetAugToSep!E44+NetSepToOct!E44+NetOctToNov!E44+NetNovToDec!E44</f>
        <v>2750</v>
      </c>
      <c r="F44" s="10">
        <f t="shared" si="0"/>
        <v>11581</v>
      </c>
    </row>
    <row r="45" spans="1:6" x14ac:dyDescent="0.25">
      <c r="A45" s="1" t="s">
        <v>42</v>
      </c>
      <c r="B45" s="11">
        <f>NetJanToFeb!B45+NetFebToMar!B45+NetMarToApr!B45+NetAprToMay!B45+NetMayToJun!B45+NetJunToJul!B45+NetJulToAug!B45+NetAugToSep!B45+NetSepToOct!B45+NetOctToNov!B45+NetNovToDec!B45</f>
        <v>5769</v>
      </c>
      <c r="C45" s="11">
        <f>NetJanToFeb!C45+NetFebToMar!C45+NetMarToApr!C45+NetAprToMay!C45+NetMayToJun!C45+NetJunToJul!C45+NetJulToAug!C45+NetAugToSep!C45+NetSepToOct!C45+NetOctToNov!C45+NetNovToDec!C45</f>
        <v>2580</v>
      </c>
      <c r="D45" s="11">
        <f>NetJanToFeb!D45+NetFebToMar!D45+NetMarToApr!D45+NetAprToMay!D45+NetMayToJun!D45+NetJunToJul!D45+NetJulToAug!D45+NetAugToSep!D45+NetSepToOct!D45+NetOctToNov!D45+NetNovToDec!D45</f>
        <v>561</v>
      </c>
      <c r="E45" s="11">
        <f>NetJanToFeb!E45+NetFebToMar!E45+NetMarToApr!E45+NetAprToMay!E45+NetMayToJun!E45+NetJunToJul!E45+NetJulToAug!E45+NetAugToSep!E45+NetSepToOct!E45+NetOctToNov!E45+NetNovToDec!E45</f>
        <v>2600</v>
      </c>
      <c r="F45" s="10">
        <f t="shared" si="0"/>
        <v>11510</v>
      </c>
    </row>
    <row r="46" spans="1:6" x14ac:dyDescent="0.25">
      <c r="A46" s="1" t="s">
        <v>43</v>
      </c>
      <c r="B46" s="11">
        <f>NetJanToFeb!B46+NetFebToMar!B46+NetMarToApr!B46+NetAprToMay!B46+NetMayToJun!B46+NetJunToJul!B46+NetJulToAug!B46+NetAugToSep!B46+NetSepToOct!B46+NetOctToNov!B46+NetNovToDec!B46</f>
        <v>1473</v>
      </c>
      <c r="C46" s="11">
        <f>NetJanToFeb!C46+NetFebToMar!C46+NetMarToApr!C46+NetAprToMay!C46+NetMayToJun!C46+NetJunToJul!C46+NetJulToAug!C46+NetAugToSep!C46+NetSepToOct!C46+NetOctToNov!C46+NetNovToDec!C46</f>
        <v>954</v>
      </c>
      <c r="D46" s="11">
        <f>NetJanToFeb!D46+NetFebToMar!D46+NetMarToApr!D46+NetAprToMay!D46+NetMayToJun!D46+NetJunToJul!D46+NetJulToAug!D46+NetAugToSep!D46+NetSepToOct!D46+NetOctToNov!D46+NetNovToDec!D46</f>
        <v>472</v>
      </c>
      <c r="E46" s="11">
        <f>NetJanToFeb!E46+NetFebToMar!E46+NetMarToApr!E46+NetAprToMay!E46+NetMayToJun!E46+NetJunToJul!E46+NetJulToAug!E46+NetAugToSep!E46+NetSepToOct!E46+NetOctToNov!E46+NetNovToDec!E46</f>
        <v>253</v>
      </c>
      <c r="F46" s="10">
        <f t="shared" si="0"/>
        <v>3152</v>
      </c>
    </row>
    <row r="47" spans="1:6" x14ac:dyDescent="0.25">
      <c r="A47" s="1" t="s">
        <v>44</v>
      </c>
      <c r="B47" s="11">
        <f>NetJanToFeb!B47+NetFebToMar!B47+NetMarToApr!B47+NetAprToMay!B47+NetMayToJun!B47+NetJunToJul!B47+NetJulToAug!B47+NetAugToSep!B47+NetSepToOct!B47+NetOctToNov!B47+NetNovToDec!B47</f>
        <v>11717</v>
      </c>
      <c r="C47" s="11">
        <f>NetJanToFeb!C47+NetFebToMar!C47+NetMarToApr!C47+NetAprToMay!C47+NetMayToJun!C47+NetJunToJul!C47+NetJulToAug!C47+NetAugToSep!C47+NetSepToOct!C47+NetOctToNov!C47+NetNovToDec!C47</f>
        <v>24311</v>
      </c>
      <c r="D47" s="11">
        <f>NetJanToFeb!D47+NetFebToMar!D47+NetMarToApr!D47+NetAprToMay!D47+NetMayToJun!D47+NetJunToJul!D47+NetJulToAug!D47+NetAugToSep!D47+NetSepToOct!D47+NetOctToNov!D47+NetNovToDec!D47</f>
        <v>4514</v>
      </c>
      <c r="E47" s="11">
        <f>NetJanToFeb!E47+NetFebToMar!E47+NetMarToApr!E47+NetAprToMay!E47+NetMayToJun!E47+NetJunToJul!E47+NetJulToAug!E47+NetAugToSep!E47+NetSepToOct!E47+NetOctToNov!E47+NetNovToDec!E47</f>
        <v>22342</v>
      </c>
      <c r="F47" s="10">
        <f t="shared" si="0"/>
        <v>62884</v>
      </c>
    </row>
    <row r="48" spans="1:6" x14ac:dyDescent="0.25">
      <c r="A48" s="1" t="s">
        <v>45</v>
      </c>
      <c r="B48" s="11">
        <f>NetJanToFeb!B48+NetFebToMar!B48+NetMarToApr!B48+NetAprToMay!B48+NetMayToJun!B48+NetJunToJul!B48+NetJulToAug!B48+NetAugToSep!B48+NetSepToOct!B48+NetOctToNov!B48+NetNovToDec!B48</f>
        <v>-300</v>
      </c>
      <c r="C48" s="11">
        <f>NetJanToFeb!C48+NetFebToMar!C48+NetMarToApr!C48+NetAprToMay!C48+NetMayToJun!C48+NetJunToJul!C48+NetJulToAug!C48+NetAugToSep!C48+NetSepToOct!C48+NetOctToNov!C48+NetNovToDec!C48</f>
        <v>-106</v>
      </c>
      <c r="D48" s="11">
        <f>NetJanToFeb!D48+NetFebToMar!D48+NetMarToApr!D48+NetAprToMay!D48+NetMayToJun!D48+NetJunToJul!D48+NetJulToAug!D48+NetAugToSep!D48+NetSepToOct!D48+NetOctToNov!D48+NetNovToDec!D48</f>
        <v>216</v>
      </c>
      <c r="E48" s="11">
        <f>NetJanToFeb!E48+NetFebToMar!E48+NetMarToApr!E48+NetAprToMay!E48+NetMayToJun!E48+NetJunToJul!E48+NetJulToAug!E48+NetAugToSep!E48+NetSepToOct!E48+NetOctToNov!E48+NetNovToDec!E48</f>
        <v>-1067</v>
      </c>
      <c r="F48" s="10">
        <f t="shared" si="0"/>
        <v>-1257</v>
      </c>
    </row>
    <row r="49" spans="1:6" x14ac:dyDescent="0.25">
      <c r="A49" s="1" t="s">
        <v>46</v>
      </c>
      <c r="B49" s="11">
        <f>NetJanToFeb!B49+NetFebToMar!B49+NetMarToApr!B49+NetAprToMay!B49+NetMayToJun!B49+NetJunToJul!B49+NetJulToAug!B49+NetAugToSep!B49+NetSepToOct!B49+NetOctToNov!B49+NetNovToDec!B49</f>
        <v>1781</v>
      </c>
      <c r="C49" s="11">
        <f>NetJanToFeb!C49+NetFebToMar!C49+NetMarToApr!C49+NetAprToMay!C49+NetMayToJun!C49+NetJunToJul!C49+NetJulToAug!C49+NetAugToSep!C49+NetSepToOct!C49+NetOctToNov!C49+NetNovToDec!C49</f>
        <v>360</v>
      </c>
      <c r="D49" s="11">
        <f>NetJanToFeb!D49+NetFebToMar!D49+NetMarToApr!D49+NetAprToMay!D49+NetMayToJun!D49+NetJunToJul!D49+NetJulToAug!D49+NetAugToSep!D49+NetSepToOct!D49+NetOctToNov!D49+NetNovToDec!D49</f>
        <v>268</v>
      </c>
      <c r="E49" s="11">
        <f>NetJanToFeb!E49+NetFebToMar!E49+NetMarToApr!E49+NetAprToMay!E49+NetMayToJun!E49+NetJunToJul!E49+NetJulToAug!E49+NetAugToSep!E49+NetSepToOct!E49+NetOctToNov!E49+NetNovToDec!E49</f>
        <v>514</v>
      </c>
      <c r="F49" s="10">
        <f t="shared" si="0"/>
        <v>2923</v>
      </c>
    </row>
    <row r="50" spans="1:6" x14ac:dyDescent="0.25">
      <c r="A50" s="1" t="s">
        <v>47</v>
      </c>
      <c r="B50" s="11">
        <f>NetJanToFeb!B50+NetFebToMar!B50+NetMarToApr!B50+NetAprToMay!B50+NetMayToJun!B50+NetJunToJul!B50+NetJulToAug!B50+NetAugToSep!B50+NetSepToOct!B50+NetOctToNov!B50+NetNovToDec!B50</f>
        <v>3640</v>
      </c>
      <c r="C50" s="11">
        <f>NetJanToFeb!C50+NetFebToMar!C50+NetMarToApr!C50+NetAprToMay!C50+NetMayToJun!C50+NetJunToJul!C50+NetJulToAug!C50+NetAugToSep!C50+NetSepToOct!C50+NetOctToNov!C50+NetNovToDec!C50</f>
        <v>1606</v>
      </c>
      <c r="D50" s="11">
        <f>NetJanToFeb!D50+NetFebToMar!D50+NetMarToApr!D50+NetAprToMay!D50+NetMayToJun!D50+NetJunToJul!D50+NetJulToAug!D50+NetAugToSep!D50+NetSepToOct!D50+NetOctToNov!D50+NetNovToDec!D50</f>
        <v>537</v>
      </c>
      <c r="E50" s="11">
        <f>NetJanToFeb!E50+NetFebToMar!E50+NetMarToApr!E50+NetAprToMay!E50+NetMayToJun!E50+NetJunToJul!E50+NetJulToAug!E50+NetAugToSep!E50+NetSepToOct!E50+NetOctToNov!E50+NetNovToDec!E50</f>
        <v>1886</v>
      </c>
      <c r="F50" s="10">
        <f t="shared" si="0"/>
        <v>7669</v>
      </c>
    </row>
    <row r="51" spans="1:6" x14ac:dyDescent="0.25">
      <c r="A51" s="1" t="s">
        <v>48</v>
      </c>
      <c r="B51" s="11">
        <f>NetJanToFeb!B51+NetFebToMar!B51+NetMarToApr!B51+NetAprToMay!B51+NetMayToJun!B51+NetJunToJul!B51+NetJulToAug!B51+NetAugToSep!B51+NetSepToOct!B51+NetOctToNov!B51+NetNovToDec!B51</f>
        <v>562</v>
      </c>
      <c r="C51" s="11">
        <f>NetJanToFeb!C51+NetFebToMar!C51+NetMarToApr!C51+NetAprToMay!C51+NetMayToJun!C51+NetJunToJul!C51+NetJulToAug!C51+NetAugToSep!C51+NetSepToOct!C51+NetOctToNov!C51+NetNovToDec!C51</f>
        <v>-71</v>
      </c>
      <c r="D51" s="11">
        <f>NetJanToFeb!D51+NetFebToMar!D51+NetMarToApr!D51+NetAprToMay!D51+NetMayToJun!D51+NetJunToJul!D51+NetJulToAug!D51+NetAugToSep!D51+NetSepToOct!D51+NetOctToNov!D51+NetNovToDec!D51</f>
        <v>59</v>
      </c>
      <c r="E51" s="11">
        <f>NetJanToFeb!E51+NetFebToMar!E51+NetMarToApr!E51+NetAprToMay!E51+NetMayToJun!E51+NetJunToJul!E51+NetJulToAug!E51+NetAugToSep!E51+NetSepToOct!E51+NetOctToNov!E51+NetNovToDec!E51</f>
        <v>251</v>
      </c>
      <c r="F51" s="10">
        <f t="shared" si="0"/>
        <v>801</v>
      </c>
    </row>
    <row r="52" spans="1:6" x14ac:dyDescent="0.25">
      <c r="A52" s="1" t="s">
        <v>49</v>
      </c>
      <c r="B52" s="11">
        <f>NetJanToFeb!B52+NetFebToMar!B52+NetMarToApr!B52+NetAprToMay!B52+NetMayToJun!B52+NetJunToJul!B52+NetJulToAug!B52+NetAugToSep!B52+NetSepToOct!B52+NetOctToNov!B52+NetNovToDec!B52</f>
        <v>-3214</v>
      </c>
      <c r="C52" s="11">
        <f>NetJanToFeb!C52+NetFebToMar!C52+NetMarToApr!C52+NetAprToMay!C52+NetMayToJun!C52+NetJunToJul!C52+NetJulToAug!C52+NetAugToSep!C52+NetSepToOct!C52+NetOctToNov!C52+NetNovToDec!C52</f>
        <v>6001</v>
      </c>
      <c r="D52" s="11">
        <f>NetJanToFeb!D52+NetFebToMar!D52+NetMarToApr!D52+NetAprToMay!D52+NetMayToJun!D52+NetJunToJul!D52+NetJulToAug!D52+NetAugToSep!D52+NetSepToOct!D52+NetOctToNov!D52+NetNovToDec!D52</f>
        <v>2663</v>
      </c>
      <c r="E52" s="11">
        <f>NetJanToFeb!E52+NetFebToMar!E52+NetMarToApr!E52+NetAprToMay!E52+NetMayToJun!E52+NetJunToJul!E52+NetJulToAug!E52+NetAugToSep!E52+NetSepToOct!E52+NetOctToNov!E52+NetNovToDec!E52</f>
        <v>744</v>
      </c>
      <c r="F52" s="10">
        <f t="shared" si="0"/>
        <v>6194</v>
      </c>
    </row>
    <row r="53" spans="1:6" x14ac:dyDescent="0.25">
      <c r="A53" s="1" t="s">
        <v>50</v>
      </c>
      <c r="B53" s="11">
        <f>NetJanToFeb!B53+NetFebToMar!B53+NetMarToApr!B53+NetAprToMay!B53+NetMayToJun!B53+NetJunToJul!B53+NetJulToAug!B53+NetAugToSep!B53+NetSepToOct!B53+NetOctToNov!B53+NetNovToDec!B53</f>
        <v>1690</v>
      </c>
      <c r="C53" s="11">
        <f>NetJanToFeb!C53+NetFebToMar!C53+NetMarToApr!C53+NetAprToMay!C53+NetMayToJun!C53+NetJunToJul!C53+NetJulToAug!C53+NetAugToSep!C53+NetSepToOct!C53+NetOctToNov!C53+NetNovToDec!C53</f>
        <v>4734</v>
      </c>
      <c r="D53" s="11">
        <f>NetJanToFeb!D53+NetFebToMar!D53+NetMarToApr!D53+NetAprToMay!D53+NetMayToJun!D53+NetJunToJul!D53+NetJulToAug!D53+NetAugToSep!D53+NetSepToOct!D53+NetOctToNov!D53+NetNovToDec!D53</f>
        <v>505</v>
      </c>
      <c r="E53" s="11">
        <f>NetJanToFeb!E53+NetFebToMar!E53+NetMarToApr!E53+NetAprToMay!E53+NetMayToJun!E53+NetJunToJul!E53+NetJulToAug!E53+NetAugToSep!E53+NetSepToOct!E53+NetOctToNov!E53+NetNovToDec!E53</f>
        <v>3500</v>
      </c>
      <c r="F53" s="10">
        <f t="shared" si="0"/>
        <v>10429</v>
      </c>
    </row>
    <row r="54" spans="1:6" x14ac:dyDescent="0.25">
      <c r="A54" s="1" t="s">
        <v>51</v>
      </c>
      <c r="B54" s="11">
        <f>NetJanToFeb!B54+NetFebToMar!B54+NetMarToApr!B54+NetAprToMay!B54+NetMayToJun!B54+NetJunToJul!B54+NetJulToAug!B54+NetAugToSep!B54+NetSepToOct!B54+NetOctToNov!B54+NetNovToDec!B54</f>
        <v>6030</v>
      </c>
      <c r="C54" s="11">
        <f>NetJanToFeb!C54+NetFebToMar!C54+NetMarToApr!C54+NetAprToMay!C54+NetMayToJun!C54+NetJunToJul!C54+NetJulToAug!C54+NetAugToSep!C54+NetSepToOct!C54+NetOctToNov!C54+NetNovToDec!C54</f>
        <v>9620</v>
      </c>
      <c r="D54" s="11">
        <f>NetJanToFeb!D54+NetFebToMar!D54+NetMarToApr!D54+NetAprToMay!D54+NetMayToJun!D54+NetJunToJul!D54+NetJulToAug!D54+NetAugToSep!D54+NetSepToOct!D54+NetOctToNov!D54+NetNovToDec!D54</f>
        <v>4086</v>
      </c>
      <c r="E54" s="11">
        <f>NetJanToFeb!E54+NetFebToMar!E54+NetMarToApr!E54+NetAprToMay!E54+NetMayToJun!E54+NetJunToJul!E54+NetJulToAug!E54+NetAugToSep!E54+NetSepToOct!E54+NetOctToNov!E54+NetNovToDec!E54</f>
        <v>2543</v>
      </c>
      <c r="F54" s="10">
        <f t="shared" si="0"/>
        <v>22279</v>
      </c>
    </row>
    <row r="55" spans="1:6" x14ac:dyDescent="0.25">
      <c r="A55" s="1" t="s">
        <v>52</v>
      </c>
      <c r="B55" s="11">
        <f>NetJanToFeb!B55+NetFebToMar!B55+NetMarToApr!B55+NetAprToMay!B55+NetMayToJun!B55+NetJunToJul!B55+NetJulToAug!B55+NetAugToSep!B55+NetSepToOct!B55+NetOctToNov!B55+NetNovToDec!B55</f>
        <v>8117</v>
      </c>
      <c r="C55" s="11">
        <f>NetJanToFeb!C55+NetFebToMar!C55+NetMarToApr!C55+NetAprToMay!C55+NetMayToJun!C55+NetJunToJul!C55+NetJulToAug!C55+NetAugToSep!C55+NetSepToOct!C55+NetOctToNov!C55+NetNovToDec!C55</f>
        <v>5144</v>
      </c>
      <c r="D55" s="11">
        <f>NetJanToFeb!D55+NetFebToMar!D55+NetMarToApr!D55+NetAprToMay!D55+NetMayToJun!D55+NetJunToJul!D55+NetJulToAug!D55+NetAugToSep!D55+NetSepToOct!D55+NetOctToNov!D55+NetNovToDec!D55</f>
        <v>1478</v>
      </c>
      <c r="E55" s="11">
        <f>NetJanToFeb!E55+NetFebToMar!E55+NetMarToApr!E55+NetAprToMay!E55+NetMayToJun!E55+NetJunToJul!E55+NetJulToAug!E55+NetAugToSep!E55+NetSepToOct!E55+NetOctToNov!E55+NetNovToDec!E55</f>
        <v>4514</v>
      </c>
      <c r="F55" s="10">
        <f t="shared" si="0"/>
        <v>19253</v>
      </c>
    </row>
    <row r="56" spans="1:6" x14ac:dyDescent="0.25">
      <c r="A56" s="1" t="s">
        <v>53</v>
      </c>
      <c r="B56" s="11">
        <f>NetJanToFeb!B56+NetFebToMar!B56+NetMarToApr!B56+NetAprToMay!B56+NetMayToJun!B56+NetJunToJul!B56+NetJulToAug!B56+NetAugToSep!B56+NetSepToOct!B56+NetOctToNov!B56+NetNovToDec!B56</f>
        <v>7701</v>
      </c>
      <c r="C56" s="11">
        <f>NetJanToFeb!C56+NetFebToMar!C56+NetMarToApr!C56+NetAprToMay!C56+NetMayToJun!C56+NetJunToJul!C56+NetJulToAug!C56+NetAugToSep!C56+NetSepToOct!C56+NetOctToNov!C56+NetNovToDec!C56</f>
        <v>11996</v>
      </c>
      <c r="D56" s="11">
        <f>NetJanToFeb!D56+NetFebToMar!D56+NetMarToApr!D56+NetAprToMay!D56+NetMayToJun!D56+NetJunToJul!D56+NetJulToAug!D56+NetAugToSep!D56+NetSepToOct!D56+NetOctToNov!D56+NetNovToDec!D56</f>
        <v>2266</v>
      </c>
      <c r="E56" s="11">
        <f>NetJanToFeb!E56+NetFebToMar!E56+NetMarToApr!E56+NetAprToMay!E56+NetMayToJun!E56+NetJunToJul!E56+NetJulToAug!E56+NetAugToSep!E56+NetSepToOct!E56+NetOctToNov!E56+NetNovToDec!E56</f>
        <v>7451</v>
      </c>
      <c r="F56" s="10">
        <f t="shared" si="0"/>
        <v>29414</v>
      </c>
    </row>
    <row r="57" spans="1:6" x14ac:dyDescent="0.25">
      <c r="A57" s="1" t="s">
        <v>54</v>
      </c>
      <c r="B57" s="11">
        <f>NetJanToFeb!B57+NetFebToMar!B57+NetMarToApr!B57+NetAprToMay!B57+NetMayToJun!B57+NetJunToJul!B57+NetJulToAug!B57+NetAugToSep!B57+NetSepToOct!B57+NetOctToNov!B57+NetNovToDec!B57</f>
        <v>7654</v>
      </c>
      <c r="C57" s="11">
        <f>NetJanToFeb!C57+NetFebToMar!C57+NetMarToApr!C57+NetAprToMay!C57+NetMayToJun!C57+NetJunToJul!C57+NetJulToAug!C57+NetAugToSep!C57+NetSepToOct!C57+NetOctToNov!C57+NetNovToDec!C57</f>
        <v>5842</v>
      </c>
      <c r="D57" s="11">
        <f>NetJanToFeb!D57+NetFebToMar!D57+NetMarToApr!D57+NetAprToMay!D57+NetMayToJun!D57+NetJunToJul!D57+NetJulToAug!D57+NetAugToSep!D57+NetSepToOct!D57+NetOctToNov!D57+NetNovToDec!D57</f>
        <v>1239</v>
      </c>
      <c r="E57" s="11">
        <f>NetJanToFeb!E57+NetFebToMar!E57+NetMarToApr!E57+NetAprToMay!E57+NetMayToJun!E57+NetJunToJul!E57+NetJulToAug!E57+NetAugToSep!E57+NetSepToOct!E57+NetOctToNov!E57+NetNovToDec!E57</f>
        <v>7950</v>
      </c>
      <c r="F57" s="10">
        <f t="shared" si="0"/>
        <v>22685</v>
      </c>
    </row>
    <row r="58" spans="1:6" x14ac:dyDescent="0.25">
      <c r="A58" s="1" t="s">
        <v>55</v>
      </c>
      <c r="B58" s="11">
        <f>NetJanToFeb!B58+NetFebToMar!B58+NetMarToApr!B58+NetAprToMay!B58+NetMayToJun!B58+NetJunToJul!B58+NetJulToAug!B58+NetAugToSep!B58+NetSepToOct!B58+NetOctToNov!B58+NetNovToDec!B58</f>
        <v>1331</v>
      </c>
      <c r="C58" s="11">
        <f>NetJanToFeb!C58+NetFebToMar!C58+NetMarToApr!C58+NetAprToMay!C58+NetMayToJun!C58+NetJunToJul!C58+NetJulToAug!C58+NetAugToSep!C58+NetSepToOct!C58+NetOctToNov!C58+NetNovToDec!C58</f>
        <v>-470</v>
      </c>
      <c r="D58" s="11">
        <f>NetJanToFeb!D58+NetFebToMar!D58+NetMarToApr!D58+NetAprToMay!D58+NetMayToJun!D58+NetJunToJul!D58+NetJulToAug!D58+NetAugToSep!D58+NetSepToOct!D58+NetOctToNov!D58+NetNovToDec!D58</f>
        <v>124</v>
      </c>
      <c r="E58" s="11">
        <f>NetJanToFeb!E58+NetFebToMar!E58+NetMarToApr!E58+NetAprToMay!E58+NetMayToJun!E58+NetJunToJul!E58+NetJulToAug!E58+NetAugToSep!E58+NetSepToOct!E58+NetOctToNov!E58+NetNovToDec!E58</f>
        <v>372</v>
      </c>
      <c r="F58" s="10">
        <f t="shared" si="0"/>
        <v>1357</v>
      </c>
    </row>
    <row r="59" spans="1:6" x14ac:dyDescent="0.25">
      <c r="A59" s="1" t="s">
        <v>56</v>
      </c>
      <c r="B59" s="11">
        <f>NetJanToFeb!B59+NetFebToMar!B59+NetMarToApr!B59+NetAprToMay!B59+NetMayToJun!B59+NetJunToJul!B59+NetJulToAug!B59+NetAugToSep!B59+NetSepToOct!B59+NetOctToNov!B59+NetNovToDec!B59</f>
        <v>3361</v>
      </c>
      <c r="C59" s="11">
        <f>NetJanToFeb!C59+NetFebToMar!C59+NetMarToApr!C59+NetAprToMay!C59+NetMayToJun!C59+NetJunToJul!C59+NetJulToAug!C59+NetAugToSep!C59+NetSepToOct!C59+NetOctToNov!C59+NetNovToDec!C59</f>
        <v>554</v>
      </c>
      <c r="D59" s="11">
        <f>NetJanToFeb!D59+NetFebToMar!D59+NetMarToApr!D59+NetAprToMay!D59+NetMayToJun!D59+NetJunToJul!D59+NetJulToAug!D59+NetAugToSep!D59+NetSepToOct!D59+NetOctToNov!D59+NetNovToDec!D59</f>
        <v>688</v>
      </c>
      <c r="E59" s="11">
        <f>NetJanToFeb!E59+NetFebToMar!E59+NetMarToApr!E59+NetAprToMay!E59+NetMayToJun!E59+NetJunToJul!E59+NetJulToAug!E59+NetAugToSep!E59+NetSepToOct!E59+NetOctToNov!E59+NetNovToDec!E59</f>
        <v>1185</v>
      </c>
      <c r="F59" s="10">
        <f t="shared" si="0"/>
        <v>5788</v>
      </c>
    </row>
    <row r="60" spans="1:6" x14ac:dyDescent="0.25">
      <c r="A60" s="1" t="s">
        <v>57</v>
      </c>
      <c r="B60" s="11">
        <f>NetJanToFeb!B60+NetFebToMar!B60+NetMarToApr!B60+NetAprToMay!B60+NetMayToJun!B60+NetJunToJul!B60+NetJulToAug!B60+NetAugToSep!B60+NetSepToOct!B60+NetOctToNov!B60+NetNovToDec!B60</f>
        <v>5443</v>
      </c>
      <c r="C60" s="11">
        <f>NetJanToFeb!C60+NetFebToMar!C60+NetMarToApr!C60+NetAprToMay!C60+NetMayToJun!C60+NetJunToJul!C60+NetJulToAug!C60+NetAugToSep!C60+NetSepToOct!C60+NetOctToNov!C60+NetNovToDec!C60</f>
        <v>5348</v>
      </c>
      <c r="D60" s="11">
        <f>NetJanToFeb!D60+NetFebToMar!D60+NetMarToApr!D60+NetAprToMay!D60+NetMayToJun!D60+NetJunToJul!D60+NetJulToAug!D60+NetAugToSep!D60+NetSepToOct!D60+NetOctToNov!D60+NetNovToDec!D60</f>
        <v>916</v>
      </c>
      <c r="E60" s="11">
        <f>NetJanToFeb!E60+NetFebToMar!E60+NetMarToApr!E60+NetAprToMay!E60+NetMayToJun!E60+NetJunToJul!E60+NetJulToAug!E60+NetAugToSep!E60+NetSepToOct!E60+NetOctToNov!E60+NetNovToDec!E60</f>
        <v>2701</v>
      </c>
      <c r="F60" s="10">
        <f t="shared" si="0"/>
        <v>14408</v>
      </c>
    </row>
    <row r="61" spans="1:6" x14ac:dyDescent="0.25">
      <c r="A61" s="1" t="s">
        <v>58</v>
      </c>
      <c r="B61" s="11">
        <f>NetJanToFeb!B61+NetFebToMar!B61+NetMarToApr!B61+NetAprToMay!B61+NetMayToJun!B61+NetJunToJul!B61+NetJulToAug!B61+NetAugToSep!B61+NetSepToOct!B61+NetOctToNov!B61+NetNovToDec!B61</f>
        <v>3209</v>
      </c>
      <c r="C61" s="11">
        <f>NetJanToFeb!C61+NetFebToMar!C61+NetMarToApr!C61+NetAprToMay!C61+NetMayToJun!C61+NetJunToJul!C61+NetJulToAug!C61+NetAugToSep!C61+NetSepToOct!C61+NetOctToNov!C61+NetNovToDec!C61</f>
        <v>8129</v>
      </c>
      <c r="D61" s="11">
        <f>NetJanToFeb!D61+NetFebToMar!D61+NetMarToApr!D61+NetAprToMay!D61+NetMayToJun!D61+NetJunToJul!D61+NetJulToAug!D61+NetAugToSep!D61+NetSepToOct!D61+NetOctToNov!D61+NetNovToDec!D61</f>
        <v>1255</v>
      </c>
      <c r="E61" s="11">
        <f>NetJanToFeb!E61+NetFebToMar!E61+NetMarToApr!E61+NetAprToMay!E61+NetMayToJun!E61+NetJunToJul!E61+NetJulToAug!E61+NetAugToSep!E61+NetSepToOct!E61+NetOctToNov!E61+NetNovToDec!E61</f>
        <v>6368</v>
      </c>
      <c r="F61" s="10">
        <f t="shared" si="0"/>
        <v>18961</v>
      </c>
    </row>
    <row r="62" spans="1:6" x14ac:dyDescent="0.25">
      <c r="A62" s="1" t="s">
        <v>59</v>
      </c>
      <c r="B62" s="11">
        <f>NetJanToFeb!B62+NetFebToMar!B62+NetMarToApr!B62+NetAprToMay!B62+NetMayToJun!B62+NetJunToJul!B62+NetJulToAug!B62+NetAugToSep!B62+NetSepToOct!B62+NetOctToNov!B62+NetNovToDec!B62</f>
        <v>4464</v>
      </c>
      <c r="C62" s="11">
        <f>NetJanToFeb!C62+NetFebToMar!C62+NetMarToApr!C62+NetAprToMay!C62+NetMayToJun!C62+NetJunToJul!C62+NetJulToAug!C62+NetAugToSep!C62+NetSepToOct!C62+NetOctToNov!C62+NetNovToDec!C62</f>
        <v>3072</v>
      </c>
      <c r="D62" s="11">
        <f>NetJanToFeb!D62+NetFebToMar!D62+NetMarToApr!D62+NetAprToMay!D62+NetMayToJun!D62+NetJunToJul!D62+NetJulToAug!D62+NetAugToSep!D62+NetSepToOct!D62+NetOctToNov!D62+NetNovToDec!D62</f>
        <v>670</v>
      </c>
      <c r="E62" s="11">
        <f>NetJanToFeb!E62+NetFebToMar!E62+NetMarToApr!E62+NetAprToMay!E62+NetMayToJun!E62+NetJunToJul!E62+NetJulToAug!E62+NetAugToSep!E62+NetSepToOct!E62+NetOctToNov!E62+NetNovToDec!E62</f>
        <v>1023</v>
      </c>
      <c r="F62" s="10">
        <f t="shared" si="0"/>
        <v>9229</v>
      </c>
    </row>
    <row r="63" spans="1:6" x14ac:dyDescent="0.25">
      <c r="A63" s="1" t="s">
        <v>60</v>
      </c>
      <c r="B63" s="11">
        <f>NetJanToFeb!B63+NetFebToMar!B63+NetMarToApr!B63+NetAprToMay!B63+NetMayToJun!B63+NetJunToJul!B63+NetJulToAug!B63+NetAugToSep!B63+NetSepToOct!B63+NetOctToNov!B63+NetNovToDec!B63</f>
        <v>3397</v>
      </c>
      <c r="C63" s="11">
        <f>NetJanToFeb!C63+NetFebToMar!C63+NetMarToApr!C63+NetAprToMay!C63+NetMayToJun!C63+NetJunToJul!C63+NetJulToAug!C63+NetAugToSep!C63+NetSepToOct!C63+NetOctToNov!C63+NetNovToDec!C63</f>
        <v>3181</v>
      </c>
      <c r="D63" s="11">
        <f>NetJanToFeb!D63+NetFebToMar!D63+NetMarToApr!D63+NetAprToMay!D63+NetMayToJun!D63+NetJunToJul!D63+NetJulToAug!D63+NetAugToSep!D63+NetSepToOct!D63+NetOctToNov!D63+NetNovToDec!D63</f>
        <v>647</v>
      </c>
      <c r="E63" s="11">
        <f>NetJanToFeb!E63+NetFebToMar!E63+NetMarToApr!E63+NetAprToMay!E63+NetMayToJun!E63+NetJunToJul!E63+NetJulToAug!E63+NetAugToSep!E63+NetSepToOct!E63+NetOctToNov!E63+NetNovToDec!E63</f>
        <v>2041</v>
      </c>
      <c r="F63" s="10">
        <f t="shared" si="0"/>
        <v>9266</v>
      </c>
    </row>
    <row r="64" spans="1:6" x14ac:dyDescent="0.25">
      <c r="A64" s="1" t="s">
        <v>61</v>
      </c>
      <c r="B64" s="11">
        <f>NetJanToFeb!B64+NetFebToMar!B64+NetMarToApr!B64+NetAprToMay!B64+NetMayToJun!B64+NetJunToJul!B64+NetJulToAug!B64+NetAugToSep!B64+NetSepToOct!B64+NetOctToNov!B64+NetNovToDec!B64</f>
        <v>3380</v>
      </c>
      <c r="C64" s="11">
        <f>NetJanToFeb!C64+NetFebToMar!C64+NetMarToApr!C64+NetAprToMay!C64+NetMayToJun!C64+NetJunToJul!C64+NetJulToAug!C64+NetAugToSep!C64+NetSepToOct!C64+NetOctToNov!C64+NetNovToDec!C64</f>
        <v>1191</v>
      </c>
      <c r="D64" s="11">
        <f>NetJanToFeb!D64+NetFebToMar!D64+NetMarToApr!D64+NetAprToMay!D64+NetMayToJun!D64+NetJunToJul!D64+NetJulToAug!D64+NetAugToSep!D64+NetSepToOct!D64+NetOctToNov!D64+NetNovToDec!D64</f>
        <v>154</v>
      </c>
      <c r="E64" s="11">
        <f>NetJanToFeb!E64+NetFebToMar!E64+NetMarToApr!E64+NetAprToMay!E64+NetMayToJun!E64+NetJunToJul!E64+NetJulToAug!E64+NetAugToSep!E64+NetSepToOct!E64+NetOctToNov!E64+NetNovToDec!E64</f>
        <v>864</v>
      </c>
      <c r="F64" s="10">
        <f t="shared" si="0"/>
        <v>5589</v>
      </c>
    </row>
    <row r="65" spans="1:6" x14ac:dyDescent="0.25">
      <c r="A65" s="1" t="s">
        <v>62</v>
      </c>
      <c r="B65" s="11">
        <f>NetJanToFeb!B65+NetFebToMar!B65+NetMarToApr!B65+NetAprToMay!B65+NetMayToJun!B65+NetJunToJul!B65+NetJulToAug!B65+NetAugToSep!B65+NetSepToOct!B65+NetOctToNov!B65+NetNovToDec!B65</f>
        <v>997</v>
      </c>
      <c r="C65" s="11">
        <f>NetJanToFeb!C65+NetFebToMar!C65+NetMarToApr!C65+NetAprToMay!C65+NetMayToJun!C65+NetJunToJul!C65+NetJulToAug!C65+NetAugToSep!C65+NetSepToOct!C65+NetOctToNov!C65+NetNovToDec!C65</f>
        <v>-485</v>
      </c>
      <c r="D65" s="11">
        <f>NetJanToFeb!D65+NetFebToMar!D65+NetMarToApr!D65+NetAprToMay!D65+NetMayToJun!D65+NetJunToJul!D65+NetJulToAug!D65+NetAugToSep!D65+NetSepToOct!D65+NetOctToNov!D65+NetNovToDec!D65</f>
        <v>71</v>
      </c>
      <c r="E65" s="11">
        <f>NetJanToFeb!E65+NetFebToMar!E65+NetMarToApr!E65+NetAprToMay!E65+NetMayToJun!E65+NetJunToJul!E65+NetJulToAug!E65+NetAugToSep!E65+NetSepToOct!E65+NetOctToNov!E65+NetNovToDec!E65</f>
        <v>164</v>
      </c>
      <c r="F65" s="10">
        <f t="shared" si="0"/>
        <v>747</v>
      </c>
    </row>
    <row r="66" spans="1:6" x14ac:dyDescent="0.25">
      <c r="A66" s="1" t="s">
        <v>63</v>
      </c>
      <c r="B66" s="11">
        <f>NetJanToFeb!B66+NetFebToMar!B66+NetMarToApr!B66+NetAprToMay!B66+NetMayToJun!B66+NetJunToJul!B66+NetJulToAug!B66+NetAugToSep!B66+NetSepToOct!B66+NetOctToNov!B66+NetNovToDec!B66</f>
        <v>366</v>
      </c>
      <c r="C66" s="11">
        <f>NetJanToFeb!C66+NetFebToMar!C66+NetMarToApr!C66+NetAprToMay!C66+NetMayToJun!C66+NetJunToJul!C66+NetJulToAug!C66+NetAugToSep!C66+NetSepToOct!C66+NetOctToNov!C66+NetNovToDec!C66</f>
        <v>-404</v>
      </c>
      <c r="D66" s="11">
        <f>NetJanToFeb!D66+NetFebToMar!D66+NetMarToApr!D66+NetAprToMay!D66+NetMayToJun!D66+NetJunToJul!D66+NetJulToAug!D66+NetAugToSep!D66+NetSepToOct!D66+NetOctToNov!D66+NetNovToDec!D66</f>
        <v>28</v>
      </c>
      <c r="E66" s="11">
        <f>NetJanToFeb!E66+NetFebToMar!E66+NetMarToApr!E66+NetAprToMay!E66+NetMayToJun!E66+NetJunToJul!E66+NetJulToAug!E66+NetAugToSep!E66+NetSepToOct!E66+NetOctToNov!E66+NetNovToDec!E66</f>
        <v>36</v>
      </c>
      <c r="F66" s="10">
        <f t="shared" si="0"/>
        <v>26</v>
      </c>
    </row>
    <row r="67" spans="1:6" x14ac:dyDescent="0.25">
      <c r="A67" s="1" t="s">
        <v>64</v>
      </c>
      <c r="B67" s="11">
        <f>NetJanToFeb!B67+NetFebToMar!B67+NetMarToApr!B67+NetAprToMay!B67+NetMayToJun!B67+NetJunToJul!B67+NetJulToAug!B67+NetAugToSep!B67+NetSepToOct!B67+NetOctToNov!B67+NetNovToDec!B67</f>
        <v>424</v>
      </c>
      <c r="C67" s="11">
        <f>NetJanToFeb!C67+NetFebToMar!C67+NetMarToApr!C67+NetAprToMay!C67+NetMayToJun!C67+NetJunToJul!C67+NetJulToAug!C67+NetAugToSep!C67+NetSepToOct!C67+NetOctToNov!C67+NetNovToDec!C67</f>
        <v>-212</v>
      </c>
      <c r="D67" s="11">
        <f>NetJanToFeb!D67+NetFebToMar!D67+NetMarToApr!D67+NetAprToMay!D67+NetMayToJun!D67+NetJunToJul!D67+NetJulToAug!D67+NetAugToSep!D67+NetSepToOct!D67+NetOctToNov!D67+NetNovToDec!D67</f>
        <v>17</v>
      </c>
      <c r="E67" s="11">
        <f>NetJanToFeb!E67+NetFebToMar!E67+NetMarToApr!E67+NetAprToMay!E67+NetMayToJun!E67+NetJunToJul!E67+NetJulToAug!E67+NetAugToSep!E67+NetSepToOct!E67+NetOctToNov!E67+NetNovToDec!E67</f>
        <v>-9</v>
      </c>
      <c r="F67" s="10">
        <f t="shared" si="0"/>
        <v>220</v>
      </c>
    </row>
    <row r="68" spans="1:6" x14ac:dyDescent="0.25">
      <c r="A68" s="1" t="s">
        <v>65</v>
      </c>
      <c r="B68" s="11">
        <f>NetJanToFeb!B68+NetFebToMar!B68+NetMarToApr!B68+NetAprToMay!B68+NetMayToJun!B68+NetJunToJul!B68+NetJulToAug!B68+NetAugToSep!B68+NetSepToOct!B68+NetOctToNov!B68+NetNovToDec!B68</f>
        <v>3763</v>
      </c>
      <c r="C68" s="11">
        <f>NetJanToFeb!C68+NetFebToMar!C68+NetMarToApr!C68+NetAprToMay!C68+NetMayToJun!C68+NetJunToJul!C68+NetJulToAug!C68+NetAugToSep!C68+NetSepToOct!C68+NetOctToNov!C68+NetNovToDec!C68</f>
        <v>307</v>
      </c>
      <c r="D68" s="11">
        <f>NetJanToFeb!D68+NetFebToMar!D68+NetMarToApr!D68+NetAprToMay!D68+NetMayToJun!D68+NetJunToJul!D68+NetJulToAug!D68+NetAugToSep!D68+NetSepToOct!D68+NetOctToNov!D68+NetNovToDec!D68</f>
        <v>1239</v>
      </c>
      <c r="E68" s="11">
        <f>NetJanToFeb!E68+NetFebToMar!E68+NetMarToApr!E68+NetAprToMay!E68+NetMayToJun!E68+NetJunToJul!E68+NetJulToAug!E68+NetAugToSep!E68+NetSepToOct!E68+NetOctToNov!E68+NetNovToDec!E68</f>
        <v>-678</v>
      </c>
      <c r="F68" s="10">
        <f t="shared" si="0"/>
        <v>4631</v>
      </c>
    </row>
    <row r="69" spans="1:6" x14ac:dyDescent="0.25">
      <c r="A69" s="1" t="s">
        <v>66</v>
      </c>
      <c r="B69" s="11">
        <f>NetJanToFeb!B69+NetFebToMar!B69+NetMarToApr!B69+NetAprToMay!B69+NetMayToJun!B69+NetJunToJul!B69+NetJulToAug!B69+NetAugToSep!B69+NetSepToOct!B69+NetOctToNov!B69+NetNovToDec!B69</f>
        <v>887</v>
      </c>
      <c r="C69" s="11">
        <f>NetJanToFeb!C69+NetFebToMar!C69+NetMarToApr!C69+NetAprToMay!C69+NetMayToJun!C69+NetJunToJul!C69+NetJulToAug!C69+NetAugToSep!C69+NetSepToOct!C69+NetOctToNov!C69+NetNovToDec!C69</f>
        <v>-195</v>
      </c>
      <c r="D69" s="11">
        <f>NetJanToFeb!D69+NetFebToMar!D69+NetMarToApr!D69+NetAprToMay!D69+NetMayToJun!D69+NetJunToJul!D69+NetJulToAug!D69+NetAugToSep!D69+NetSepToOct!D69+NetOctToNov!D69+NetNovToDec!D69</f>
        <v>66</v>
      </c>
      <c r="E69" s="11">
        <f>NetJanToFeb!E69+NetFebToMar!E69+NetMarToApr!E69+NetAprToMay!E69+NetMayToJun!E69+NetJunToJul!E69+NetJulToAug!E69+NetAugToSep!E69+NetSepToOct!E69+NetOctToNov!E69+NetNovToDec!E69</f>
        <v>153</v>
      </c>
      <c r="F69" s="10">
        <f t="shared" si="0"/>
        <v>911</v>
      </c>
    </row>
    <row r="70" spans="1:6" x14ac:dyDescent="0.25">
      <c r="A70" s="1" t="s">
        <v>67</v>
      </c>
      <c r="B70" s="11">
        <f>NetJanToFeb!B70+NetFebToMar!B70+NetMarToApr!B70+NetAprToMay!B70+NetMayToJun!B70+NetJunToJul!B70+NetJulToAug!B70+NetAugToSep!B70+NetSepToOct!B70+NetOctToNov!B70+NetNovToDec!B70</f>
        <v>2071</v>
      </c>
      <c r="C70" s="11">
        <f>NetJanToFeb!C70+NetFebToMar!C70+NetMarToApr!C70+NetAprToMay!C70+NetMayToJun!C70+NetJunToJul!C70+NetJulToAug!C70+NetAugToSep!C70+NetSepToOct!C70+NetOctToNov!C70+NetNovToDec!C70</f>
        <v>77</v>
      </c>
      <c r="D70" s="11">
        <f>NetJanToFeb!D70+NetFebToMar!D70+NetMarToApr!D70+NetAprToMay!D70+NetMayToJun!D70+NetJunToJul!D70+NetJulToAug!D70+NetAugToSep!D70+NetSepToOct!D70+NetOctToNov!D70+NetNovToDec!D70</f>
        <v>163</v>
      </c>
      <c r="E70" s="11">
        <f>NetJanToFeb!E70+NetFebToMar!E70+NetMarToApr!E70+NetAprToMay!E70+NetMayToJun!E70+NetJunToJul!E70+NetJulToAug!E70+NetAugToSep!E70+NetSepToOct!E70+NetOctToNov!E70+NetNovToDec!E70</f>
        <v>151</v>
      </c>
      <c r="F70" s="10">
        <f t="shared" ref="F70:F71" si="1">SUM(B70:E70)</f>
        <v>2462</v>
      </c>
    </row>
    <row r="71" spans="1:6" ht="15.75" thickBot="1" x14ac:dyDescent="0.3">
      <c r="A71" s="1" t="s">
        <v>68</v>
      </c>
      <c r="B71" s="11">
        <f>NetJanToFeb!B71+NetFebToMar!B71+NetMarToApr!B71+NetAprToMay!B71+NetMayToJun!B71+NetJunToJul!B71+NetJulToAug!B71+NetAugToSep!B71+NetSepToOct!B71+NetOctToNov!B71+NetNovToDec!B71</f>
        <v>346</v>
      </c>
      <c r="C71" s="11">
        <f>NetJanToFeb!C71+NetFebToMar!C71+NetMarToApr!C71+NetAprToMay!C71+NetMayToJun!C71+NetJunToJul!C71+NetJulToAug!C71+NetAugToSep!C71+NetSepToOct!C71+NetOctToNov!C71+NetNovToDec!C71</f>
        <v>-316</v>
      </c>
      <c r="D71" s="11">
        <f>NetJanToFeb!D71+NetFebToMar!D71+NetMarToApr!D71+NetAprToMay!D71+NetMayToJun!D71+NetJunToJul!D71+NetJulToAug!D71+NetAugToSep!D71+NetSepToOct!D71+NetOctToNov!D71+NetNovToDec!D71</f>
        <v>27</v>
      </c>
      <c r="E71" s="11">
        <f>NetJanToFeb!E71+NetFebToMar!E71+NetMarToApr!E71+NetAprToMay!E71+NetMayToJun!E71+NetJunToJul!E71+NetJulToAug!E71+NetAugToSep!E71+NetSepToOct!E71+NetOctToNov!E71+NetNovToDec!E71</f>
        <v>87</v>
      </c>
      <c r="F71" s="10">
        <f t="shared" si="1"/>
        <v>144</v>
      </c>
    </row>
    <row r="72" spans="1:6" ht="16.5" thickTop="1" thickBot="1" x14ac:dyDescent="0.3">
      <c r="A72" s="3" t="s">
        <v>1</v>
      </c>
      <c r="B72" s="8">
        <f>SUM(B5:B71)</f>
        <v>168164</v>
      </c>
      <c r="C72" s="8">
        <f>SUM(C5:C71)</f>
        <v>164986</v>
      </c>
      <c r="D72" s="8">
        <f>SUM(D5:D71)</f>
        <v>44605</v>
      </c>
      <c r="E72" s="8">
        <f>SUM(E5:E71)</f>
        <v>125783</v>
      </c>
      <c r="F72" s="8">
        <f>SUM(F5:F71)</f>
        <v>503538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PriorDecember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NetPriorDecToJan</vt:lpstr>
      <vt:lpstr>NetJanToFeb</vt:lpstr>
      <vt:lpstr>NetFebToMar</vt:lpstr>
      <vt:lpstr>NetMarToApr</vt:lpstr>
      <vt:lpstr>NetAprToMay</vt:lpstr>
      <vt:lpstr>NetMayToJun</vt:lpstr>
      <vt:lpstr>NetJunToJul</vt:lpstr>
      <vt:lpstr>NetJulToAug</vt:lpstr>
      <vt:lpstr>NetAugToSep</vt:lpstr>
      <vt:lpstr>NetSepToOct</vt:lpstr>
      <vt:lpstr>NetOctToNov</vt:lpstr>
      <vt:lpstr>NetNovToDec</vt:lpstr>
      <vt:lpstr>Net-Year-to-Date 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Mosca, Alexander N.</dc:creator>
  <cp:lastModifiedBy>Mosca, Alexander N.</cp:lastModifiedBy>
  <cp:lastPrinted>2017-08-11T17:24:54Z</cp:lastPrinted>
  <dcterms:created xsi:type="dcterms:W3CDTF">2017-02-20T20:01:51Z</dcterms:created>
  <dcterms:modified xsi:type="dcterms:W3CDTF">2019-02-01T21:21:16Z</dcterms:modified>
</cp:coreProperties>
</file>