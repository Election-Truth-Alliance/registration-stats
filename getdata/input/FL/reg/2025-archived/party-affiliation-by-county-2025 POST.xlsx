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NVRA\Monthly Voter Registration Reports\2025\"/>
    </mc:Choice>
  </mc:AlternateContent>
  <xr:revisionPtr revIDLastSave="0" documentId="13_ncr:1_{48E98178-336B-45E1-8CF9-5EFE04400AF9}" xr6:coauthVersionLast="47" xr6:coauthVersionMax="47" xr10:uidLastSave="{00000000-0000-0000-0000-000000000000}"/>
  <bookViews>
    <workbookView xWindow="28680" yWindow="-120" windowWidth="29040" windowHeight="15720" firstSheet="10" activeTab="12" xr2:uid="{00000000-000D-0000-FFFF-FFFF00000000}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37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externalReferences>
    <externalReference r:id="rId2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33" l="1"/>
  <c r="E71" i="33"/>
  <c r="D71" i="33"/>
  <c r="C71" i="33"/>
  <c r="B71" i="33"/>
  <c r="E70" i="33"/>
  <c r="D70" i="33"/>
  <c r="C70" i="33"/>
  <c r="B70" i="33"/>
  <c r="F70" i="33" s="1"/>
  <c r="E69" i="33"/>
  <c r="D69" i="33"/>
  <c r="C69" i="33"/>
  <c r="F69" i="33" s="1"/>
  <c r="B69" i="33"/>
  <c r="F68" i="33"/>
  <c r="E68" i="33"/>
  <c r="D68" i="33"/>
  <c r="C68" i="33"/>
  <c r="B68" i="33"/>
  <c r="F67" i="33"/>
  <c r="E67" i="33"/>
  <c r="D67" i="33"/>
  <c r="C67" i="33"/>
  <c r="B67" i="33"/>
  <c r="E66" i="33"/>
  <c r="D66" i="33"/>
  <c r="C66" i="33"/>
  <c r="B66" i="33"/>
  <c r="F66" i="33" s="1"/>
  <c r="E65" i="33"/>
  <c r="D65" i="33"/>
  <c r="C65" i="33"/>
  <c r="F65" i="33" s="1"/>
  <c r="B65" i="33"/>
  <c r="F64" i="33"/>
  <c r="E64" i="33"/>
  <c r="D64" i="33"/>
  <c r="C64" i="33"/>
  <c r="B64" i="33"/>
  <c r="F63" i="33"/>
  <c r="E63" i="33"/>
  <c r="D63" i="33"/>
  <c r="C63" i="33"/>
  <c r="B63" i="33"/>
  <c r="E62" i="33"/>
  <c r="D62" i="33"/>
  <c r="C62" i="33"/>
  <c r="B62" i="33"/>
  <c r="F62" i="33" s="1"/>
  <c r="E61" i="33"/>
  <c r="D61" i="33"/>
  <c r="C61" i="33"/>
  <c r="F61" i="33" s="1"/>
  <c r="B61" i="33"/>
  <c r="F60" i="33"/>
  <c r="E60" i="33"/>
  <c r="D60" i="33"/>
  <c r="C60" i="33"/>
  <c r="B60" i="33"/>
  <c r="F59" i="33"/>
  <c r="E59" i="33"/>
  <c r="D59" i="33"/>
  <c r="C59" i="33"/>
  <c r="B59" i="33"/>
  <c r="E58" i="33"/>
  <c r="D58" i="33"/>
  <c r="C58" i="33"/>
  <c r="B58" i="33"/>
  <c r="F58" i="33" s="1"/>
  <c r="E57" i="33"/>
  <c r="D57" i="33"/>
  <c r="C57" i="33"/>
  <c r="F57" i="33" s="1"/>
  <c r="B57" i="33"/>
  <c r="F56" i="33"/>
  <c r="E56" i="33"/>
  <c r="D56" i="33"/>
  <c r="C56" i="33"/>
  <c r="B56" i="33"/>
  <c r="F55" i="33"/>
  <c r="E55" i="33"/>
  <c r="D55" i="33"/>
  <c r="C55" i="33"/>
  <c r="B55" i="33"/>
  <c r="E54" i="33"/>
  <c r="D54" i="33"/>
  <c r="C54" i="33"/>
  <c r="B54" i="33"/>
  <c r="F54" i="33" s="1"/>
  <c r="E53" i="33"/>
  <c r="D53" i="33"/>
  <c r="C53" i="33"/>
  <c r="F53" i="33" s="1"/>
  <c r="B53" i="33"/>
  <c r="F52" i="33"/>
  <c r="E52" i="33"/>
  <c r="D52" i="33"/>
  <c r="C52" i="33"/>
  <c r="B52" i="33"/>
  <c r="F51" i="33"/>
  <c r="E51" i="33"/>
  <c r="D51" i="33"/>
  <c r="C51" i="33"/>
  <c r="B51" i="33"/>
  <c r="E50" i="33"/>
  <c r="D50" i="33"/>
  <c r="C50" i="33"/>
  <c r="B50" i="33"/>
  <c r="F50" i="33" s="1"/>
  <c r="E49" i="33"/>
  <c r="D49" i="33"/>
  <c r="C49" i="33"/>
  <c r="F49" i="33" s="1"/>
  <c r="B49" i="33"/>
  <c r="F48" i="33"/>
  <c r="E48" i="33"/>
  <c r="D48" i="33"/>
  <c r="C48" i="33"/>
  <c r="B48" i="33"/>
  <c r="F47" i="33"/>
  <c r="E47" i="33"/>
  <c r="D47" i="33"/>
  <c r="C47" i="33"/>
  <c r="B47" i="33"/>
  <c r="E46" i="33"/>
  <c r="D46" i="33"/>
  <c r="C46" i="33"/>
  <c r="B46" i="33"/>
  <c r="F46" i="33" s="1"/>
  <c r="E45" i="33"/>
  <c r="D45" i="33"/>
  <c r="C45" i="33"/>
  <c r="F45" i="33" s="1"/>
  <c r="B45" i="33"/>
  <c r="F44" i="33"/>
  <c r="E44" i="33"/>
  <c r="D44" i="33"/>
  <c r="C44" i="33"/>
  <c r="B44" i="33"/>
  <c r="F43" i="33"/>
  <c r="E43" i="33"/>
  <c r="D43" i="33"/>
  <c r="C43" i="33"/>
  <c r="B43" i="33"/>
  <c r="E42" i="33"/>
  <c r="D42" i="33"/>
  <c r="C42" i="33"/>
  <c r="B42" i="33"/>
  <c r="F42" i="33" s="1"/>
  <c r="E41" i="33"/>
  <c r="D41" i="33"/>
  <c r="C41" i="33"/>
  <c r="F41" i="33" s="1"/>
  <c r="B41" i="33"/>
  <c r="F40" i="33"/>
  <c r="E40" i="33"/>
  <c r="D40" i="33"/>
  <c r="C40" i="33"/>
  <c r="B40" i="33"/>
  <c r="F39" i="33"/>
  <c r="E39" i="33"/>
  <c r="D39" i="33"/>
  <c r="C39" i="33"/>
  <c r="B39" i="33"/>
  <c r="E38" i="33"/>
  <c r="D38" i="33"/>
  <c r="C38" i="33"/>
  <c r="B38" i="33"/>
  <c r="F38" i="33" s="1"/>
  <c r="E37" i="33"/>
  <c r="D37" i="33"/>
  <c r="C37" i="33"/>
  <c r="F37" i="33" s="1"/>
  <c r="B37" i="33"/>
  <c r="F36" i="33"/>
  <c r="E36" i="33"/>
  <c r="D36" i="33"/>
  <c r="C36" i="33"/>
  <c r="B36" i="33"/>
  <c r="F35" i="33"/>
  <c r="E35" i="33"/>
  <c r="D35" i="33"/>
  <c r="C35" i="33"/>
  <c r="B35" i="33"/>
  <c r="E34" i="33"/>
  <c r="D34" i="33"/>
  <c r="C34" i="33"/>
  <c r="B34" i="33"/>
  <c r="F34" i="33" s="1"/>
  <c r="E33" i="33"/>
  <c r="D33" i="33"/>
  <c r="C33" i="33"/>
  <c r="F33" i="33" s="1"/>
  <c r="B33" i="33"/>
  <c r="F32" i="33"/>
  <c r="E32" i="33"/>
  <c r="D32" i="33"/>
  <c r="C32" i="33"/>
  <c r="B32" i="33"/>
  <c r="F31" i="33"/>
  <c r="E31" i="33"/>
  <c r="D31" i="33"/>
  <c r="C31" i="33"/>
  <c r="B31" i="33"/>
  <c r="E30" i="33"/>
  <c r="D30" i="33"/>
  <c r="C30" i="33"/>
  <c r="B30" i="33"/>
  <c r="F30" i="33" s="1"/>
  <c r="E29" i="33"/>
  <c r="D29" i="33"/>
  <c r="C29" i="33"/>
  <c r="F29" i="33" s="1"/>
  <c r="B29" i="33"/>
  <c r="F28" i="33"/>
  <c r="E28" i="33"/>
  <c r="D28" i="33"/>
  <c r="C28" i="33"/>
  <c r="B28" i="33"/>
  <c r="F27" i="33"/>
  <c r="E27" i="33"/>
  <c r="D27" i="33"/>
  <c r="C27" i="33"/>
  <c r="B27" i="33"/>
  <c r="E26" i="33"/>
  <c r="D26" i="33"/>
  <c r="C26" i="33"/>
  <c r="B26" i="33"/>
  <c r="F26" i="33" s="1"/>
  <c r="E25" i="33"/>
  <c r="D25" i="33"/>
  <c r="C25" i="33"/>
  <c r="F25" i="33" s="1"/>
  <c r="B25" i="33"/>
  <c r="F24" i="33"/>
  <c r="E24" i="33"/>
  <c r="D24" i="33"/>
  <c r="C24" i="33"/>
  <c r="B24" i="33"/>
  <c r="F23" i="33"/>
  <c r="E23" i="33"/>
  <c r="D23" i="33"/>
  <c r="C23" i="33"/>
  <c r="B23" i="33"/>
  <c r="E22" i="33"/>
  <c r="D22" i="33"/>
  <c r="C22" i="33"/>
  <c r="B22" i="33"/>
  <c r="F22" i="33" s="1"/>
  <c r="E21" i="33"/>
  <c r="D21" i="33"/>
  <c r="C21" i="33"/>
  <c r="F21" i="33" s="1"/>
  <c r="B21" i="33"/>
  <c r="F20" i="33"/>
  <c r="E20" i="33"/>
  <c r="D20" i="33"/>
  <c r="C20" i="33"/>
  <c r="B20" i="33"/>
  <c r="F19" i="33"/>
  <c r="E19" i="33"/>
  <c r="D19" i="33"/>
  <c r="C19" i="33"/>
  <c r="B19" i="33"/>
  <c r="E18" i="33"/>
  <c r="D18" i="33"/>
  <c r="C18" i="33"/>
  <c r="B18" i="33"/>
  <c r="F18" i="33" s="1"/>
  <c r="E17" i="33"/>
  <c r="D17" i="33"/>
  <c r="C17" i="33"/>
  <c r="F17" i="33" s="1"/>
  <c r="B17" i="33"/>
  <c r="F16" i="33"/>
  <c r="E16" i="33"/>
  <c r="D16" i="33"/>
  <c r="C16" i="33"/>
  <c r="B16" i="33"/>
  <c r="F15" i="33"/>
  <c r="E15" i="33"/>
  <c r="D15" i="33"/>
  <c r="C15" i="33"/>
  <c r="B15" i="33"/>
  <c r="E14" i="33"/>
  <c r="D14" i="33"/>
  <c r="C14" i="33"/>
  <c r="B14" i="33"/>
  <c r="F14" i="33" s="1"/>
  <c r="E13" i="33"/>
  <c r="D13" i="33"/>
  <c r="C13" i="33"/>
  <c r="F13" i="33" s="1"/>
  <c r="B13" i="33"/>
  <c r="F12" i="33"/>
  <c r="E12" i="33"/>
  <c r="D12" i="33"/>
  <c r="C12" i="33"/>
  <c r="B12" i="33"/>
  <c r="F11" i="33"/>
  <c r="E11" i="33"/>
  <c r="D11" i="33"/>
  <c r="C11" i="33"/>
  <c r="B11" i="33"/>
  <c r="E10" i="33"/>
  <c r="D10" i="33"/>
  <c r="C10" i="33"/>
  <c r="B10" i="33"/>
  <c r="F10" i="33" s="1"/>
  <c r="E9" i="33"/>
  <c r="D9" i="33"/>
  <c r="C9" i="33"/>
  <c r="F9" i="33" s="1"/>
  <c r="B9" i="33"/>
  <c r="F8" i="33"/>
  <c r="E8" i="33"/>
  <c r="D8" i="33"/>
  <c r="C8" i="33"/>
  <c r="B8" i="33"/>
  <c r="F7" i="33"/>
  <c r="E7" i="33"/>
  <c r="D7" i="33"/>
  <c r="C7" i="33"/>
  <c r="B7" i="33"/>
  <c r="E6" i="33"/>
  <c r="D6" i="33"/>
  <c r="C6" i="33"/>
  <c r="B6" i="33"/>
  <c r="F6" i="33" s="1"/>
  <c r="E5" i="33"/>
  <c r="E72" i="33" s="1"/>
  <c r="D5" i="33"/>
  <c r="D72" i="33" s="1"/>
  <c r="C5" i="33"/>
  <c r="C72" i="33" s="1"/>
  <c r="B5" i="33"/>
  <c r="B72" i="33" s="1"/>
  <c r="F5" i="33" l="1"/>
  <c r="F72" i="33" s="1"/>
  <c r="E71" i="32" l="1"/>
  <c r="D71" i="32"/>
  <c r="C71" i="32"/>
  <c r="B71" i="32"/>
  <c r="E70" i="32"/>
  <c r="D70" i="32"/>
  <c r="C70" i="32"/>
  <c r="B70" i="32"/>
  <c r="E69" i="32"/>
  <c r="D69" i="32"/>
  <c r="C69" i="32"/>
  <c r="B69" i="32"/>
  <c r="E68" i="32"/>
  <c r="D68" i="32"/>
  <c r="C68" i="32"/>
  <c r="B68" i="32"/>
  <c r="E67" i="32"/>
  <c r="D67" i="32"/>
  <c r="C67" i="32"/>
  <c r="B67" i="32"/>
  <c r="F67" i="32" s="1"/>
  <c r="E66" i="32"/>
  <c r="D66" i="32"/>
  <c r="C66" i="32"/>
  <c r="B66" i="32"/>
  <c r="E65" i="32"/>
  <c r="D65" i="32"/>
  <c r="C65" i="32"/>
  <c r="B65" i="32"/>
  <c r="E64" i="32"/>
  <c r="F64" i="32" s="1"/>
  <c r="D64" i="32"/>
  <c r="C64" i="32"/>
  <c r="B64" i="32"/>
  <c r="E63" i="32"/>
  <c r="D63" i="32"/>
  <c r="C63" i="32"/>
  <c r="B63" i="32"/>
  <c r="E62" i="32"/>
  <c r="D62" i="32"/>
  <c r="C62" i="32"/>
  <c r="B62" i="32"/>
  <c r="F62" i="32" s="1"/>
  <c r="E61" i="32"/>
  <c r="D61" i="32"/>
  <c r="C61" i="32"/>
  <c r="B61" i="32"/>
  <c r="E60" i="32"/>
  <c r="D60" i="32"/>
  <c r="C60" i="32"/>
  <c r="B60" i="32"/>
  <c r="E59" i="32"/>
  <c r="D59" i="32"/>
  <c r="C59" i="32"/>
  <c r="B59" i="32"/>
  <c r="E58" i="32"/>
  <c r="D58" i="32"/>
  <c r="C58" i="32"/>
  <c r="B58" i="32"/>
  <c r="E57" i="32"/>
  <c r="D57" i="32"/>
  <c r="C57" i="32"/>
  <c r="B57" i="32"/>
  <c r="F57" i="32" s="1"/>
  <c r="E56" i="32"/>
  <c r="D56" i="32"/>
  <c r="C56" i="32"/>
  <c r="B56" i="32"/>
  <c r="E55" i="32"/>
  <c r="D55" i="32"/>
  <c r="C55" i="32"/>
  <c r="B55" i="32"/>
  <c r="E54" i="32"/>
  <c r="D54" i="32"/>
  <c r="C54" i="32"/>
  <c r="B54" i="32"/>
  <c r="E53" i="32"/>
  <c r="D53" i="32"/>
  <c r="C53" i="32"/>
  <c r="B53" i="32"/>
  <c r="E52" i="32"/>
  <c r="D52" i="32"/>
  <c r="C52" i="32"/>
  <c r="B52" i="32"/>
  <c r="E51" i="32"/>
  <c r="D51" i="32"/>
  <c r="C51" i="32"/>
  <c r="B51" i="32"/>
  <c r="E50" i="32"/>
  <c r="D50" i="32"/>
  <c r="C50" i="32"/>
  <c r="B50" i="32"/>
  <c r="E49" i="32"/>
  <c r="D49" i="32"/>
  <c r="C49" i="32"/>
  <c r="B49" i="32"/>
  <c r="E48" i="32"/>
  <c r="F48" i="32" s="1"/>
  <c r="D48" i="32"/>
  <c r="C48" i="32"/>
  <c r="B48" i="32"/>
  <c r="E47" i="32"/>
  <c r="D47" i="32"/>
  <c r="C47" i="32"/>
  <c r="B47" i="32"/>
  <c r="E46" i="32"/>
  <c r="D46" i="32"/>
  <c r="C46" i="32"/>
  <c r="B46" i="32"/>
  <c r="E45" i="32"/>
  <c r="D45" i="32"/>
  <c r="C45" i="32"/>
  <c r="B45" i="32"/>
  <c r="E44" i="32"/>
  <c r="D44" i="32"/>
  <c r="C44" i="32"/>
  <c r="B44" i="32"/>
  <c r="E43" i="32"/>
  <c r="D43" i="32"/>
  <c r="C43" i="32"/>
  <c r="B43" i="32"/>
  <c r="E42" i="32"/>
  <c r="D42" i="32"/>
  <c r="C42" i="32"/>
  <c r="B42" i="32"/>
  <c r="E41" i="32"/>
  <c r="D41" i="32"/>
  <c r="C41" i="32"/>
  <c r="B41" i="32"/>
  <c r="E40" i="32"/>
  <c r="D40" i="32"/>
  <c r="C40" i="32"/>
  <c r="B40" i="32"/>
  <c r="E39" i="32"/>
  <c r="D39" i="32"/>
  <c r="C39" i="32"/>
  <c r="B39" i="32"/>
  <c r="E38" i="32"/>
  <c r="D38" i="32"/>
  <c r="C38" i="32"/>
  <c r="B38" i="32"/>
  <c r="E37" i="32"/>
  <c r="D37" i="32"/>
  <c r="C37" i="32"/>
  <c r="B37" i="32"/>
  <c r="E36" i="32"/>
  <c r="D36" i="32"/>
  <c r="C36" i="32"/>
  <c r="B36" i="32"/>
  <c r="E35" i="32"/>
  <c r="D35" i="32"/>
  <c r="C35" i="32"/>
  <c r="B35" i="32"/>
  <c r="E34" i="32"/>
  <c r="D34" i="32"/>
  <c r="C34" i="32"/>
  <c r="B34" i="32"/>
  <c r="E33" i="32"/>
  <c r="D33" i="32"/>
  <c r="C33" i="32"/>
  <c r="B33" i="32"/>
  <c r="E32" i="32"/>
  <c r="F32" i="32" s="1"/>
  <c r="D32" i="32"/>
  <c r="C32" i="32"/>
  <c r="B32" i="32"/>
  <c r="E31" i="32"/>
  <c r="D31" i="32"/>
  <c r="C31" i="32"/>
  <c r="B31" i="32"/>
  <c r="E30" i="32"/>
  <c r="D30" i="32"/>
  <c r="C30" i="32"/>
  <c r="B30" i="32"/>
  <c r="E29" i="32"/>
  <c r="D29" i="32"/>
  <c r="C29" i="32"/>
  <c r="B29" i="32"/>
  <c r="E28" i="32"/>
  <c r="F28" i="32" s="1"/>
  <c r="D28" i="32"/>
  <c r="C28" i="32"/>
  <c r="B28" i="32"/>
  <c r="E27" i="32"/>
  <c r="D27" i="32"/>
  <c r="C27" i="32"/>
  <c r="B27" i="32"/>
  <c r="E26" i="32"/>
  <c r="D26" i="32"/>
  <c r="C26" i="32"/>
  <c r="B26" i="32"/>
  <c r="E25" i="32"/>
  <c r="D25" i="32"/>
  <c r="C25" i="32"/>
  <c r="B25" i="32"/>
  <c r="E24" i="32"/>
  <c r="D24" i="32"/>
  <c r="C24" i="32"/>
  <c r="B24" i="32"/>
  <c r="E23" i="32"/>
  <c r="D23" i="32"/>
  <c r="C23" i="32"/>
  <c r="B23" i="32"/>
  <c r="E22" i="32"/>
  <c r="D22" i="32"/>
  <c r="C22" i="32"/>
  <c r="B22" i="32"/>
  <c r="E21" i="32"/>
  <c r="D21" i="32"/>
  <c r="C21" i="32"/>
  <c r="B21" i="32"/>
  <c r="E20" i="32"/>
  <c r="D20" i="32"/>
  <c r="C20" i="32"/>
  <c r="B20" i="32"/>
  <c r="E19" i="32"/>
  <c r="D19" i="32"/>
  <c r="C19" i="32"/>
  <c r="B19" i="32"/>
  <c r="E18" i="32"/>
  <c r="D18" i="32"/>
  <c r="C18" i="32"/>
  <c r="B18" i="32"/>
  <c r="E17" i="32"/>
  <c r="D17" i="32"/>
  <c r="C17" i="32"/>
  <c r="B17" i="32"/>
  <c r="E16" i="32"/>
  <c r="D16" i="32"/>
  <c r="C16" i="32"/>
  <c r="B16" i="32"/>
  <c r="E15" i="32"/>
  <c r="D15" i="32"/>
  <c r="C15" i="32"/>
  <c r="B15" i="32"/>
  <c r="F15" i="32" s="1"/>
  <c r="E14" i="32"/>
  <c r="D14" i="32"/>
  <c r="C14" i="32"/>
  <c r="B14" i="32"/>
  <c r="E13" i="32"/>
  <c r="D13" i="32"/>
  <c r="C13" i="32"/>
  <c r="B13" i="32"/>
  <c r="E12" i="32"/>
  <c r="F12" i="32" s="1"/>
  <c r="D12" i="32"/>
  <c r="C12" i="32"/>
  <c r="B12" i="32"/>
  <c r="E11" i="32"/>
  <c r="D11" i="32"/>
  <c r="C11" i="32"/>
  <c r="B11" i="32"/>
  <c r="E10" i="32"/>
  <c r="D10" i="32"/>
  <c r="C10" i="32"/>
  <c r="B10" i="32"/>
  <c r="F10" i="32" s="1"/>
  <c r="E9" i="32"/>
  <c r="D9" i="32"/>
  <c r="C9" i="32"/>
  <c r="B9" i="32"/>
  <c r="E8" i="32"/>
  <c r="F8" i="32" s="1"/>
  <c r="D8" i="32"/>
  <c r="C8" i="32"/>
  <c r="B8" i="32"/>
  <c r="E7" i="32"/>
  <c r="D7" i="32"/>
  <c r="C7" i="32"/>
  <c r="B7" i="32"/>
  <c r="E6" i="32"/>
  <c r="D6" i="32"/>
  <c r="C6" i="32"/>
  <c r="B6" i="32"/>
  <c r="E5" i="32"/>
  <c r="D5" i="32"/>
  <c r="C5" i="32"/>
  <c r="C72" i="32" s="1"/>
  <c r="B5" i="32"/>
  <c r="F5" i="32" s="1"/>
  <c r="F7" i="32" l="1"/>
  <c r="F17" i="32"/>
  <c r="F27" i="32"/>
  <c r="F37" i="32"/>
  <c r="F47" i="32"/>
  <c r="F22" i="32"/>
  <c r="F42" i="32"/>
  <c r="F52" i="32"/>
  <c r="F44" i="32"/>
  <c r="F13" i="32"/>
  <c r="F23" i="32"/>
  <c r="F38" i="32"/>
  <c r="F58" i="32"/>
  <c r="F18" i="32"/>
  <c r="F33" i="32"/>
  <c r="F43" i="32"/>
  <c r="F53" i="32"/>
  <c r="F63" i="32"/>
  <c r="F68" i="32"/>
  <c r="F69" i="32"/>
  <c r="F24" i="32"/>
  <c r="F9" i="32"/>
  <c r="F14" i="32"/>
  <c r="F19" i="32"/>
  <c r="F29" i="32"/>
  <c r="F34" i="32"/>
  <c r="F39" i="32"/>
  <c r="F49" i="32"/>
  <c r="F54" i="32"/>
  <c r="F59" i="32"/>
  <c r="F70" i="32"/>
  <c r="F25" i="32"/>
  <c r="F30" i="32"/>
  <c r="F35" i="32"/>
  <c r="F45" i="32"/>
  <c r="F50" i="32"/>
  <c r="F55" i="32"/>
  <c r="F65" i="32"/>
  <c r="E72" i="32"/>
  <c r="F20" i="32"/>
  <c r="F40" i="32"/>
  <c r="F60" i="32"/>
  <c r="F6" i="32"/>
  <c r="F21" i="32"/>
  <c r="F31" i="32"/>
  <c r="F41" i="32"/>
  <c r="F51" i="32"/>
  <c r="F61" i="32"/>
  <c r="F71" i="32"/>
  <c r="D72" i="32"/>
  <c r="F11" i="32"/>
  <c r="F26" i="32"/>
  <c r="F46" i="32"/>
  <c r="F66" i="32"/>
  <c r="F16" i="32"/>
  <c r="F36" i="32"/>
  <c r="F56" i="32"/>
  <c r="B72" i="32"/>
  <c r="F72" i="32" l="1"/>
  <c r="E71" i="31"/>
  <c r="D71" i="31"/>
  <c r="C71" i="31"/>
  <c r="B71" i="31"/>
  <c r="E70" i="31"/>
  <c r="D70" i="31"/>
  <c r="C70" i="31"/>
  <c r="B70" i="31"/>
  <c r="E69" i="31"/>
  <c r="D69" i="31"/>
  <c r="C69" i="31"/>
  <c r="B69" i="31"/>
  <c r="E68" i="31"/>
  <c r="D68" i="31"/>
  <c r="C68" i="31"/>
  <c r="B68" i="31"/>
  <c r="F68" i="31" s="1"/>
  <c r="E67" i="31"/>
  <c r="D67" i="31"/>
  <c r="C67" i="31"/>
  <c r="B67" i="31"/>
  <c r="E66" i="31"/>
  <c r="D66" i="31"/>
  <c r="C66" i="31"/>
  <c r="B66" i="31"/>
  <c r="E65" i="31"/>
  <c r="D65" i="31"/>
  <c r="C65" i="31"/>
  <c r="B65" i="31"/>
  <c r="E64" i="31"/>
  <c r="D64" i="31"/>
  <c r="C64" i="31"/>
  <c r="B64" i="31"/>
  <c r="E63" i="31"/>
  <c r="D63" i="31"/>
  <c r="C63" i="31"/>
  <c r="B63" i="31"/>
  <c r="F63" i="31" s="1"/>
  <c r="E62" i="31"/>
  <c r="D62" i="31"/>
  <c r="C62" i="31"/>
  <c r="B62" i="31"/>
  <c r="E61" i="31"/>
  <c r="D61" i="31"/>
  <c r="C61" i="31"/>
  <c r="B61" i="31"/>
  <c r="E60" i="31"/>
  <c r="D60" i="31"/>
  <c r="C60" i="31"/>
  <c r="B60" i="31"/>
  <c r="E59" i="31"/>
  <c r="D59" i="31"/>
  <c r="C59" i="31"/>
  <c r="B59" i="31"/>
  <c r="E58" i="31"/>
  <c r="D58" i="31"/>
  <c r="C58" i="31"/>
  <c r="B58" i="31"/>
  <c r="F58" i="31" s="1"/>
  <c r="E57" i="31"/>
  <c r="D57" i="31"/>
  <c r="C57" i="31"/>
  <c r="B57" i="31"/>
  <c r="E56" i="31"/>
  <c r="D56" i="31"/>
  <c r="C56" i="31"/>
  <c r="B56" i="31"/>
  <c r="E55" i="31"/>
  <c r="D55" i="31"/>
  <c r="C55" i="31"/>
  <c r="B55" i="31"/>
  <c r="E54" i="31"/>
  <c r="D54" i="31"/>
  <c r="C54" i="31"/>
  <c r="B54" i="31"/>
  <c r="E53" i="31"/>
  <c r="D53" i="31"/>
  <c r="C53" i="31"/>
  <c r="B53" i="31"/>
  <c r="F53" i="31" s="1"/>
  <c r="E52" i="31"/>
  <c r="D52" i="31"/>
  <c r="C52" i="31"/>
  <c r="B52" i="31"/>
  <c r="E51" i="31"/>
  <c r="D51" i="31"/>
  <c r="C51" i="31"/>
  <c r="B51" i="31"/>
  <c r="E50" i="31"/>
  <c r="D50" i="31"/>
  <c r="C50" i="31"/>
  <c r="B50" i="31"/>
  <c r="E49" i="31"/>
  <c r="D49" i="31"/>
  <c r="C49" i="31"/>
  <c r="B49" i="31"/>
  <c r="E48" i="31"/>
  <c r="D48" i="31"/>
  <c r="C48" i="31"/>
  <c r="B48" i="31"/>
  <c r="F48" i="31" s="1"/>
  <c r="E47" i="31"/>
  <c r="D47" i="31"/>
  <c r="C47" i="31"/>
  <c r="B47" i="31"/>
  <c r="E46" i="31"/>
  <c r="D46" i="31"/>
  <c r="C46" i="31"/>
  <c r="B46" i="31"/>
  <c r="E45" i="31"/>
  <c r="D45" i="31"/>
  <c r="C45" i="31"/>
  <c r="B45" i="31"/>
  <c r="E44" i="31"/>
  <c r="D44" i="31"/>
  <c r="C44" i="31"/>
  <c r="B44" i="31"/>
  <c r="E43" i="31"/>
  <c r="D43" i="31"/>
  <c r="C43" i="31"/>
  <c r="B43" i="31"/>
  <c r="F43" i="31" s="1"/>
  <c r="E42" i="31"/>
  <c r="D42" i="31"/>
  <c r="C42" i="31"/>
  <c r="B42" i="31"/>
  <c r="E41" i="31"/>
  <c r="D41" i="31"/>
  <c r="C41" i="31"/>
  <c r="B41" i="31"/>
  <c r="E40" i="31"/>
  <c r="D40" i="31"/>
  <c r="C40" i="31"/>
  <c r="B40" i="31"/>
  <c r="E39" i="31"/>
  <c r="D39" i="31"/>
  <c r="C39" i="31"/>
  <c r="B39" i="31"/>
  <c r="E38" i="31"/>
  <c r="D38" i="31"/>
  <c r="C38" i="31"/>
  <c r="B38" i="31"/>
  <c r="F38" i="31" s="1"/>
  <c r="E37" i="31"/>
  <c r="D37" i="31"/>
  <c r="C37" i="31"/>
  <c r="B37" i="31"/>
  <c r="E36" i="31"/>
  <c r="D36" i="31"/>
  <c r="C36" i="31"/>
  <c r="B36" i="31"/>
  <c r="E35" i="31"/>
  <c r="D35" i="31"/>
  <c r="C35" i="31"/>
  <c r="B35" i="31"/>
  <c r="E34" i="31"/>
  <c r="D34" i="31"/>
  <c r="C34" i="31"/>
  <c r="B34" i="31"/>
  <c r="E33" i="31"/>
  <c r="D33" i="31"/>
  <c r="C33" i="31"/>
  <c r="B33" i="31"/>
  <c r="F33" i="31" s="1"/>
  <c r="E32" i="31"/>
  <c r="D32" i="31"/>
  <c r="C32" i="31"/>
  <c r="B32" i="31"/>
  <c r="E31" i="31"/>
  <c r="D31" i="31"/>
  <c r="C31" i="31"/>
  <c r="B31" i="31"/>
  <c r="E30" i="31"/>
  <c r="D30" i="31"/>
  <c r="C30" i="31"/>
  <c r="B30" i="31"/>
  <c r="E29" i="31"/>
  <c r="D29" i="31"/>
  <c r="C29" i="31"/>
  <c r="B29" i="31"/>
  <c r="E28" i="31"/>
  <c r="D28" i="31"/>
  <c r="C28" i="31"/>
  <c r="B28" i="31"/>
  <c r="F28" i="31" s="1"/>
  <c r="E27" i="31"/>
  <c r="D27" i="31"/>
  <c r="C27" i="31"/>
  <c r="B27" i="31"/>
  <c r="E26" i="31"/>
  <c r="D26" i="31"/>
  <c r="C26" i="31"/>
  <c r="B26" i="31"/>
  <c r="E25" i="31"/>
  <c r="D25" i="31"/>
  <c r="C25" i="31"/>
  <c r="B25" i="31"/>
  <c r="E24" i="31"/>
  <c r="D24" i="31"/>
  <c r="C24" i="31"/>
  <c r="B24" i="31"/>
  <c r="E23" i="31"/>
  <c r="D23" i="31"/>
  <c r="C23" i="31"/>
  <c r="B23" i="31"/>
  <c r="F23" i="31" s="1"/>
  <c r="E22" i="31"/>
  <c r="D22" i="31"/>
  <c r="C22" i="31"/>
  <c r="B22" i="31"/>
  <c r="E21" i="31"/>
  <c r="D21" i="31"/>
  <c r="C21" i="31"/>
  <c r="B21" i="31"/>
  <c r="E20" i="31"/>
  <c r="D20" i="31"/>
  <c r="C20" i="31"/>
  <c r="B20" i="31"/>
  <c r="E19" i="31"/>
  <c r="D19" i="31"/>
  <c r="C19" i="31"/>
  <c r="B19" i="31"/>
  <c r="E18" i="31"/>
  <c r="D18" i="31"/>
  <c r="C18" i="31"/>
  <c r="B18" i="31"/>
  <c r="F18" i="31" s="1"/>
  <c r="E17" i="31"/>
  <c r="D17" i="31"/>
  <c r="C17" i="31"/>
  <c r="B17" i="31"/>
  <c r="E16" i="31"/>
  <c r="D16" i="31"/>
  <c r="C16" i="31"/>
  <c r="B16" i="31"/>
  <c r="E15" i="31"/>
  <c r="D15" i="31"/>
  <c r="C15" i="31"/>
  <c r="B15" i="31"/>
  <c r="E14" i="31"/>
  <c r="D14" i="31"/>
  <c r="C14" i="31"/>
  <c r="B14" i="31"/>
  <c r="E13" i="31"/>
  <c r="D13" i="31"/>
  <c r="C13" i="31"/>
  <c r="B13" i="31"/>
  <c r="F13" i="31" s="1"/>
  <c r="E12" i="31"/>
  <c r="D12" i="31"/>
  <c r="C12" i="31"/>
  <c r="B12" i="31"/>
  <c r="E11" i="31"/>
  <c r="D11" i="31"/>
  <c r="C11" i="31"/>
  <c r="B11" i="31"/>
  <c r="E10" i="31"/>
  <c r="D10" i="31"/>
  <c r="C10" i="31"/>
  <c r="B10" i="31"/>
  <c r="E9" i="31"/>
  <c r="D9" i="31"/>
  <c r="C9" i="31"/>
  <c r="B9" i="31"/>
  <c r="E8" i="31"/>
  <c r="D8" i="31"/>
  <c r="C8" i="31"/>
  <c r="B8" i="31"/>
  <c r="F8" i="31" s="1"/>
  <c r="E7" i="31"/>
  <c r="D7" i="31"/>
  <c r="C7" i="31"/>
  <c r="B7" i="31"/>
  <c r="E6" i="31"/>
  <c r="D6" i="31"/>
  <c r="C6" i="31"/>
  <c r="B6" i="31"/>
  <c r="E5" i="31"/>
  <c r="D5" i="31"/>
  <c r="C5" i="31"/>
  <c r="B5" i="31"/>
  <c r="F71" i="30"/>
  <c r="E71" i="30"/>
  <c r="D71" i="30"/>
  <c r="C71" i="30"/>
  <c r="B71" i="30"/>
  <c r="F70" i="30"/>
  <c r="E70" i="30"/>
  <c r="D70" i="30"/>
  <c r="C70" i="30"/>
  <c r="B70" i="30"/>
  <c r="F69" i="30"/>
  <c r="E69" i="30"/>
  <c r="D69" i="30"/>
  <c r="C69" i="30"/>
  <c r="B69" i="30"/>
  <c r="F68" i="30"/>
  <c r="E68" i="30"/>
  <c r="D68" i="30"/>
  <c r="C68" i="30"/>
  <c r="B68" i="30"/>
  <c r="F67" i="30"/>
  <c r="E67" i="30"/>
  <c r="D67" i="30"/>
  <c r="C67" i="30"/>
  <c r="B67" i="30"/>
  <c r="F66" i="30"/>
  <c r="E66" i="30"/>
  <c r="D66" i="30"/>
  <c r="C66" i="30"/>
  <c r="B66" i="30"/>
  <c r="F65" i="30"/>
  <c r="E65" i="30"/>
  <c r="D65" i="30"/>
  <c r="C65" i="30"/>
  <c r="B65" i="30"/>
  <c r="F64" i="30"/>
  <c r="E64" i="30"/>
  <c r="D64" i="30"/>
  <c r="C64" i="30"/>
  <c r="B64" i="30"/>
  <c r="F63" i="30"/>
  <c r="E63" i="30"/>
  <c r="D63" i="30"/>
  <c r="C63" i="30"/>
  <c r="B63" i="30"/>
  <c r="F62" i="30"/>
  <c r="E62" i="30"/>
  <c r="D62" i="30"/>
  <c r="C62" i="30"/>
  <c r="B62" i="30"/>
  <c r="F61" i="30"/>
  <c r="E61" i="30"/>
  <c r="D61" i="30"/>
  <c r="C61" i="30"/>
  <c r="B61" i="30"/>
  <c r="F60" i="30"/>
  <c r="E60" i="30"/>
  <c r="D60" i="30"/>
  <c r="C60" i="30"/>
  <c r="B60" i="30"/>
  <c r="F59" i="30"/>
  <c r="E59" i="30"/>
  <c r="D59" i="30"/>
  <c r="C59" i="30"/>
  <c r="B59" i="30"/>
  <c r="F58" i="30"/>
  <c r="E58" i="30"/>
  <c r="D58" i="30"/>
  <c r="C58" i="30"/>
  <c r="B58" i="30"/>
  <c r="F57" i="30"/>
  <c r="E57" i="30"/>
  <c r="D57" i="30"/>
  <c r="C57" i="30"/>
  <c r="B57" i="30"/>
  <c r="F56" i="30"/>
  <c r="E56" i="30"/>
  <c r="D56" i="30"/>
  <c r="C56" i="30"/>
  <c r="B56" i="30"/>
  <c r="F55" i="30"/>
  <c r="E55" i="30"/>
  <c r="D55" i="30"/>
  <c r="C55" i="30"/>
  <c r="B55" i="30"/>
  <c r="F54" i="30"/>
  <c r="E54" i="30"/>
  <c r="D54" i="30"/>
  <c r="C54" i="30"/>
  <c r="B54" i="30"/>
  <c r="F53" i="30"/>
  <c r="E53" i="30"/>
  <c r="D53" i="30"/>
  <c r="C53" i="30"/>
  <c r="B53" i="30"/>
  <c r="F52" i="30"/>
  <c r="E52" i="30"/>
  <c r="D52" i="30"/>
  <c r="C52" i="30"/>
  <c r="B52" i="30"/>
  <c r="F51" i="30"/>
  <c r="E51" i="30"/>
  <c r="D51" i="30"/>
  <c r="C51" i="30"/>
  <c r="B51" i="30"/>
  <c r="F50" i="30"/>
  <c r="E50" i="30"/>
  <c r="D50" i="30"/>
  <c r="C50" i="30"/>
  <c r="B50" i="30"/>
  <c r="F49" i="30"/>
  <c r="E49" i="30"/>
  <c r="D49" i="30"/>
  <c r="C49" i="30"/>
  <c r="B49" i="30"/>
  <c r="F48" i="30"/>
  <c r="E48" i="30"/>
  <c r="D48" i="30"/>
  <c r="C48" i="30"/>
  <c r="B48" i="30"/>
  <c r="F47" i="30"/>
  <c r="E47" i="30"/>
  <c r="D47" i="30"/>
  <c r="C47" i="30"/>
  <c r="B47" i="30"/>
  <c r="F46" i="30"/>
  <c r="E46" i="30"/>
  <c r="D46" i="30"/>
  <c r="C46" i="30"/>
  <c r="B46" i="30"/>
  <c r="F45" i="30"/>
  <c r="E45" i="30"/>
  <c r="D45" i="30"/>
  <c r="C45" i="30"/>
  <c r="B45" i="30"/>
  <c r="F44" i="30"/>
  <c r="E44" i="30"/>
  <c r="D44" i="30"/>
  <c r="C44" i="30"/>
  <c r="B44" i="30"/>
  <c r="F43" i="30"/>
  <c r="E43" i="30"/>
  <c r="D43" i="30"/>
  <c r="C43" i="30"/>
  <c r="B43" i="30"/>
  <c r="F42" i="30"/>
  <c r="E42" i="30"/>
  <c r="D42" i="30"/>
  <c r="C42" i="30"/>
  <c r="B42" i="30"/>
  <c r="F41" i="30"/>
  <c r="E41" i="30"/>
  <c r="D41" i="30"/>
  <c r="C41" i="30"/>
  <c r="B41" i="30"/>
  <c r="F40" i="30"/>
  <c r="E40" i="30"/>
  <c r="D40" i="30"/>
  <c r="C40" i="30"/>
  <c r="B40" i="30"/>
  <c r="F39" i="30"/>
  <c r="E39" i="30"/>
  <c r="D39" i="30"/>
  <c r="C39" i="30"/>
  <c r="B39" i="30"/>
  <c r="F38" i="30"/>
  <c r="E38" i="30"/>
  <c r="D38" i="30"/>
  <c r="C38" i="30"/>
  <c r="B38" i="30"/>
  <c r="F37" i="30"/>
  <c r="E37" i="30"/>
  <c r="D37" i="30"/>
  <c r="C37" i="30"/>
  <c r="B37" i="30"/>
  <c r="F36" i="30"/>
  <c r="E36" i="30"/>
  <c r="D36" i="30"/>
  <c r="C36" i="30"/>
  <c r="B36" i="30"/>
  <c r="F35" i="30"/>
  <c r="E35" i="30"/>
  <c r="D35" i="30"/>
  <c r="C35" i="30"/>
  <c r="B35" i="30"/>
  <c r="F34" i="30"/>
  <c r="E34" i="30"/>
  <c r="D34" i="30"/>
  <c r="C34" i="30"/>
  <c r="B34" i="30"/>
  <c r="F33" i="30"/>
  <c r="E33" i="30"/>
  <c r="D33" i="30"/>
  <c r="C33" i="30"/>
  <c r="B33" i="30"/>
  <c r="F32" i="30"/>
  <c r="E32" i="30"/>
  <c r="D32" i="30"/>
  <c r="C32" i="30"/>
  <c r="B32" i="30"/>
  <c r="F31" i="30"/>
  <c r="E31" i="30"/>
  <c r="D31" i="30"/>
  <c r="C31" i="30"/>
  <c r="B31" i="30"/>
  <c r="F30" i="30"/>
  <c r="E30" i="30"/>
  <c r="D30" i="30"/>
  <c r="C30" i="30"/>
  <c r="B30" i="30"/>
  <c r="F29" i="30"/>
  <c r="E29" i="30"/>
  <c r="D29" i="30"/>
  <c r="C29" i="30"/>
  <c r="B29" i="30"/>
  <c r="F28" i="30"/>
  <c r="E28" i="30"/>
  <c r="D28" i="30"/>
  <c r="C28" i="30"/>
  <c r="B28" i="30"/>
  <c r="F27" i="30"/>
  <c r="E27" i="30"/>
  <c r="D27" i="30"/>
  <c r="C27" i="30"/>
  <c r="B27" i="30"/>
  <c r="F26" i="30"/>
  <c r="E26" i="30"/>
  <c r="D26" i="30"/>
  <c r="C26" i="30"/>
  <c r="B26" i="30"/>
  <c r="F25" i="30"/>
  <c r="E25" i="30"/>
  <c r="D25" i="30"/>
  <c r="C25" i="30"/>
  <c r="B25" i="30"/>
  <c r="F24" i="30"/>
  <c r="E24" i="30"/>
  <c r="D24" i="30"/>
  <c r="C24" i="30"/>
  <c r="B24" i="30"/>
  <c r="F23" i="30"/>
  <c r="E23" i="30"/>
  <c r="D23" i="30"/>
  <c r="C23" i="30"/>
  <c r="B23" i="30"/>
  <c r="F22" i="30"/>
  <c r="E22" i="30"/>
  <c r="D22" i="30"/>
  <c r="C22" i="30"/>
  <c r="B22" i="30"/>
  <c r="F21" i="30"/>
  <c r="E21" i="30"/>
  <c r="D21" i="30"/>
  <c r="C21" i="30"/>
  <c r="B21" i="30"/>
  <c r="F20" i="30"/>
  <c r="E20" i="30"/>
  <c r="D20" i="30"/>
  <c r="C20" i="30"/>
  <c r="B20" i="30"/>
  <c r="F19" i="30"/>
  <c r="E19" i="30"/>
  <c r="D19" i="30"/>
  <c r="C19" i="30"/>
  <c r="B19" i="30"/>
  <c r="F18" i="30"/>
  <c r="E18" i="30"/>
  <c r="D18" i="30"/>
  <c r="C18" i="30"/>
  <c r="B18" i="30"/>
  <c r="F17" i="30"/>
  <c r="E17" i="30"/>
  <c r="D17" i="30"/>
  <c r="C17" i="30"/>
  <c r="B17" i="30"/>
  <c r="F16" i="30"/>
  <c r="E16" i="30"/>
  <c r="D16" i="30"/>
  <c r="C16" i="30"/>
  <c r="B16" i="30"/>
  <c r="F15" i="30"/>
  <c r="E15" i="30"/>
  <c r="D15" i="30"/>
  <c r="C15" i="30"/>
  <c r="B15" i="30"/>
  <c r="F14" i="30"/>
  <c r="E14" i="30"/>
  <c r="D14" i="30"/>
  <c r="C14" i="30"/>
  <c r="B14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9" i="31" l="1"/>
  <c r="F14" i="31"/>
  <c r="F19" i="31"/>
  <c r="F24" i="31"/>
  <c r="F29" i="31"/>
  <c r="F34" i="31"/>
  <c r="F39" i="31"/>
  <c r="F44" i="31"/>
  <c r="F49" i="31"/>
  <c r="F54" i="31"/>
  <c r="F59" i="31"/>
  <c r="F64" i="31"/>
  <c r="F69" i="31"/>
  <c r="F7" i="31"/>
  <c r="F12" i="31"/>
  <c r="F17" i="31"/>
  <c r="F22" i="31"/>
  <c r="F27" i="31"/>
  <c r="F32" i="31"/>
  <c r="F37" i="31"/>
  <c r="F42" i="31"/>
  <c r="F47" i="31"/>
  <c r="F52" i="31"/>
  <c r="F57" i="31"/>
  <c r="F62" i="31"/>
  <c r="F67" i="31"/>
  <c r="F72" i="30"/>
  <c r="B72" i="31"/>
  <c r="F10" i="31"/>
  <c r="F15" i="31"/>
  <c r="F20" i="31"/>
  <c r="F25" i="31"/>
  <c r="F30" i="31"/>
  <c r="F35" i="31"/>
  <c r="F40" i="31"/>
  <c r="F45" i="31"/>
  <c r="F50" i="31"/>
  <c r="F55" i="31"/>
  <c r="F60" i="31"/>
  <c r="F65" i="31"/>
  <c r="F70" i="31"/>
  <c r="C72" i="31"/>
  <c r="F6" i="31"/>
  <c r="F11" i="31"/>
  <c r="F16" i="31"/>
  <c r="F21" i="31"/>
  <c r="F26" i="31"/>
  <c r="F31" i="31"/>
  <c r="F36" i="31"/>
  <c r="F41" i="31"/>
  <c r="F46" i="31"/>
  <c r="F51" i="31"/>
  <c r="F56" i="31"/>
  <c r="F61" i="31"/>
  <c r="F66" i="31"/>
  <c r="F71" i="31"/>
  <c r="E72" i="30"/>
  <c r="D72" i="31"/>
  <c r="E72" i="31"/>
  <c r="C72" i="30"/>
  <c r="D72" i="30"/>
  <c r="F5" i="31"/>
  <c r="B72" i="30"/>
  <c r="F71" i="29"/>
  <c r="E71" i="29"/>
  <c r="D71" i="29"/>
  <c r="C71" i="29"/>
  <c r="B71" i="29"/>
  <c r="F70" i="29"/>
  <c r="E70" i="29"/>
  <c r="D70" i="29"/>
  <c r="C70" i="29"/>
  <c r="B70" i="29"/>
  <c r="F69" i="29"/>
  <c r="E69" i="29"/>
  <c r="D69" i="29"/>
  <c r="C69" i="29"/>
  <c r="B69" i="29"/>
  <c r="F68" i="29"/>
  <c r="E68" i="29"/>
  <c r="D68" i="29"/>
  <c r="C68" i="29"/>
  <c r="B68" i="29"/>
  <c r="F67" i="29"/>
  <c r="E67" i="29"/>
  <c r="D67" i="29"/>
  <c r="C67" i="29"/>
  <c r="B67" i="29"/>
  <c r="F66" i="29"/>
  <c r="E66" i="29"/>
  <c r="D66" i="29"/>
  <c r="C66" i="29"/>
  <c r="B66" i="29"/>
  <c r="F65" i="29"/>
  <c r="E65" i="29"/>
  <c r="D65" i="29"/>
  <c r="C65" i="29"/>
  <c r="B65" i="29"/>
  <c r="F64" i="29"/>
  <c r="E64" i="29"/>
  <c r="D64" i="29"/>
  <c r="C64" i="29"/>
  <c r="B64" i="29"/>
  <c r="F63" i="29"/>
  <c r="E63" i="29"/>
  <c r="D63" i="29"/>
  <c r="C63" i="29"/>
  <c r="B63" i="29"/>
  <c r="F62" i="29"/>
  <c r="E62" i="29"/>
  <c r="D62" i="29"/>
  <c r="C62" i="29"/>
  <c r="B62" i="29"/>
  <c r="F61" i="29"/>
  <c r="E61" i="29"/>
  <c r="D61" i="29"/>
  <c r="C61" i="29"/>
  <c r="B61" i="29"/>
  <c r="F60" i="29"/>
  <c r="E60" i="29"/>
  <c r="D60" i="29"/>
  <c r="C60" i="29"/>
  <c r="B60" i="29"/>
  <c r="F59" i="29"/>
  <c r="E59" i="29"/>
  <c r="D59" i="29"/>
  <c r="C59" i="29"/>
  <c r="B59" i="29"/>
  <c r="F58" i="29"/>
  <c r="E58" i="29"/>
  <c r="D58" i="29"/>
  <c r="C58" i="29"/>
  <c r="B58" i="29"/>
  <c r="F57" i="29"/>
  <c r="E57" i="29"/>
  <c r="D57" i="29"/>
  <c r="C57" i="29"/>
  <c r="B57" i="29"/>
  <c r="F56" i="29"/>
  <c r="E56" i="29"/>
  <c r="D56" i="29"/>
  <c r="C56" i="29"/>
  <c r="B56" i="29"/>
  <c r="F55" i="29"/>
  <c r="E55" i="29"/>
  <c r="D55" i="29"/>
  <c r="C55" i="29"/>
  <c r="B55" i="29"/>
  <c r="F54" i="29"/>
  <c r="E54" i="29"/>
  <c r="D54" i="29"/>
  <c r="C54" i="29"/>
  <c r="B54" i="29"/>
  <c r="F53" i="29"/>
  <c r="E53" i="29"/>
  <c r="D53" i="29"/>
  <c r="C53" i="29"/>
  <c r="B53" i="29"/>
  <c r="F52" i="29"/>
  <c r="E52" i="29"/>
  <c r="D52" i="29"/>
  <c r="C52" i="29"/>
  <c r="B52" i="29"/>
  <c r="F51" i="29"/>
  <c r="E51" i="29"/>
  <c r="D51" i="29"/>
  <c r="C51" i="29"/>
  <c r="B51" i="29"/>
  <c r="F50" i="29"/>
  <c r="E50" i="29"/>
  <c r="D50" i="29"/>
  <c r="C50" i="29"/>
  <c r="B50" i="29"/>
  <c r="F49" i="29"/>
  <c r="E49" i="29"/>
  <c r="D49" i="29"/>
  <c r="C49" i="29"/>
  <c r="B49" i="29"/>
  <c r="F48" i="29"/>
  <c r="E48" i="29"/>
  <c r="D48" i="29"/>
  <c r="C48" i="29"/>
  <c r="B48" i="29"/>
  <c r="F47" i="29"/>
  <c r="E47" i="29"/>
  <c r="D47" i="29"/>
  <c r="C47" i="29"/>
  <c r="B47" i="29"/>
  <c r="F46" i="29"/>
  <c r="E46" i="29"/>
  <c r="D46" i="29"/>
  <c r="C46" i="29"/>
  <c r="B46" i="29"/>
  <c r="F45" i="29"/>
  <c r="E45" i="29"/>
  <c r="D45" i="29"/>
  <c r="C45" i="29"/>
  <c r="B45" i="29"/>
  <c r="F44" i="29"/>
  <c r="E44" i="29"/>
  <c r="D44" i="29"/>
  <c r="C44" i="29"/>
  <c r="B44" i="29"/>
  <c r="F43" i="29"/>
  <c r="E43" i="29"/>
  <c r="D43" i="29"/>
  <c r="C43" i="29"/>
  <c r="B43" i="29"/>
  <c r="F42" i="29"/>
  <c r="E42" i="29"/>
  <c r="D42" i="29"/>
  <c r="C42" i="29"/>
  <c r="B42" i="29"/>
  <c r="F41" i="29"/>
  <c r="E41" i="29"/>
  <c r="D41" i="29"/>
  <c r="C41" i="29"/>
  <c r="B41" i="29"/>
  <c r="F40" i="29"/>
  <c r="E40" i="29"/>
  <c r="D40" i="29"/>
  <c r="C40" i="29"/>
  <c r="B40" i="29"/>
  <c r="F39" i="29"/>
  <c r="E39" i="29"/>
  <c r="D39" i="29"/>
  <c r="C39" i="29"/>
  <c r="B39" i="29"/>
  <c r="F38" i="29"/>
  <c r="E38" i="29"/>
  <c r="D38" i="29"/>
  <c r="C38" i="29"/>
  <c r="B38" i="29"/>
  <c r="F37" i="29"/>
  <c r="E37" i="29"/>
  <c r="D37" i="29"/>
  <c r="C37" i="29"/>
  <c r="B37" i="29"/>
  <c r="F36" i="29"/>
  <c r="E36" i="29"/>
  <c r="D36" i="29"/>
  <c r="C36" i="29"/>
  <c r="B36" i="29"/>
  <c r="F35" i="29"/>
  <c r="E35" i="29"/>
  <c r="D35" i="29"/>
  <c r="C35" i="29"/>
  <c r="B35" i="29"/>
  <c r="F34" i="29"/>
  <c r="E34" i="29"/>
  <c r="D34" i="29"/>
  <c r="C34" i="29"/>
  <c r="B34" i="29"/>
  <c r="F33" i="29"/>
  <c r="E33" i="29"/>
  <c r="D33" i="29"/>
  <c r="C33" i="29"/>
  <c r="B33" i="29"/>
  <c r="F32" i="29"/>
  <c r="E32" i="29"/>
  <c r="D32" i="29"/>
  <c r="C32" i="29"/>
  <c r="B32" i="29"/>
  <c r="F31" i="29"/>
  <c r="E31" i="29"/>
  <c r="D31" i="29"/>
  <c r="C31" i="29"/>
  <c r="B31" i="29"/>
  <c r="F30" i="29"/>
  <c r="E30" i="29"/>
  <c r="D30" i="29"/>
  <c r="C30" i="29"/>
  <c r="B30" i="29"/>
  <c r="F29" i="29"/>
  <c r="E29" i="29"/>
  <c r="D29" i="29"/>
  <c r="C29" i="29"/>
  <c r="B29" i="29"/>
  <c r="F28" i="29"/>
  <c r="E28" i="29"/>
  <c r="D28" i="29"/>
  <c r="C28" i="29"/>
  <c r="B28" i="29"/>
  <c r="F27" i="29"/>
  <c r="E27" i="29"/>
  <c r="D27" i="29"/>
  <c r="C27" i="29"/>
  <c r="B27" i="29"/>
  <c r="F26" i="29"/>
  <c r="E26" i="29"/>
  <c r="D26" i="29"/>
  <c r="C26" i="29"/>
  <c r="B26" i="29"/>
  <c r="F25" i="29"/>
  <c r="E25" i="29"/>
  <c r="D25" i="29"/>
  <c r="C25" i="29"/>
  <c r="B25" i="29"/>
  <c r="F24" i="29"/>
  <c r="E24" i="29"/>
  <c r="D24" i="29"/>
  <c r="C24" i="29"/>
  <c r="B24" i="29"/>
  <c r="F23" i="29"/>
  <c r="E23" i="29"/>
  <c r="D23" i="29"/>
  <c r="C23" i="29"/>
  <c r="B23" i="29"/>
  <c r="F22" i="29"/>
  <c r="E22" i="29"/>
  <c r="D22" i="29"/>
  <c r="C22" i="29"/>
  <c r="B22" i="29"/>
  <c r="F21" i="29"/>
  <c r="E21" i="29"/>
  <c r="D21" i="29"/>
  <c r="C21" i="29"/>
  <c r="B21" i="29"/>
  <c r="F20" i="29"/>
  <c r="E20" i="29"/>
  <c r="D20" i="29"/>
  <c r="C20" i="29"/>
  <c r="B20" i="29"/>
  <c r="F19" i="29"/>
  <c r="E19" i="29"/>
  <c r="D19" i="29"/>
  <c r="C19" i="29"/>
  <c r="B19" i="29"/>
  <c r="F18" i="29"/>
  <c r="E18" i="29"/>
  <c r="D18" i="29"/>
  <c r="C18" i="29"/>
  <c r="B18" i="29"/>
  <c r="F17" i="29"/>
  <c r="E17" i="29"/>
  <c r="D17" i="29"/>
  <c r="C17" i="29"/>
  <c r="B17" i="29"/>
  <c r="F16" i="29"/>
  <c r="E16" i="29"/>
  <c r="D16" i="29"/>
  <c r="C16" i="29"/>
  <c r="B16" i="29"/>
  <c r="F15" i="29"/>
  <c r="E15" i="29"/>
  <c r="D15" i="29"/>
  <c r="C15" i="29"/>
  <c r="B15" i="29"/>
  <c r="F14" i="29"/>
  <c r="E14" i="29"/>
  <c r="D14" i="29"/>
  <c r="C14" i="29"/>
  <c r="B14" i="29"/>
  <c r="F13" i="29"/>
  <c r="E13" i="29"/>
  <c r="D13" i="29"/>
  <c r="C13" i="29"/>
  <c r="B13" i="29"/>
  <c r="F12" i="29"/>
  <c r="E12" i="29"/>
  <c r="D12" i="29"/>
  <c r="C12" i="29"/>
  <c r="B12" i="29"/>
  <c r="F11" i="29"/>
  <c r="E11" i="29"/>
  <c r="D11" i="29"/>
  <c r="C11" i="29"/>
  <c r="B11" i="29"/>
  <c r="F10" i="29"/>
  <c r="E10" i="29"/>
  <c r="D10" i="29"/>
  <c r="C10" i="29"/>
  <c r="B10" i="29"/>
  <c r="F9" i="29"/>
  <c r="E9" i="29"/>
  <c r="D9" i="29"/>
  <c r="C9" i="29"/>
  <c r="B9" i="29"/>
  <c r="F8" i="29"/>
  <c r="E8" i="29"/>
  <c r="D8" i="29"/>
  <c r="C8" i="29"/>
  <c r="B8" i="29"/>
  <c r="F7" i="29"/>
  <c r="E7" i="29"/>
  <c r="D7" i="29"/>
  <c r="C7" i="29"/>
  <c r="B7" i="29"/>
  <c r="F6" i="29"/>
  <c r="E6" i="29"/>
  <c r="D6" i="29"/>
  <c r="C6" i="29"/>
  <c r="B6" i="29"/>
  <c r="F5" i="29"/>
  <c r="E5" i="29"/>
  <c r="D5" i="29"/>
  <c r="C5" i="29"/>
  <c r="B5" i="29"/>
  <c r="F72" i="31" l="1"/>
  <c r="D72" i="29"/>
  <c r="E72" i="29"/>
  <c r="B72" i="29"/>
  <c r="C72" i="29"/>
  <c r="F72" i="29"/>
  <c r="F71" i="28"/>
  <c r="E71" i="28"/>
  <c r="D71" i="28"/>
  <c r="C71" i="28"/>
  <c r="B71" i="28"/>
  <c r="F70" i="28"/>
  <c r="E70" i="28"/>
  <c r="D70" i="28"/>
  <c r="C70" i="28"/>
  <c r="B70" i="28"/>
  <c r="F69" i="28"/>
  <c r="E69" i="28"/>
  <c r="D69" i="28"/>
  <c r="C69" i="28"/>
  <c r="B69" i="28"/>
  <c r="F68" i="28"/>
  <c r="E68" i="28"/>
  <c r="D68" i="28"/>
  <c r="C68" i="28"/>
  <c r="B68" i="28"/>
  <c r="F67" i="28"/>
  <c r="E67" i="28"/>
  <c r="D67" i="28"/>
  <c r="C67" i="28"/>
  <c r="B67" i="28"/>
  <c r="F66" i="28"/>
  <c r="E66" i="28"/>
  <c r="D66" i="28"/>
  <c r="C66" i="28"/>
  <c r="B66" i="28"/>
  <c r="F65" i="28"/>
  <c r="E65" i="28"/>
  <c r="D65" i="28"/>
  <c r="C65" i="28"/>
  <c r="B65" i="28"/>
  <c r="F64" i="28"/>
  <c r="E64" i="28"/>
  <c r="D64" i="28"/>
  <c r="C64" i="28"/>
  <c r="B64" i="28"/>
  <c r="F63" i="28"/>
  <c r="E63" i="28"/>
  <c r="D63" i="28"/>
  <c r="C63" i="28"/>
  <c r="B63" i="28"/>
  <c r="F62" i="28"/>
  <c r="E62" i="28"/>
  <c r="D62" i="28"/>
  <c r="C62" i="28"/>
  <c r="B62" i="28"/>
  <c r="F61" i="28"/>
  <c r="E61" i="28"/>
  <c r="D61" i="28"/>
  <c r="C61" i="28"/>
  <c r="B61" i="28"/>
  <c r="F60" i="28"/>
  <c r="E60" i="28"/>
  <c r="D60" i="28"/>
  <c r="C60" i="28"/>
  <c r="B60" i="28"/>
  <c r="F59" i="28"/>
  <c r="E59" i="28"/>
  <c r="D59" i="28"/>
  <c r="C59" i="28"/>
  <c r="B59" i="28"/>
  <c r="F58" i="28"/>
  <c r="E58" i="28"/>
  <c r="D58" i="28"/>
  <c r="C58" i="28"/>
  <c r="B58" i="28"/>
  <c r="F57" i="28"/>
  <c r="E57" i="28"/>
  <c r="D57" i="28"/>
  <c r="C57" i="28"/>
  <c r="B57" i="28"/>
  <c r="F56" i="28"/>
  <c r="E56" i="28"/>
  <c r="D56" i="28"/>
  <c r="C56" i="28"/>
  <c r="B56" i="28"/>
  <c r="F55" i="28"/>
  <c r="E55" i="28"/>
  <c r="D55" i="28"/>
  <c r="C55" i="28"/>
  <c r="B55" i="28"/>
  <c r="F54" i="28"/>
  <c r="E54" i="28"/>
  <c r="D54" i="28"/>
  <c r="C54" i="28"/>
  <c r="B54" i="28"/>
  <c r="F53" i="28"/>
  <c r="E53" i="28"/>
  <c r="D53" i="28"/>
  <c r="C53" i="28"/>
  <c r="B53" i="28"/>
  <c r="F52" i="28"/>
  <c r="E52" i="28"/>
  <c r="D52" i="28"/>
  <c r="C52" i="28"/>
  <c r="B52" i="28"/>
  <c r="F51" i="28"/>
  <c r="E51" i="28"/>
  <c r="D51" i="28"/>
  <c r="C51" i="28"/>
  <c r="B51" i="28"/>
  <c r="F50" i="28"/>
  <c r="E50" i="28"/>
  <c r="D50" i="28"/>
  <c r="C50" i="28"/>
  <c r="B50" i="28"/>
  <c r="F49" i="28"/>
  <c r="E49" i="28"/>
  <c r="D49" i="28"/>
  <c r="C49" i="28"/>
  <c r="B49" i="28"/>
  <c r="F48" i="28"/>
  <c r="E48" i="28"/>
  <c r="D48" i="28"/>
  <c r="C48" i="28"/>
  <c r="B48" i="28"/>
  <c r="F47" i="28"/>
  <c r="E47" i="28"/>
  <c r="D47" i="28"/>
  <c r="C47" i="28"/>
  <c r="B47" i="28"/>
  <c r="F46" i="28"/>
  <c r="E46" i="28"/>
  <c r="D46" i="28"/>
  <c r="C46" i="28"/>
  <c r="B46" i="28"/>
  <c r="F45" i="28"/>
  <c r="E45" i="28"/>
  <c r="D45" i="28"/>
  <c r="C45" i="28"/>
  <c r="B45" i="28"/>
  <c r="F44" i="28"/>
  <c r="E44" i="28"/>
  <c r="D44" i="28"/>
  <c r="C44" i="28"/>
  <c r="B44" i="28"/>
  <c r="F43" i="28"/>
  <c r="E43" i="28"/>
  <c r="D43" i="28"/>
  <c r="C43" i="28"/>
  <c r="B43" i="28"/>
  <c r="F42" i="28"/>
  <c r="E42" i="28"/>
  <c r="D42" i="28"/>
  <c r="C42" i="28"/>
  <c r="B42" i="28"/>
  <c r="F41" i="28"/>
  <c r="E41" i="28"/>
  <c r="D41" i="28"/>
  <c r="C41" i="28"/>
  <c r="B41" i="28"/>
  <c r="F40" i="28"/>
  <c r="E40" i="28"/>
  <c r="D40" i="28"/>
  <c r="C40" i="28"/>
  <c r="B40" i="28"/>
  <c r="F39" i="28"/>
  <c r="E39" i="28"/>
  <c r="D39" i="28"/>
  <c r="C39" i="28"/>
  <c r="B39" i="28"/>
  <c r="F38" i="28"/>
  <c r="E38" i="28"/>
  <c r="D38" i="28"/>
  <c r="C38" i="28"/>
  <c r="B38" i="28"/>
  <c r="F37" i="28"/>
  <c r="E37" i="28"/>
  <c r="D37" i="28"/>
  <c r="C37" i="28"/>
  <c r="B37" i="28"/>
  <c r="F36" i="28"/>
  <c r="E36" i="28"/>
  <c r="D36" i="28"/>
  <c r="C36" i="28"/>
  <c r="B36" i="28"/>
  <c r="F35" i="28"/>
  <c r="E35" i="28"/>
  <c r="D35" i="28"/>
  <c r="C35" i="28"/>
  <c r="B35" i="28"/>
  <c r="F34" i="28"/>
  <c r="E34" i="28"/>
  <c r="D34" i="28"/>
  <c r="C34" i="28"/>
  <c r="B34" i="28"/>
  <c r="F33" i="28"/>
  <c r="E33" i="28"/>
  <c r="D33" i="28"/>
  <c r="C33" i="28"/>
  <c r="B33" i="28"/>
  <c r="F32" i="28"/>
  <c r="E32" i="28"/>
  <c r="D32" i="28"/>
  <c r="C32" i="28"/>
  <c r="B32" i="28"/>
  <c r="F31" i="28"/>
  <c r="E31" i="28"/>
  <c r="D31" i="28"/>
  <c r="C31" i="28"/>
  <c r="B31" i="28"/>
  <c r="F30" i="28"/>
  <c r="E30" i="28"/>
  <c r="D30" i="28"/>
  <c r="C30" i="28"/>
  <c r="B30" i="28"/>
  <c r="F29" i="28"/>
  <c r="E29" i="28"/>
  <c r="D29" i="28"/>
  <c r="C29" i="28"/>
  <c r="B29" i="28"/>
  <c r="F28" i="28"/>
  <c r="E28" i="28"/>
  <c r="D28" i="28"/>
  <c r="C28" i="28"/>
  <c r="B28" i="28"/>
  <c r="F27" i="28"/>
  <c r="E27" i="28"/>
  <c r="D27" i="28"/>
  <c r="C27" i="28"/>
  <c r="B27" i="28"/>
  <c r="F26" i="28"/>
  <c r="E26" i="28"/>
  <c r="D26" i="28"/>
  <c r="C26" i="28"/>
  <c r="B26" i="28"/>
  <c r="F25" i="28"/>
  <c r="E25" i="28"/>
  <c r="D25" i="28"/>
  <c r="C25" i="28"/>
  <c r="B25" i="28"/>
  <c r="F24" i="28"/>
  <c r="E24" i="28"/>
  <c r="D24" i="28"/>
  <c r="C24" i="28"/>
  <c r="B24" i="28"/>
  <c r="F23" i="28"/>
  <c r="E23" i="28"/>
  <c r="D23" i="28"/>
  <c r="C23" i="28"/>
  <c r="B23" i="28"/>
  <c r="F22" i="28"/>
  <c r="E22" i="28"/>
  <c r="D22" i="28"/>
  <c r="C22" i="28"/>
  <c r="B22" i="28"/>
  <c r="F21" i="28"/>
  <c r="E21" i="28"/>
  <c r="D21" i="28"/>
  <c r="C21" i="28"/>
  <c r="B21" i="28"/>
  <c r="F20" i="28"/>
  <c r="E20" i="28"/>
  <c r="D20" i="28"/>
  <c r="C20" i="28"/>
  <c r="B20" i="28"/>
  <c r="F19" i="28"/>
  <c r="E19" i="28"/>
  <c r="D19" i="28"/>
  <c r="C19" i="28"/>
  <c r="B19" i="28"/>
  <c r="F18" i="28"/>
  <c r="E18" i="28"/>
  <c r="D18" i="28"/>
  <c r="C18" i="28"/>
  <c r="B18" i="28"/>
  <c r="F17" i="28"/>
  <c r="E17" i="28"/>
  <c r="D17" i="28"/>
  <c r="C17" i="28"/>
  <c r="B17" i="28"/>
  <c r="F16" i="28"/>
  <c r="E16" i="28"/>
  <c r="D16" i="28"/>
  <c r="C16" i="28"/>
  <c r="B16" i="28"/>
  <c r="F15" i="28"/>
  <c r="E15" i="28"/>
  <c r="D15" i="28"/>
  <c r="C15" i="28"/>
  <c r="B15" i="28"/>
  <c r="F14" i="28"/>
  <c r="E14" i="28"/>
  <c r="D14" i="28"/>
  <c r="C14" i="28"/>
  <c r="B14" i="28"/>
  <c r="F13" i="28"/>
  <c r="E13" i="28"/>
  <c r="D13" i="28"/>
  <c r="C13" i="28"/>
  <c r="B13" i="28"/>
  <c r="F12" i="28"/>
  <c r="E12" i="28"/>
  <c r="D12" i="28"/>
  <c r="C12" i="28"/>
  <c r="B12" i="28"/>
  <c r="F11" i="28"/>
  <c r="E11" i="28"/>
  <c r="D11" i="28"/>
  <c r="C11" i="28"/>
  <c r="B11" i="28"/>
  <c r="F10" i="28"/>
  <c r="E10" i="28"/>
  <c r="D10" i="28"/>
  <c r="C10" i="28"/>
  <c r="B10" i="28"/>
  <c r="F9" i="28"/>
  <c r="E9" i="28"/>
  <c r="D9" i="28"/>
  <c r="C9" i="28"/>
  <c r="B9" i="28"/>
  <c r="F8" i="28"/>
  <c r="E8" i="28"/>
  <c r="D8" i="28"/>
  <c r="C8" i="28"/>
  <c r="B8" i="28"/>
  <c r="F7" i="28"/>
  <c r="E7" i="28"/>
  <c r="D7" i="28"/>
  <c r="C7" i="28"/>
  <c r="B7" i="28"/>
  <c r="F6" i="28"/>
  <c r="E6" i="28"/>
  <c r="D6" i="28"/>
  <c r="C6" i="28"/>
  <c r="B6" i="28"/>
  <c r="F5" i="28"/>
  <c r="E5" i="28"/>
  <c r="D5" i="28"/>
  <c r="C5" i="28"/>
  <c r="B5" i="28"/>
  <c r="F72" i="28" l="1"/>
  <c r="B72" i="28"/>
  <c r="C72" i="28"/>
  <c r="D72" i="28"/>
  <c r="E72" i="28"/>
  <c r="F71" i="27" l="1"/>
  <c r="E71" i="27"/>
  <c r="D71" i="27"/>
  <c r="C71" i="27"/>
  <c r="B71" i="27"/>
  <c r="F70" i="27"/>
  <c r="E70" i="27"/>
  <c r="D70" i="27"/>
  <c r="C70" i="27"/>
  <c r="B70" i="27"/>
  <c r="F69" i="27"/>
  <c r="E69" i="27"/>
  <c r="D69" i="27"/>
  <c r="C69" i="27"/>
  <c r="B69" i="27"/>
  <c r="F68" i="27"/>
  <c r="E68" i="27"/>
  <c r="D68" i="27"/>
  <c r="C68" i="27"/>
  <c r="B68" i="27"/>
  <c r="F67" i="27"/>
  <c r="E67" i="27"/>
  <c r="D67" i="27"/>
  <c r="C67" i="27"/>
  <c r="B67" i="27"/>
  <c r="F66" i="27"/>
  <c r="E66" i="27"/>
  <c r="D66" i="27"/>
  <c r="C66" i="27"/>
  <c r="B66" i="27"/>
  <c r="F65" i="27"/>
  <c r="E65" i="27"/>
  <c r="D65" i="27"/>
  <c r="C65" i="27"/>
  <c r="B65" i="27"/>
  <c r="F64" i="27"/>
  <c r="E64" i="27"/>
  <c r="D64" i="27"/>
  <c r="C64" i="27"/>
  <c r="B64" i="27"/>
  <c r="F63" i="27"/>
  <c r="E63" i="27"/>
  <c r="D63" i="27"/>
  <c r="C63" i="27"/>
  <c r="B63" i="27"/>
  <c r="F62" i="27"/>
  <c r="E62" i="27"/>
  <c r="D62" i="27"/>
  <c r="C62" i="27"/>
  <c r="B62" i="27"/>
  <c r="F61" i="27"/>
  <c r="E61" i="27"/>
  <c r="D61" i="27"/>
  <c r="C61" i="27"/>
  <c r="B61" i="27"/>
  <c r="F60" i="27"/>
  <c r="E60" i="27"/>
  <c r="D60" i="27"/>
  <c r="C60" i="27"/>
  <c r="B60" i="27"/>
  <c r="F59" i="27"/>
  <c r="E59" i="27"/>
  <c r="D59" i="27"/>
  <c r="C59" i="27"/>
  <c r="B59" i="27"/>
  <c r="F58" i="27"/>
  <c r="E58" i="27"/>
  <c r="D58" i="27"/>
  <c r="C58" i="27"/>
  <c r="B58" i="27"/>
  <c r="F57" i="27"/>
  <c r="E57" i="27"/>
  <c r="D57" i="27"/>
  <c r="C57" i="27"/>
  <c r="B57" i="27"/>
  <c r="F56" i="27"/>
  <c r="E56" i="27"/>
  <c r="D56" i="27"/>
  <c r="C56" i="27"/>
  <c r="B56" i="27"/>
  <c r="F55" i="27"/>
  <c r="E55" i="27"/>
  <c r="D55" i="27"/>
  <c r="C55" i="27"/>
  <c r="B55" i="27"/>
  <c r="F54" i="27"/>
  <c r="E54" i="27"/>
  <c r="D54" i="27"/>
  <c r="C54" i="27"/>
  <c r="B54" i="27"/>
  <c r="F53" i="27"/>
  <c r="E53" i="27"/>
  <c r="D53" i="27"/>
  <c r="C53" i="27"/>
  <c r="B53" i="27"/>
  <c r="F52" i="27"/>
  <c r="E52" i="27"/>
  <c r="D52" i="27"/>
  <c r="C52" i="27"/>
  <c r="B52" i="27"/>
  <c r="F51" i="27"/>
  <c r="E51" i="27"/>
  <c r="D51" i="27"/>
  <c r="C51" i="27"/>
  <c r="B51" i="27"/>
  <c r="F50" i="27"/>
  <c r="E50" i="27"/>
  <c r="D50" i="27"/>
  <c r="C50" i="27"/>
  <c r="B50" i="27"/>
  <c r="F49" i="27"/>
  <c r="E49" i="27"/>
  <c r="D49" i="27"/>
  <c r="C49" i="27"/>
  <c r="B49" i="27"/>
  <c r="F48" i="27"/>
  <c r="E48" i="27"/>
  <c r="D48" i="27"/>
  <c r="C48" i="27"/>
  <c r="B48" i="27"/>
  <c r="F47" i="27"/>
  <c r="E47" i="27"/>
  <c r="D47" i="27"/>
  <c r="C47" i="27"/>
  <c r="B47" i="27"/>
  <c r="F46" i="27"/>
  <c r="E46" i="27"/>
  <c r="D46" i="27"/>
  <c r="C46" i="27"/>
  <c r="B46" i="27"/>
  <c r="F45" i="27"/>
  <c r="E45" i="27"/>
  <c r="D45" i="27"/>
  <c r="C45" i="27"/>
  <c r="B45" i="27"/>
  <c r="F44" i="27"/>
  <c r="E44" i="27"/>
  <c r="D44" i="27"/>
  <c r="C44" i="27"/>
  <c r="B44" i="27"/>
  <c r="F43" i="27"/>
  <c r="E43" i="27"/>
  <c r="D43" i="27"/>
  <c r="C43" i="27"/>
  <c r="B43" i="27"/>
  <c r="F42" i="27"/>
  <c r="E42" i="27"/>
  <c r="D42" i="27"/>
  <c r="C42" i="27"/>
  <c r="B42" i="27"/>
  <c r="F41" i="27"/>
  <c r="E41" i="27"/>
  <c r="D41" i="27"/>
  <c r="C41" i="27"/>
  <c r="B41" i="27"/>
  <c r="F40" i="27"/>
  <c r="E40" i="27"/>
  <c r="D40" i="27"/>
  <c r="C40" i="27"/>
  <c r="B40" i="27"/>
  <c r="F39" i="27"/>
  <c r="E39" i="27"/>
  <c r="D39" i="27"/>
  <c r="C39" i="27"/>
  <c r="B39" i="27"/>
  <c r="F38" i="27"/>
  <c r="E38" i="27"/>
  <c r="D38" i="27"/>
  <c r="C38" i="27"/>
  <c r="B38" i="27"/>
  <c r="F37" i="27"/>
  <c r="E37" i="27"/>
  <c r="D37" i="27"/>
  <c r="C37" i="27"/>
  <c r="B37" i="27"/>
  <c r="F36" i="27"/>
  <c r="E36" i="27"/>
  <c r="D36" i="27"/>
  <c r="C36" i="27"/>
  <c r="B36" i="27"/>
  <c r="F35" i="27"/>
  <c r="E35" i="27"/>
  <c r="D35" i="27"/>
  <c r="C35" i="27"/>
  <c r="B35" i="27"/>
  <c r="F34" i="27"/>
  <c r="E34" i="27"/>
  <c r="D34" i="27"/>
  <c r="C34" i="27"/>
  <c r="B34" i="27"/>
  <c r="F33" i="27"/>
  <c r="E33" i="27"/>
  <c r="D33" i="27"/>
  <c r="C33" i="27"/>
  <c r="B33" i="27"/>
  <c r="F32" i="27"/>
  <c r="E32" i="27"/>
  <c r="D32" i="27"/>
  <c r="C32" i="27"/>
  <c r="B32" i="27"/>
  <c r="F31" i="27"/>
  <c r="E31" i="27"/>
  <c r="D31" i="27"/>
  <c r="C31" i="27"/>
  <c r="B31" i="27"/>
  <c r="F30" i="27"/>
  <c r="E30" i="27"/>
  <c r="D30" i="27"/>
  <c r="C30" i="27"/>
  <c r="B30" i="27"/>
  <c r="F29" i="27"/>
  <c r="E29" i="27"/>
  <c r="D29" i="27"/>
  <c r="C29" i="27"/>
  <c r="B29" i="27"/>
  <c r="F28" i="27"/>
  <c r="E28" i="27"/>
  <c r="D28" i="27"/>
  <c r="C28" i="27"/>
  <c r="B28" i="27"/>
  <c r="F27" i="27"/>
  <c r="E27" i="27"/>
  <c r="D27" i="27"/>
  <c r="C27" i="27"/>
  <c r="B27" i="27"/>
  <c r="F26" i="27"/>
  <c r="E26" i="27"/>
  <c r="D26" i="27"/>
  <c r="C26" i="27"/>
  <c r="B26" i="27"/>
  <c r="F25" i="27"/>
  <c r="E25" i="27"/>
  <c r="D25" i="27"/>
  <c r="C25" i="27"/>
  <c r="B25" i="27"/>
  <c r="F24" i="27"/>
  <c r="E24" i="27"/>
  <c r="D24" i="27"/>
  <c r="C24" i="27"/>
  <c r="B24" i="27"/>
  <c r="F23" i="27"/>
  <c r="E23" i="27"/>
  <c r="D23" i="27"/>
  <c r="C23" i="27"/>
  <c r="B23" i="27"/>
  <c r="F22" i="27"/>
  <c r="E22" i="27"/>
  <c r="D22" i="27"/>
  <c r="C22" i="27"/>
  <c r="B22" i="27"/>
  <c r="F21" i="27"/>
  <c r="E21" i="27"/>
  <c r="D21" i="27"/>
  <c r="C21" i="27"/>
  <c r="B21" i="27"/>
  <c r="F20" i="27"/>
  <c r="E20" i="27"/>
  <c r="D20" i="27"/>
  <c r="C20" i="27"/>
  <c r="B20" i="27"/>
  <c r="F19" i="27"/>
  <c r="E19" i="27"/>
  <c r="D19" i="27"/>
  <c r="C19" i="27"/>
  <c r="B19" i="27"/>
  <c r="F18" i="27"/>
  <c r="E18" i="27"/>
  <c r="D18" i="27"/>
  <c r="C18" i="27"/>
  <c r="B18" i="27"/>
  <c r="F17" i="27"/>
  <c r="E17" i="27"/>
  <c r="D17" i="27"/>
  <c r="C17" i="27"/>
  <c r="B17" i="27"/>
  <c r="F16" i="27"/>
  <c r="E16" i="27"/>
  <c r="D16" i="27"/>
  <c r="C16" i="27"/>
  <c r="B16" i="27"/>
  <c r="F15" i="27"/>
  <c r="E15" i="27"/>
  <c r="D15" i="27"/>
  <c r="C15" i="27"/>
  <c r="B15" i="27"/>
  <c r="F14" i="27"/>
  <c r="E14" i="27"/>
  <c r="D14" i="27"/>
  <c r="C14" i="27"/>
  <c r="B14" i="27"/>
  <c r="F13" i="27"/>
  <c r="E13" i="27"/>
  <c r="D13" i="27"/>
  <c r="C13" i="27"/>
  <c r="B13" i="27"/>
  <c r="F12" i="27"/>
  <c r="E12" i="27"/>
  <c r="D12" i="27"/>
  <c r="C12" i="27"/>
  <c r="B12" i="27"/>
  <c r="F11" i="27"/>
  <c r="E11" i="27"/>
  <c r="D11" i="27"/>
  <c r="C11" i="27"/>
  <c r="B11" i="27"/>
  <c r="F10" i="27"/>
  <c r="E10" i="27"/>
  <c r="D10" i="27"/>
  <c r="C10" i="27"/>
  <c r="B10" i="27"/>
  <c r="F9" i="27"/>
  <c r="E9" i="27"/>
  <c r="D9" i="27"/>
  <c r="C9" i="27"/>
  <c r="B9" i="27"/>
  <c r="F8" i="27"/>
  <c r="E8" i="27"/>
  <c r="D8" i="27"/>
  <c r="C8" i="27"/>
  <c r="B8" i="27"/>
  <c r="F7" i="27"/>
  <c r="E7" i="27"/>
  <c r="D7" i="27"/>
  <c r="C7" i="27"/>
  <c r="B7" i="27"/>
  <c r="F6" i="27"/>
  <c r="E6" i="27"/>
  <c r="D6" i="27"/>
  <c r="C6" i="27"/>
  <c r="B6" i="27"/>
  <c r="F5" i="27"/>
  <c r="E5" i="27"/>
  <c r="D5" i="27"/>
  <c r="C5" i="27"/>
  <c r="B5" i="27"/>
  <c r="F71" i="24"/>
  <c r="E71" i="24"/>
  <c r="D71" i="24"/>
  <c r="C71" i="24"/>
  <c r="B71" i="24"/>
  <c r="F70" i="24"/>
  <c r="E70" i="24"/>
  <c r="D70" i="24"/>
  <c r="C70" i="24"/>
  <c r="B70" i="24"/>
  <c r="F69" i="24"/>
  <c r="E69" i="24"/>
  <c r="D69" i="24"/>
  <c r="C69" i="24"/>
  <c r="B69" i="24"/>
  <c r="F68" i="24"/>
  <c r="E68" i="24"/>
  <c r="D68" i="24"/>
  <c r="C68" i="24"/>
  <c r="B68" i="24"/>
  <c r="F67" i="24"/>
  <c r="E67" i="24"/>
  <c r="D67" i="24"/>
  <c r="C67" i="24"/>
  <c r="B67" i="24"/>
  <c r="F66" i="24"/>
  <c r="E66" i="24"/>
  <c r="D66" i="24"/>
  <c r="C66" i="24"/>
  <c r="B66" i="24"/>
  <c r="F65" i="24"/>
  <c r="E65" i="24"/>
  <c r="D65" i="24"/>
  <c r="C65" i="24"/>
  <c r="B65" i="24"/>
  <c r="F64" i="24"/>
  <c r="E64" i="24"/>
  <c r="D64" i="24"/>
  <c r="C64" i="24"/>
  <c r="B64" i="24"/>
  <c r="F63" i="24"/>
  <c r="E63" i="24"/>
  <c r="D63" i="24"/>
  <c r="C63" i="24"/>
  <c r="B63" i="24"/>
  <c r="F62" i="24"/>
  <c r="E62" i="24"/>
  <c r="D62" i="24"/>
  <c r="C62" i="24"/>
  <c r="B62" i="24"/>
  <c r="F61" i="24"/>
  <c r="E61" i="24"/>
  <c r="D61" i="24"/>
  <c r="C61" i="24"/>
  <c r="B61" i="24"/>
  <c r="F60" i="24"/>
  <c r="E60" i="24"/>
  <c r="D60" i="24"/>
  <c r="C60" i="24"/>
  <c r="B60" i="24"/>
  <c r="F59" i="24"/>
  <c r="E59" i="24"/>
  <c r="D59" i="24"/>
  <c r="C59" i="24"/>
  <c r="B59" i="24"/>
  <c r="F58" i="24"/>
  <c r="E58" i="24"/>
  <c r="D58" i="24"/>
  <c r="C58" i="24"/>
  <c r="B58" i="24"/>
  <c r="F57" i="24"/>
  <c r="E57" i="24"/>
  <c r="D57" i="24"/>
  <c r="C57" i="24"/>
  <c r="B57" i="24"/>
  <c r="F56" i="24"/>
  <c r="E56" i="24"/>
  <c r="D56" i="24"/>
  <c r="C56" i="24"/>
  <c r="B56" i="24"/>
  <c r="F55" i="24"/>
  <c r="E55" i="24"/>
  <c r="D55" i="24"/>
  <c r="C55" i="24"/>
  <c r="B55" i="24"/>
  <c r="F54" i="24"/>
  <c r="E54" i="24"/>
  <c r="D54" i="24"/>
  <c r="C54" i="24"/>
  <c r="B54" i="24"/>
  <c r="F53" i="24"/>
  <c r="E53" i="24"/>
  <c r="D53" i="24"/>
  <c r="C53" i="24"/>
  <c r="B53" i="24"/>
  <c r="F52" i="24"/>
  <c r="E52" i="24"/>
  <c r="D52" i="24"/>
  <c r="C52" i="24"/>
  <c r="B52" i="24"/>
  <c r="F51" i="24"/>
  <c r="E51" i="24"/>
  <c r="D51" i="24"/>
  <c r="C51" i="24"/>
  <c r="B51" i="24"/>
  <c r="F50" i="24"/>
  <c r="E50" i="24"/>
  <c r="D50" i="24"/>
  <c r="C50" i="24"/>
  <c r="B50" i="24"/>
  <c r="F49" i="24"/>
  <c r="E49" i="24"/>
  <c r="D49" i="24"/>
  <c r="C49" i="24"/>
  <c r="B49" i="24"/>
  <c r="F48" i="24"/>
  <c r="E48" i="24"/>
  <c r="D48" i="24"/>
  <c r="C48" i="24"/>
  <c r="B48" i="24"/>
  <c r="F47" i="24"/>
  <c r="E47" i="24"/>
  <c r="D47" i="24"/>
  <c r="C47" i="24"/>
  <c r="B47" i="24"/>
  <c r="F46" i="24"/>
  <c r="E46" i="24"/>
  <c r="D46" i="24"/>
  <c r="C46" i="24"/>
  <c r="B46" i="24"/>
  <c r="F45" i="24"/>
  <c r="E45" i="24"/>
  <c r="D45" i="24"/>
  <c r="C45" i="24"/>
  <c r="B45" i="24"/>
  <c r="F44" i="24"/>
  <c r="E44" i="24"/>
  <c r="D44" i="24"/>
  <c r="C44" i="24"/>
  <c r="B44" i="24"/>
  <c r="F43" i="24"/>
  <c r="E43" i="24"/>
  <c r="D43" i="24"/>
  <c r="C43" i="24"/>
  <c r="B43" i="24"/>
  <c r="F42" i="24"/>
  <c r="E42" i="24"/>
  <c r="D42" i="24"/>
  <c r="C42" i="24"/>
  <c r="B42" i="24"/>
  <c r="F41" i="24"/>
  <c r="E41" i="24"/>
  <c r="D41" i="24"/>
  <c r="C41" i="24"/>
  <c r="B41" i="24"/>
  <c r="F40" i="24"/>
  <c r="E40" i="24"/>
  <c r="D40" i="24"/>
  <c r="C40" i="24"/>
  <c r="B40" i="24"/>
  <c r="F39" i="24"/>
  <c r="E39" i="24"/>
  <c r="D39" i="24"/>
  <c r="C39" i="24"/>
  <c r="B39" i="24"/>
  <c r="F38" i="24"/>
  <c r="E38" i="24"/>
  <c r="D38" i="24"/>
  <c r="C38" i="24"/>
  <c r="B38" i="24"/>
  <c r="F37" i="24"/>
  <c r="E37" i="24"/>
  <c r="D37" i="24"/>
  <c r="C37" i="24"/>
  <c r="B37" i="24"/>
  <c r="F36" i="24"/>
  <c r="E36" i="24"/>
  <c r="D36" i="24"/>
  <c r="C36" i="24"/>
  <c r="B36" i="24"/>
  <c r="F35" i="24"/>
  <c r="E35" i="24"/>
  <c r="D35" i="24"/>
  <c r="C35" i="24"/>
  <c r="B35" i="24"/>
  <c r="F34" i="24"/>
  <c r="E34" i="24"/>
  <c r="D34" i="24"/>
  <c r="C34" i="24"/>
  <c r="B34" i="24"/>
  <c r="F33" i="24"/>
  <c r="E33" i="24"/>
  <c r="D33" i="24"/>
  <c r="C33" i="24"/>
  <c r="B33" i="24"/>
  <c r="F32" i="24"/>
  <c r="E32" i="24"/>
  <c r="D32" i="24"/>
  <c r="C32" i="24"/>
  <c r="B32" i="24"/>
  <c r="F31" i="24"/>
  <c r="E31" i="24"/>
  <c r="D31" i="24"/>
  <c r="C31" i="24"/>
  <c r="B31" i="24"/>
  <c r="F30" i="24"/>
  <c r="E30" i="24"/>
  <c r="D30" i="24"/>
  <c r="C30" i="24"/>
  <c r="B30" i="24"/>
  <c r="F29" i="24"/>
  <c r="E29" i="24"/>
  <c r="D29" i="24"/>
  <c r="C29" i="24"/>
  <c r="B29" i="24"/>
  <c r="F28" i="24"/>
  <c r="E28" i="24"/>
  <c r="D28" i="24"/>
  <c r="C28" i="24"/>
  <c r="B28" i="24"/>
  <c r="F27" i="24"/>
  <c r="E27" i="24"/>
  <c r="D27" i="24"/>
  <c r="C27" i="24"/>
  <c r="B27" i="24"/>
  <c r="F26" i="24"/>
  <c r="E26" i="24"/>
  <c r="D26" i="24"/>
  <c r="C26" i="24"/>
  <c r="B26" i="24"/>
  <c r="F25" i="24"/>
  <c r="E25" i="24"/>
  <c r="D25" i="24"/>
  <c r="C25" i="24"/>
  <c r="B25" i="24"/>
  <c r="F24" i="24"/>
  <c r="E24" i="24"/>
  <c r="D24" i="24"/>
  <c r="C24" i="24"/>
  <c r="B24" i="24"/>
  <c r="F23" i="24"/>
  <c r="E23" i="24"/>
  <c r="D23" i="24"/>
  <c r="C23" i="24"/>
  <c r="B23" i="24"/>
  <c r="F22" i="24"/>
  <c r="E22" i="24"/>
  <c r="D22" i="24"/>
  <c r="C22" i="24"/>
  <c r="B22" i="24"/>
  <c r="F21" i="24"/>
  <c r="E21" i="24"/>
  <c r="D21" i="24"/>
  <c r="C21" i="24"/>
  <c r="B21" i="24"/>
  <c r="F20" i="24"/>
  <c r="E20" i="24"/>
  <c r="D20" i="24"/>
  <c r="C20" i="24"/>
  <c r="B20" i="24"/>
  <c r="F19" i="24"/>
  <c r="E19" i="24"/>
  <c r="D19" i="24"/>
  <c r="C19" i="24"/>
  <c r="B19" i="24"/>
  <c r="F18" i="24"/>
  <c r="E18" i="24"/>
  <c r="D18" i="24"/>
  <c r="C18" i="24"/>
  <c r="B18" i="24"/>
  <c r="F17" i="24"/>
  <c r="E17" i="24"/>
  <c r="D17" i="24"/>
  <c r="C17" i="24"/>
  <c r="B1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3" i="24"/>
  <c r="E13" i="24"/>
  <c r="D13" i="24"/>
  <c r="C13" i="24"/>
  <c r="B13" i="24"/>
  <c r="F12" i="24"/>
  <c r="E12" i="24"/>
  <c r="D12" i="24"/>
  <c r="C12" i="24"/>
  <c r="B12" i="24"/>
  <c r="F11" i="24"/>
  <c r="E11" i="24"/>
  <c r="D11" i="24"/>
  <c r="C11" i="24"/>
  <c r="B11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F7" i="24"/>
  <c r="E7" i="24"/>
  <c r="D7" i="24"/>
  <c r="C7" i="24"/>
  <c r="B7" i="24"/>
  <c r="F6" i="24"/>
  <c r="E6" i="24"/>
  <c r="D6" i="24"/>
  <c r="C6" i="24"/>
  <c r="B6" i="24"/>
  <c r="F5" i="24"/>
  <c r="E5" i="24"/>
  <c r="D5" i="24"/>
  <c r="C5" i="24"/>
  <c r="B5" i="24"/>
  <c r="B72" i="27" l="1"/>
  <c r="C72" i="27"/>
  <c r="E72" i="27"/>
  <c r="B72" i="24"/>
  <c r="C72" i="24"/>
  <c r="D72" i="27"/>
  <c r="F72" i="27"/>
  <c r="D72" i="24"/>
  <c r="F72" i="24"/>
  <c r="E72" i="24"/>
  <c r="B5" i="26"/>
  <c r="F71" i="26"/>
  <c r="E71" i="26"/>
  <c r="D71" i="26"/>
  <c r="C71" i="26"/>
  <c r="B71" i="26"/>
  <c r="F70" i="26"/>
  <c r="E70" i="26"/>
  <c r="D70" i="26"/>
  <c r="C70" i="26"/>
  <c r="B70" i="26"/>
  <c r="F69" i="26"/>
  <c r="E69" i="26"/>
  <c r="D69" i="26"/>
  <c r="C69" i="26"/>
  <c r="B69" i="26"/>
  <c r="F68" i="26"/>
  <c r="E68" i="26"/>
  <c r="D68" i="26"/>
  <c r="C68" i="26"/>
  <c r="B68" i="26"/>
  <c r="F67" i="26"/>
  <c r="E67" i="26"/>
  <c r="D67" i="26"/>
  <c r="C67" i="26"/>
  <c r="B67" i="26"/>
  <c r="F66" i="26"/>
  <c r="E66" i="26"/>
  <c r="D66" i="26"/>
  <c r="C66" i="26"/>
  <c r="B66" i="26"/>
  <c r="F65" i="26"/>
  <c r="E65" i="26"/>
  <c r="D65" i="26"/>
  <c r="C65" i="26"/>
  <c r="B65" i="26"/>
  <c r="F64" i="26"/>
  <c r="E64" i="26"/>
  <c r="D64" i="26"/>
  <c r="C64" i="26"/>
  <c r="B64" i="26"/>
  <c r="F63" i="26"/>
  <c r="E63" i="26"/>
  <c r="D63" i="26"/>
  <c r="C63" i="26"/>
  <c r="B63" i="26"/>
  <c r="F62" i="26"/>
  <c r="E62" i="26"/>
  <c r="D62" i="26"/>
  <c r="C62" i="26"/>
  <c r="B62" i="26"/>
  <c r="F61" i="26"/>
  <c r="E61" i="26"/>
  <c r="D61" i="26"/>
  <c r="C61" i="26"/>
  <c r="B61" i="26"/>
  <c r="F60" i="26"/>
  <c r="E60" i="26"/>
  <c r="D60" i="26"/>
  <c r="C60" i="26"/>
  <c r="B60" i="26"/>
  <c r="F59" i="26"/>
  <c r="E59" i="26"/>
  <c r="D59" i="26"/>
  <c r="C59" i="26"/>
  <c r="B59" i="26"/>
  <c r="F58" i="26"/>
  <c r="E58" i="26"/>
  <c r="D58" i="26"/>
  <c r="C58" i="26"/>
  <c r="B58" i="26"/>
  <c r="F57" i="26"/>
  <c r="E57" i="26"/>
  <c r="D57" i="26"/>
  <c r="C57" i="26"/>
  <c r="B57" i="26"/>
  <c r="F56" i="26"/>
  <c r="E56" i="26"/>
  <c r="D56" i="26"/>
  <c r="C56" i="26"/>
  <c r="B56" i="26"/>
  <c r="F55" i="26"/>
  <c r="E55" i="26"/>
  <c r="D55" i="26"/>
  <c r="C55" i="26"/>
  <c r="B55" i="26"/>
  <c r="F54" i="26"/>
  <c r="E54" i="26"/>
  <c r="D54" i="26"/>
  <c r="C54" i="26"/>
  <c r="B54" i="26"/>
  <c r="F53" i="26"/>
  <c r="E53" i="26"/>
  <c r="D53" i="26"/>
  <c r="C53" i="26"/>
  <c r="B53" i="26"/>
  <c r="F52" i="26"/>
  <c r="E52" i="26"/>
  <c r="D52" i="26"/>
  <c r="C52" i="26"/>
  <c r="B52" i="26"/>
  <c r="F51" i="26"/>
  <c r="E51" i="26"/>
  <c r="D51" i="26"/>
  <c r="C51" i="26"/>
  <c r="B51" i="26"/>
  <c r="F50" i="26"/>
  <c r="E50" i="26"/>
  <c r="D50" i="26"/>
  <c r="C50" i="26"/>
  <c r="B50" i="26"/>
  <c r="F49" i="26"/>
  <c r="E49" i="26"/>
  <c r="D49" i="26"/>
  <c r="C49" i="26"/>
  <c r="B49" i="26"/>
  <c r="F48" i="26"/>
  <c r="E48" i="26"/>
  <c r="D48" i="26"/>
  <c r="C48" i="26"/>
  <c r="B48" i="26"/>
  <c r="F47" i="26"/>
  <c r="E47" i="26"/>
  <c r="D47" i="26"/>
  <c r="C47" i="26"/>
  <c r="B47" i="26"/>
  <c r="F46" i="26"/>
  <c r="E46" i="26"/>
  <c r="D46" i="26"/>
  <c r="C46" i="26"/>
  <c r="B46" i="26"/>
  <c r="F45" i="26"/>
  <c r="E45" i="26"/>
  <c r="D45" i="26"/>
  <c r="C45" i="26"/>
  <c r="B45" i="26"/>
  <c r="F44" i="26"/>
  <c r="E44" i="26"/>
  <c r="D44" i="26"/>
  <c r="C44" i="26"/>
  <c r="B44" i="26"/>
  <c r="F43" i="26"/>
  <c r="E43" i="26"/>
  <c r="D43" i="26"/>
  <c r="C43" i="26"/>
  <c r="B43" i="26"/>
  <c r="F42" i="26"/>
  <c r="E42" i="26"/>
  <c r="D42" i="26"/>
  <c r="C42" i="26"/>
  <c r="B42" i="26"/>
  <c r="F41" i="26"/>
  <c r="E41" i="26"/>
  <c r="D41" i="26"/>
  <c r="C41" i="26"/>
  <c r="B41" i="26"/>
  <c r="F40" i="26"/>
  <c r="E40" i="26"/>
  <c r="D40" i="26"/>
  <c r="C40" i="26"/>
  <c r="B40" i="26"/>
  <c r="F39" i="26"/>
  <c r="E39" i="26"/>
  <c r="D39" i="26"/>
  <c r="C39" i="26"/>
  <c r="B39" i="26"/>
  <c r="F38" i="26"/>
  <c r="E38" i="26"/>
  <c r="D38" i="26"/>
  <c r="C38" i="26"/>
  <c r="B38" i="26"/>
  <c r="F37" i="26"/>
  <c r="E37" i="26"/>
  <c r="D37" i="26"/>
  <c r="C37" i="26"/>
  <c r="B37" i="26"/>
  <c r="F36" i="26"/>
  <c r="E36" i="26"/>
  <c r="D36" i="26"/>
  <c r="C36" i="26"/>
  <c r="B36" i="26"/>
  <c r="F35" i="26"/>
  <c r="E35" i="26"/>
  <c r="D35" i="26"/>
  <c r="C35" i="26"/>
  <c r="B35" i="26"/>
  <c r="F34" i="26"/>
  <c r="E34" i="26"/>
  <c r="D34" i="26"/>
  <c r="C34" i="26"/>
  <c r="B34" i="26"/>
  <c r="F33" i="26"/>
  <c r="E33" i="26"/>
  <c r="D33" i="26"/>
  <c r="C33" i="26"/>
  <c r="B33" i="26"/>
  <c r="F32" i="26"/>
  <c r="E32" i="26"/>
  <c r="D32" i="26"/>
  <c r="C32" i="26"/>
  <c r="B32" i="26"/>
  <c r="F31" i="26"/>
  <c r="E31" i="26"/>
  <c r="D31" i="26"/>
  <c r="C31" i="26"/>
  <c r="B31" i="26"/>
  <c r="F30" i="26"/>
  <c r="E30" i="26"/>
  <c r="D30" i="26"/>
  <c r="C30" i="26"/>
  <c r="B30" i="26"/>
  <c r="F29" i="26"/>
  <c r="E29" i="26"/>
  <c r="D29" i="26"/>
  <c r="C29" i="26"/>
  <c r="B29" i="26"/>
  <c r="F28" i="26"/>
  <c r="E28" i="26"/>
  <c r="D28" i="26"/>
  <c r="C28" i="26"/>
  <c r="B28" i="26"/>
  <c r="F27" i="26"/>
  <c r="E27" i="26"/>
  <c r="D27" i="26"/>
  <c r="C27" i="26"/>
  <c r="B27" i="26"/>
  <c r="F26" i="26"/>
  <c r="E26" i="26"/>
  <c r="D26" i="26"/>
  <c r="C26" i="26"/>
  <c r="B26" i="26"/>
  <c r="F25" i="26"/>
  <c r="E25" i="26"/>
  <c r="D25" i="26"/>
  <c r="C25" i="26"/>
  <c r="B25" i="26"/>
  <c r="F24" i="26"/>
  <c r="E24" i="26"/>
  <c r="D24" i="26"/>
  <c r="C24" i="26"/>
  <c r="B24" i="26"/>
  <c r="F23" i="26"/>
  <c r="E23" i="26"/>
  <c r="D23" i="26"/>
  <c r="C23" i="26"/>
  <c r="B23" i="26"/>
  <c r="F22" i="26"/>
  <c r="E22" i="26"/>
  <c r="D22" i="26"/>
  <c r="C22" i="26"/>
  <c r="B22" i="26"/>
  <c r="F21" i="26"/>
  <c r="E21" i="26"/>
  <c r="D21" i="26"/>
  <c r="C21" i="26"/>
  <c r="B21" i="26"/>
  <c r="F20" i="26"/>
  <c r="E20" i="26"/>
  <c r="D20" i="26"/>
  <c r="C20" i="26"/>
  <c r="B20" i="26"/>
  <c r="F19" i="26"/>
  <c r="E19" i="26"/>
  <c r="D19" i="26"/>
  <c r="C19" i="26"/>
  <c r="B19" i="26"/>
  <c r="F18" i="26"/>
  <c r="E18" i="26"/>
  <c r="D18" i="26"/>
  <c r="C18" i="26"/>
  <c r="B18" i="26"/>
  <c r="F17" i="26"/>
  <c r="E17" i="26"/>
  <c r="D17" i="26"/>
  <c r="C17" i="26"/>
  <c r="B17" i="26"/>
  <c r="F16" i="26"/>
  <c r="E16" i="26"/>
  <c r="D16" i="26"/>
  <c r="C16" i="26"/>
  <c r="B16" i="26"/>
  <c r="F15" i="26"/>
  <c r="E15" i="26"/>
  <c r="D15" i="26"/>
  <c r="C15" i="26"/>
  <c r="B15" i="26"/>
  <c r="F14" i="26"/>
  <c r="E14" i="26"/>
  <c r="D14" i="26"/>
  <c r="C14" i="26"/>
  <c r="B14" i="26"/>
  <c r="F13" i="26"/>
  <c r="E13" i="26"/>
  <c r="D13" i="26"/>
  <c r="C13" i="26"/>
  <c r="B13" i="26"/>
  <c r="F12" i="26"/>
  <c r="E12" i="26"/>
  <c r="D12" i="26"/>
  <c r="C12" i="26"/>
  <c r="B12" i="26"/>
  <c r="F11" i="26"/>
  <c r="E11" i="26"/>
  <c r="D11" i="26"/>
  <c r="C11" i="26"/>
  <c r="B11" i="26"/>
  <c r="F10" i="26"/>
  <c r="E10" i="26"/>
  <c r="D10" i="26"/>
  <c r="C10" i="26"/>
  <c r="B10" i="26"/>
  <c r="F9" i="26"/>
  <c r="E9" i="26"/>
  <c r="D9" i="26"/>
  <c r="C9" i="26"/>
  <c r="B9" i="26"/>
  <c r="F8" i="26"/>
  <c r="E8" i="26"/>
  <c r="D8" i="26"/>
  <c r="C8" i="26"/>
  <c r="B8" i="26"/>
  <c r="F7" i="26"/>
  <c r="E7" i="26"/>
  <c r="D7" i="26"/>
  <c r="C7" i="26"/>
  <c r="B7" i="26"/>
  <c r="F6" i="26"/>
  <c r="E6" i="26"/>
  <c r="D6" i="26"/>
  <c r="C6" i="26"/>
  <c r="B6" i="26"/>
  <c r="F5" i="26"/>
  <c r="E5" i="26"/>
  <c r="D5" i="26"/>
  <c r="C5" i="26"/>
  <c r="B6" i="25"/>
  <c r="B5" i="25"/>
  <c r="F71" i="25"/>
  <c r="E71" i="25"/>
  <c r="D71" i="25"/>
  <c r="C71" i="25"/>
  <c r="B71" i="25"/>
  <c r="F70" i="25"/>
  <c r="E70" i="25"/>
  <c r="D70" i="25"/>
  <c r="C70" i="25"/>
  <c r="B70" i="25"/>
  <c r="F69" i="25"/>
  <c r="E69" i="25"/>
  <c r="D69" i="25"/>
  <c r="C69" i="25"/>
  <c r="B69" i="25"/>
  <c r="F68" i="25"/>
  <c r="E68" i="25"/>
  <c r="D68" i="25"/>
  <c r="C68" i="25"/>
  <c r="B68" i="25"/>
  <c r="F67" i="25"/>
  <c r="E67" i="25"/>
  <c r="D67" i="25"/>
  <c r="C67" i="25"/>
  <c r="B67" i="25"/>
  <c r="F66" i="25"/>
  <c r="E66" i="25"/>
  <c r="D66" i="25"/>
  <c r="C66" i="25"/>
  <c r="B66" i="25"/>
  <c r="F65" i="25"/>
  <c r="E65" i="25"/>
  <c r="D65" i="25"/>
  <c r="C65" i="25"/>
  <c r="B65" i="25"/>
  <c r="F64" i="25"/>
  <c r="E64" i="25"/>
  <c r="D64" i="25"/>
  <c r="C64" i="25"/>
  <c r="B64" i="25"/>
  <c r="F63" i="25"/>
  <c r="E63" i="25"/>
  <c r="D63" i="25"/>
  <c r="C63" i="25"/>
  <c r="B63" i="25"/>
  <c r="F62" i="25"/>
  <c r="E62" i="25"/>
  <c r="D62" i="25"/>
  <c r="C62" i="25"/>
  <c r="B62" i="25"/>
  <c r="F61" i="25"/>
  <c r="E61" i="25"/>
  <c r="D61" i="25"/>
  <c r="C61" i="25"/>
  <c r="B61" i="25"/>
  <c r="F60" i="25"/>
  <c r="E60" i="25"/>
  <c r="D60" i="25"/>
  <c r="C60" i="25"/>
  <c r="B60" i="25"/>
  <c r="F59" i="25"/>
  <c r="E59" i="25"/>
  <c r="D59" i="25"/>
  <c r="C59" i="25"/>
  <c r="B59" i="25"/>
  <c r="F58" i="25"/>
  <c r="E58" i="25"/>
  <c r="D58" i="25"/>
  <c r="C58" i="25"/>
  <c r="B58" i="25"/>
  <c r="F57" i="25"/>
  <c r="E57" i="25"/>
  <c r="D57" i="25"/>
  <c r="C57" i="25"/>
  <c r="B57" i="25"/>
  <c r="F56" i="25"/>
  <c r="E56" i="25"/>
  <c r="D56" i="25"/>
  <c r="C56" i="25"/>
  <c r="B56" i="25"/>
  <c r="F55" i="25"/>
  <c r="E55" i="25"/>
  <c r="D55" i="25"/>
  <c r="C55" i="25"/>
  <c r="B55" i="25"/>
  <c r="F54" i="25"/>
  <c r="E54" i="25"/>
  <c r="D54" i="25"/>
  <c r="C54" i="25"/>
  <c r="B54" i="25"/>
  <c r="F53" i="25"/>
  <c r="E53" i="25"/>
  <c r="D53" i="25"/>
  <c r="C53" i="25"/>
  <c r="B53" i="25"/>
  <c r="F52" i="25"/>
  <c r="E52" i="25"/>
  <c r="D52" i="25"/>
  <c r="C52" i="25"/>
  <c r="B52" i="25"/>
  <c r="F51" i="25"/>
  <c r="E51" i="25"/>
  <c r="D51" i="25"/>
  <c r="C51" i="25"/>
  <c r="B51" i="25"/>
  <c r="F50" i="25"/>
  <c r="E50" i="25"/>
  <c r="D50" i="25"/>
  <c r="C50" i="25"/>
  <c r="B50" i="25"/>
  <c r="F49" i="25"/>
  <c r="E49" i="25"/>
  <c r="D49" i="25"/>
  <c r="C49" i="25"/>
  <c r="B49" i="25"/>
  <c r="F48" i="25"/>
  <c r="E48" i="25"/>
  <c r="D48" i="25"/>
  <c r="C48" i="25"/>
  <c r="B48" i="25"/>
  <c r="F47" i="25"/>
  <c r="E47" i="25"/>
  <c r="D47" i="25"/>
  <c r="C47" i="25"/>
  <c r="B47" i="25"/>
  <c r="F46" i="25"/>
  <c r="E46" i="25"/>
  <c r="D46" i="25"/>
  <c r="C46" i="25"/>
  <c r="B46" i="25"/>
  <c r="F45" i="25"/>
  <c r="E45" i="25"/>
  <c r="D45" i="25"/>
  <c r="C45" i="25"/>
  <c r="B45" i="25"/>
  <c r="F44" i="25"/>
  <c r="E44" i="25"/>
  <c r="D44" i="25"/>
  <c r="C44" i="25"/>
  <c r="B44" i="25"/>
  <c r="F43" i="25"/>
  <c r="E43" i="25"/>
  <c r="D43" i="25"/>
  <c r="C43" i="25"/>
  <c r="B43" i="25"/>
  <c r="F42" i="25"/>
  <c r="E42" i="25"/>
  <c r="D42" i="25"/>
  <c r="C42" i="25"/>
  <c r="B42" i="25"/>
  <c r="F41" i="25"/>
  <c r="E41" i="25"/>
  <c r="D41" i="25"/>
  <c r="C41" i="25"/>
  <c r="B41" i="25"/>
  <c r="F40" i="25"/>
  <c r="E40" i="25"/>
  <c r="D40" i="25"/>
  <c r="C40" i="25"/>
  <c r="B40" i="25"/>
  <c r="F39" i="25"/>
  <c r="E39" i="25"/>
  <c r="D39" i="25"/>
  <c r="C39" i="25"/>
  <c r="B39" i="25"/>
  <c r="F38" i="25"/>
  <c r="E38" i="25"/>
  <c r="D38" i="25"/>
  <c r="C38" i="25"/>
  <c r="B38" i="25"/>
  <c r="F37" i="25"/>
  <c r="E37" i="25"/>
  <c r="D37" i="25"/>
  <c r="C37" i="25"/>
  <c r="B37" i="25"/>
  <c r="F36" i="25"/>
  <c r="E36" i="25"/>
  <c r="D36" i="25"/>
  <c r="C36" i="25"/>
  <c r="B36" i="25"/>
  <c r="F35" i="25"/>
  <c r="E35" i="25"/>
  <c r="D35" i="25"/>
  <c r="C35" i="25"/>
  <c r="B35" i="25"/>
  <c r="F34" i="25"/>
  <c r="E34" i="25"/>
  <c r="D34" i="25"/>
  <c r="C34" i="25"/>
  <c r="B34" i="25"/>
  <c r="F33" i="25"/>
  <c r="E33" i="25"/>
  <c r="D33" i="25"/>
  <c r="C33" i="25"/>
  <c r="B33" i="25"/>
  <c r="F32" i="25"/>
  <c r="E32" i="25"/>
  <c r="D32" i="25"/>
  <c r="C32" i="25"/>
  <c r="B32" i="25"/>
  <c r="F31" i="25"/>
  <c r="E31" i="25"/>
  <c r="D31" i="25"/>
  <c r="C31" i="25"/>
  <c r="B31" i="25"/>
  <c r="F30" i="25"/>
  <c r="E30" i="25"/>
  <c r="D30" i="25"/>
  <c r="C30" i="25"/>
  <c r="B30" i="25"/>
  <c r="F29" i="25"/>
  <c r="E29" i="25"/>
  <c r="D29" i="25"/>
  <c r="C29" i="25"/>
  <c r="B29" i="25"/>
  <c r="F28" i="25"/>
  <c r="E28" i="25"/>
  <c r="D28" i="25"/>
  <c r="C28" i="25"/>
  <c r="B28" i="25"/>
  <c r="F27" i="25"/>
  <c r="E27" i="25"/>
  <c r="D27" i="25"/>
  <c r="C27" i="25"/>
  <c r="B27" i="25"/>
  <c r="F26" i="25"/>
  <c r="E26" i="25"/>
  <c r="D26" i="25"/>
  <c r="C26" i="25"/>
  <c r="B26" i="25"/>
  <c r="F25" i="25"/>
  <c r="E25" i="25"/>
  <c r="D25" i="25"/>
  <c r="C25" i="25"/>
  <c r="B25" i="25"/>
  <c r="F24" i="25"/>
  <c r="E24" i="25"/>
  <c r="D24" i="25"/>
  <c r="C24" i="25"/>
  <c r="B24" i="25"/>
  <c r="F23" i="25"/>
  <c r="E23" i="25"/>
  <c r="D23" i="25"/>
  <c r="C23" i="25"/>
  <c r="B23" i="25"/>
  <c r="F22" i="25"/>
  <c r="E22" i="25"/>
  <c r="D22" i="25"/>
  <c r="C22" i="25"/>
  <c r="B22" i="25"/>
  <c r="F21" i="25"/>
  <c r="E21" i="25"/>
  <c r="D21" i="25"/>
  <c r="C21" i="25"/>
  <c r="B21" i="25"/>
  <c r="F20" i="25"/>
  <c r="E20" i="25"/>
  <c r="D20" i="25"/>
  <c r="C20" i="25"/>
  <c r="B20" i="25"/>
  <c r="F19" i="25"/>
  <c r="E19" i="25"/>
  <c r="D19" i="25"/>
  <c r="C19" i="25"/>
  <c r="B19" i="25"/>
  <c r="F18" i="25"/>
  <c r="E18" i="25"/>
  <c r="D18" i="25"/>
  <c r="C18" i="25"/>
  <c r="B18" i="25"/>
  <c r="F17" i="25"/>
  <c r="E17" i="25"/>
  <c r="D17" i="25"/>
  <c r="C17" i="25"/>
  <c r="B17" i="25"/>
  <c r="F16" i="25"/>
  <c r="E16" i="25"/>
  <c r="D16" i="25"/>
  <c r="C16" i="25"/>
  <c r="B16" i="25"/>
  <c r="F15" i="25"/>
  <c r="E15" i="25"/>
  <c r="D15" i="25"/>
  <c r="C15" i="25"/>
  <c r="B15" i="25"/>
  <c r="F14" i="25"/>
  <c r="E14" i="25"/>
  <c r="D14" i="25"/>
  <c r="C14" i="25"/>
  <c r="B14" i="25"/>
  <c r="F13" i="25"/>
  <c r="E13" i="25"/>
  <c r="D13" i="25"/>
  <c r="C13" i="25"/>
  <c r="B13" i="25"/>
  <c r="F12" i="25"/>
  <c r="E12" i="25"/>
  <c r="D12" i="25"/>
  <c r="C12" i="25"/>
  <c r="B12" i="25"/>
  <c r="F11" i="25"/>
  <c r="E11" i="25"/>
  <c r="D11" i="25"/>
  <c r="C11" i="25"/>
  <c r="B11" i="25"/>
  <c r="F10" i="25"/>
  <c r="E10" i="25"/>
  <c r="D10" i="25"/>
  <c r="C10" i="25"/>
  <c r="B10" i="25"/>
  <c r="F9" i="25"/>
  <c r="E9" i="25"/>
  <c r="D9" i="25"/>
  <c r="C9" i="25"/>
  <c r="B9" i="25"/>
  <c r="F8" i="25"/>
  <c r="E8" i="25"/>
  <c r="D8" i="25"/>
  <c r="C8" i="25"/>
  <c r="B8" i="25"/>
  <c r="F7" i="25"/>
  <c r="E7" i="25"/>
  <c r="D7" i="25"/>
  <c r="C7" i="25"/>
  <c r="B7" i="25"/>
  <c r="F6" i="25"/>
  <c r="E6" i="25"/>
  <c r="D6" i="25"/>
  <c r="C6" i="25"/>
  <c r="F5" i="25"/>
  <c r="E5" i="25"/>
  <c r="D5" i="25"/>
  <c r="C5" i="25"/>
  <c r="E72" i="26" l="1"/>
  <c r="B72" i="25"/>
  <c r="E72" i="25"/>
  <c r="F72" i="25"/>
  <c r="D72" i="25"/>
  <c r="D72" i="26"/>
  <c r="C72" i="25"/>
  <c r="F72" i="26"/>
  <c r="C72" i="26"/>
  <c r="B72" i="26"/>
  <c r="F60" i="23" l="1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71" i="23"/>
  <c r="F70" i="23"/>
  <c r="F69" i="23"/>
  <c r="F68" i="23"/>
  <c r="F67" i="23"/>
  <c r="F66" i="23"/>
  <c r="F65" i="23"/>
  <c r="F64" i="23"/>
  <c r="F63" i="23"/>
  <c r="F62" i="23"/>
  <c r="F61" i="23"/>
  <c r="F7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E72" i="23"/>
  <c r="D72" i="23"/>
  <c r="C72" i="23"/>
  <c r="B72" i="23"/>
  <c r="E71" i="36" l="1"/>
  <c r="D71" i="36"/>
  <c r="C71" i="36"/>
  <c r="B71" i="36"/>
  <c r="E70" i="36"/>
  <c r="D70" i="36"/>
  <c r="C70" i="36"/>
  <c r="B70" i="36"/>
  <c r="E69" i="36"/>
  <c r="D69" i="36"/>
  <c r="C69" i="36"/>
  <c r="B69" i="36"/>
  <c r="E68" i="36"/>
  <c r="D68" i="36"/>
  <c r="C68" i="36"/>
  <c r="B68" i="36"/>
  <c r="F68" i="36" s="1"/>
  <c r="E67" i="36"/>
  <c r="D67" i="36"/>
  <c r="C67" i="36"/>
  <c r="B67" i="36"/>
  <c r="E66" i="36"/>
  <c r="D66" i="36"/>
  <c r="C66" i="36"/>
  <c r="B66" i="36"/>
  <c r="E65" i="36"/>
  <c r="D65" i="36"/>
  <c r="C65" i="36"/>
  <c r="B65" i="36"/>
  <c r="E64" i="36"/>
  <c r="D64" i="36"/>
  <c r="C64" i="36"/>
  <c r="B64" i="36"/>
  <c r="E63" i="36"/>
  <c r="D63" i="36"/>
  <c r="C63" i="36"/>
  <c r="B63" i="36"/>
  <c r="E62" i="36"/>
  <c r="D62" i="36"/>
  <c r="C62" i="36"/>
  <c r="B62" i="36"/>
  <c r="E61" i="36"/>
  <c r="D61" i="36"/>
  <c r="C61" i="36"/>
  <c r="B61" i="36"/>
  <c r="E60" i="36"/>
  <c r="D60" i="36"/>
  <c r="C60" i="36"/>
  <c r="B60" i="36"/>
  <c r="E59" i="36"/>
  <c r="D59" i="36"/>
  <c r="C59" i="36"/>
  <c r="B59" i="36"/>
  <c r="E58" i="36"/>
  <c r="D58" i="36"/>
  <c r="C58" i="36"/>
  <c r="B58" i="36"/>
  <c r="F58" i="36" s="1"/>
  <c r="E57" i="36"/>
  <c r="D57" i="36"/>
  <c r="C57" i="36"/>
  <c r="B57" i="36"/>
  <c r="E56" i="36"/>
  <c r="D56" i="36"/>
  <c r="C56" i="36"/>
  <c r="B56" i="36"/>
  <c r="E55" i="36"/>
  <c r="D55" i="36"/>
  <c r="C55" i="36"/>
  <c r="B55" i="36"/>
  <c r="E54" i="36"/>
  <c r="D54" i="36"/>
  <c r="C54" i="36"/>
  <c r="B54" i="36"/>
  <c r="E53" i="36"/>
  <c r="D53" i="36"/>
  <c r="C53" i="36"/>
  <c r="B53" i="36"/>
  <c r="F53" i="36" s="1"/>
  <c r="E52" i="36"/>
  <c r="D52" i="36"/>
  <c r="C52" i="36"/>
  <c r="B52" i="36"/>
  <c r="E51" i="36"/>
  <c r="D51" i="36"/>
  <c r="C51" i="36"/>
  <c r="B51" i="36"/>
  <c r="E50" i="36"/>
  <c r="D50" i="36"/>
  <c r="C50" i="36"/>
  <c r="B50" i="36"/>
  <c r="E49" i="36"/>
  <c r="D49" i="36"/>
  <c r="C49" i="36"/>
  <c r="B49" i="36"/>
  <c r="E48" i="36"/>
  <c r="D48" i="36"/>
  <c r="C48" i="36"/>
  <c r="B48" i="36"/>
  <c r="F48" i="36" s="1"/>
  <c r="E47" i="36"/>
  <c r="D47" i="36"/>
  <c r="C47" i="36"/>
  <c r="B47" i="36"/>
  <c r="E46" i="36"/>
  <c r="D46" i="36"/>
  <c r="C46" i="36"/>
  <c r="B46" i="36"/>
  <c r="E45" i="36"/>
  <c r="D45" i="36"/>
  <c r="C45" i="36"/>
  <c r="B45" i="36"/>
  <c r="E44" i="36"/>
  <c r="D44" i="36"/>
  <c r="C44" i="36"/>
  <c r="B44" i="36"/>
  <c r="E43" i="36"/>
  <c r="D43" i="36"/>
  <c r="C43" i="36"/>
  <c r="B43" i="36"/>
  <c r="E42" i="36"/>
  <c r="D42" i="36"/>
  <c r="C42" i="36"/>
  <c r="B42" i="36"/>
  <c r="E41" i="36"/>
  <c r="D41" i="36"/>
  <c r="C41" i="36"/>
  <c r="B41" i="36"/>
  <c r="E40" i="36"/>
  <c r="D40" i="36"/>
  <c r="C40" i="36"/>
  <c r="B40" i="36"/>
  <c r="E39" i="36"/>
  <c r="D39" i="36"/>
  <c r="C39" i="36"/>
  <c r="B39" i="36"/>
  <c r="E38" i="36"/>
  <c r="D38" i="36"/>
  <c r="C38" i="36"/>
  <c r="B38" i="36"/>
  <c r="F38" i="36" s="1"/>
  <c r="E37" i="36"/>
  <c r="D37" i="36"/>
  <c r="C37" i="36"/>
  <c r="B37" i="36"/>
  <c r="E36" i="36"/>
  <c r="D36" i="36"/>
  <c r="C36" i="36"/>
  <c r="B36" i="36"/>
  <c r="E35" i="36"/>
  <c r="D35" i="36"/>
  <c r="C35" i="36"/>
  <c r="B35" i="36"/>
  <c r="E34" i="36"/>
  <c r="D34" i="36"/>
  <c r="C34" i="36"/>
  <c r="B34" i="36"/>
  <c r="E33" i="36"/>
  <c r="D33" i="36"/>
  <c r="C33" i="36"/>
  <c r="B33" i="36"/>
  <c r="F33" i="36" s="1"/>
  <c r="E32" i="36"/>
  <c r="D32" i="36"/>
  <c r="C32" i="36"/>
  <c r="B32" i="36"/>
  <c r="E31" i="36"/>
  <c r="D31" i="36"/>
  <c r="C31" i="36"/>
  <c r="B31" i="36"/>
  <c r="E30" i="36"/>
  <c r="D30" i="36"/>
  <c r="C30" i="36"/>
  <c r="B30" i="36"/>
  <c r="E29" i="36"/>
  <c r="D29" i="36"/>
  <c r="C29" i="36"/>
  <c r="B29" i="36"/>
  <c r="E28" i="36"/>
  <c r="D28" i="36"/>
  <c r="C28" i="36"/>
  <c r="B28" i="36"/>
  <c r="F28" i="36" s="1"/>
  <c r="E27" i="36"/>
  <c r="D27" i="36"/>
  <c r="C27" i="36"/>
  <c r="B27" i="36"/>
  <c r="E26" i="36"/>
  <c r="D26" i="36"/>
  <c r="C26" i="36"/>
  <c r="B26" i="36"/>
  <c r="E25" i="36"/>
  <c r="D25" i="36"/>
  <c r="C25" i="36"/>
  <c r="B25" i="36"/>
  <c r="E24" i="36"/>
  <c r="D24" i="36"/>
  <c r="C24" i="36"/>
  <c r="B24" i="36"/>
  <c r="E23" i="36"/>
  <c r="D23" i="36"/>
  <c r="C23" i="36"/>
  <c r="B23" i="36"/>
  <c r="E22" i="36"/>
  <c r="D22" i="36"/>
  <c r="C22" i="36"/>
  <c r="B22" i="36"/>
  <c r="E21" i="36"/>
  <c r="D21" i="36"/>
  <c r="C21" i="36"/>
  <c r="B21" i="36"/>
  <c r="E20" i="36"/>
  <c r="D20" i="36"/>
  <c r="C20" i="36"/>
  <c r="B20" i="36"/>
  <c r="E19" i="36"/>
  <c r="D19" i="36"/>
  <c r="C19" i="36"/>
  <c r="B19" i="36"/>
  <c r="E18" i="36"/>
  <c r="D18" i="36"/>
  <c r="C18" i="36"/>
  <c r="B18" i="36"/>
  <c r="F18" i="36" s="1"/>
  <c r="E17" i="36"/>
  <c r="D17" i="36"/>
  <c r="C17" i="36"/>
  <c r="B17" i="36"/>
  <c r="E16" i="36"/>
  <c r="D16" i="36"/>
  <c r="C16" i="36"/>
  <c r="B16" i="36"/>
  <c r="E15" i="36"/>
  <c r="D15" i="36"/>
  <c r="C15" i="36"/>
  <c r="B15" i="36"/>
  <c r="E14" i="36"/>
  <c r="D14" i="36"/>
  <c r="C14" i="36"/>
  <c r="B14" i="36"/>
  <c r="E13" i="36"/>
  <c r="D13" i="36"/>
  <c r="C13" i="36"/>
  <c r="B13" i="36"/>
  <c r="F13" i="36" s="1"/>
  <c r="E12" i="36"/>
  <c r="D12" i="36"/>
  <c r="C12" i="36"/>
  <c r="B12" i="36"/>
  <c r="E11" i="36"/>
  <c r="D11" i="36"/>
  <c r="C11" i="36"/>
  <c r="B11" i="36"/>
  <c r="E10" i="36"/>
  <c r="D10" i="36"/>
  <c r="C10" i="36"/>
  <c r="B10" i="36"/>
  <c r="E9" i="36"/>
  <c r="D9" i="36"/>
  <c r="C9" i="36"/>
  <c r="B9" i="36"/>
  <c r="E8" i="36"/>
  <c r="D8" i="36"/>
  <c r="C8" i="36"/>
  <c r="B8" i="36"/>
  <c r="F8" i="36" s="1"/>
  <c r="E7" i="36"/>
  <c r="D7" i="36"/>
  <c r="C7" i="36"/>
  <c r="B7" i="36"/>
  <c r="E6" i="36"/>
  <c r="D6" i="36"/>
  <c r="C6" i="36"/>
  <c r="B6" i="36"/>
  <c r="E5" i="36"/>
  <c r="D5" i="36"/>
  <c r="C5" i="36"/>
  <c r="B5" i="36"/>
  <c r="F12" i="36" l="1"/>
  <c r="F32" i="36"/>
  <c r="F42" i="36"/>
  <c r="F62" i="36"/>
  <c r="F17" i="36"/>
  <c r="F37" i="36"/>
  <c r="F57" i="36"/>
  <c r="F52" i="36"/>
  <c r="F22" i="36"/>
  <c r="B72" i="36"/>
  <c r="F15" i="36"/>
  <c r="F55" i="36"/>
  <c r="F35" i="36"/>
  <c r="E72" i="36"/>
  <c r="F66" i="36"/>
  <c r="F63" i="36"/>
  <c r="F14" i="36"/>
  <c r="F29" i="36"/>
  <c r="F34" i="36"/>
  <c r="F44" i="36"/>
  <c r="F54" i="36"/>
  <c r="F64" i="36"/>
  <c r="F69" i="36"/>
  <c r="F23" i="36"/>
  <c r="F9" i="36"/>
  <c r="F24" i="36"/>
  <c r="F49" i="36"/>
  <c r="F19" i="36"/>
  <c r="F39" i="36"/>
  <c r="F59" i="36"/>
  <c r="F7" i="36"/>
  <c r="F27" i="36"/>
  <c r="F47" i="36"/>
  <c r="F67" i="36"/>
  <c r="F43" i="36"/>
  <c r="F10" i="36"/>
  <c r="F20" i="36"/>
  <c r="F25" i="36"/>
  <c r="F30" i="36"/>
  <c r="F40" i="36"/>
  <c r="F45" i="36"/>
  <c r="F50" i="36"/>
  <c r="F60" i="36"/>
  <c r="F65" i="36"/>
  <c r="F70" i="36"/>
  <c r="D72" i="36"/>
  <c r="F71" i="36"/>
  <c r="C72" i="36"/>
  <c r="F6" i="36"/>
  <c r="F16" i="36"/>
  <c r="F21" i="36"/>
  <c r="F26" i="36"/>
  <c r="F36" i="36"/>
  <c r="F41" i="36"/>
  <c r="F46" i="36"/>
  <c r="F56" i="36"/>
  <c r="F61" i="36"/>
  <c r="F11" i="36"/>
  <c r="F31" i="36"/>
  <c r="F51" i="36"/>
  <c r="F5" i="36"/>
  <c r="F72" i="36" l="1"/>
  <c r="E6" i="23" l="1"/>
  <c r="E6" i="34" s="1"/>
  <c r="E7" i="23"/>
  <c r="E7" i="34" s="1"/>
  <c r="E8" i="23"/>
  <c r="E8" i="34" s="1"/>
  <c r="E9" i="23"/>
  <c r="E9" i="34" s="1"/>
  <c r="E10" i="23"/>
  <c r="E10" i="34" s="1"/>
  <c r="E11" i="23"/>
  <c r="E11" i="34" s="1"/>
  <c r="E12" i="23"/>
  <c r="E12" i="34" s="1"/>
  <c r="E13" i="23"/>
  <c r="E13" i="34" s="1"/>
  <c r="E14" i="23"/>
  <c r="E14" i="34" s="1"/>
  <c r="E15" i="23"/>
  <c r="E15" i="34" s="1"/>
  <c r="E16" i="23"/>
  <c r="E16" i="34" s="1"/>
  <c r="E17" i="23"/>
  <c r="E17" i="34" s="1"/>
  <c r="E18" i="23"/>
  <c r="E18" i="34" s="1"/>
  <c r="E19" i="23"/>
  <c r="E19" i="34" s="1"/>
  <c r="E20" i="23"/>
  <c r="E20" i="34" s="1"/>
  <c r="E21" i="23"/>
  <c r="E21" i="34" s="1"/>
  <c r="E22" i="23"/>
  <c r="E22" i="34" s="1"/>
  <c r="E23" i="23"/>
  <c r="E23" i="34" s="1"/>
  <c r="E24" i="23"/>
  <c r="E24" i="34" s="1"/>
  <c r="E25" i="23"/>
  <c r="E25" i="34" s="1"/>
  <c r="E26" i="23"/>
  <c r="E26" i="34" s="1"/>
  <c r="E27" i="23"/>
  <c r="E27" i="34" s="1"/>
  <c r="E28" i="23"/>
  <c r="E28" i="34" s="1"/>
  <c r="E29" i="23"/>
  <c r="E29" i="34" s="1"/>
  <c r="E30" i="23"/>
  <c r="E30" i="34" s="1"/>
  <c r="E31" i="23"/>
  <c r="E31" i="34" s="1"/>
  <c r="E32" i="23"/>
  <c r="E32" i="34" s="1"/>
  <c r="E33" i="23"/>
  <c r="E33" i="34" s="1"/>
  <c r="E34" i="23"/>
  <c r="E34" i="34" s="1"/>
  <c r="E35" i="23"/>
  <c r="E35" i="34" s="1"/>
  <c r="E36" i="23"/>
  <c r="E36" i="34" s="1"/>
  <c r="E37" i="23"/>
  <c r="E37" i="34" s="1"/>
  <c r="E38" i="23"/>
  <c r="E38" i="34" s="1"/>
  <c r="E39" i="23"/>
  <c r="E39" i="34" s="1"/>
  <c r="E40" i="23"/>
  <c r="E40" i="34" s="1"/>
  <c r="E41" i="23"/>
  <c r="E41" i="34" s="1"/>
  <c r="E42" i="23"/>
  <c r="E42" i="34" s="1"/>
  <c r="E43" i="23"/>
  <c r="E43" i="34" s="1"/>
  <c r="E44" i="23"/>
  <c r="E44" i="34" s="1"/>
  <c r="E45" i="23"/>
  <c r="E45" i="34" s="1"/>
  <c r="E46" i="23"/>
  <c r="E46" i="34" s="1"/>
  <c r="E47" i="23"/>
  <c r="E47" i="34" s="1"/>
  <c r="E48" i="23"/>
  <c r="E48" i="34" s="1"/>
  <c r="E49" i="23"/>
  <c r="E49" i="34" s="1"/>
  <c r="E50" i="23"/>
  <c r="E50" i="34" s="1"/>
  <c r="E51" i="23"/>
  <c r="E51" i="34" s="1"/>
  <c r="E52" i="23"/>
  <c r="E52" i="34" s="1"/>
  <c r="E53" i="23"/>
  <c r="E53" i="34" s="1"/>
  <c r="E54" i="23"/>
  <c r="E54" i="34" s="1"/>
  <c r="E55" i="23"/>
  <c r="E55" i="34" s="1"/>
  <c r="E56" i="23"/>
  <c r="E56" i="34" s="1"/>
  <c r="E57" i="23"/>
  <c r="E57" i="34" s="1"/>
  <c r="E58" i="23"/>
  <c r="E58" i="34" s="1"/>
  <c r="E59" i="23"/>
  <c r="E59" i="34" s="1"/>
  <c r="E60" i="23"/>
  <c r="E60" i="34" s="1"/>
  <c r="E61" i="23"/>
  <c r="E61" i="34" s="1"/>
  <c r="E62" i="23"/>
  <c r="E62" i="34" s="1"/>
  <c r="E63" i="23"/>
  <c r="E63" i="34" s="1"/>
  <c r="E64" i="23"/>
  <c r="E64" i="34" s="1"/>
  <c r="E65" i="23"/>
  <c r="E65" i="34" s="1"/>
  <c r="E66" i="23"/>
  <c r="E66" i="34" s="1"/>
  <c r="E67" i="23"/>
  <c r="E67" i="34" s="1"/>
  <c r="E68" i="23"/>
  <c r="E68" i="34" s="1"/>
  <c r="E69" i="23"/>
  <c r="E69" i="34" s="1"/>
  <c r="E70" i="23"/>
  <c r="E70" i="34" s="1"/>
  <c r="E71" i="23"/>
  <c r="E71" i="34" s="1"/>
  <c r="D6" i="23"/>
  <c r="D6" i="34" s="1"/>
  <c r="D7" i="23"/>
  <c r="D7" i="34" s="1"/>
  <c r="D8" i="23"/>
  <c r="D8" i="34" s="1"/>
  <c r="D9" i="23"/>
  <c r="D9" i="34" s="1"/>
  <c r="D10" i="23"/>
  <c r="D10" i="34" s="1"/>
  <c r="D11" i="23"/>
  <c r="D11" i="34" s="1"/>
  <c r="D12" i="23"/>
  <c r="D12" i="34" s="1"/>
  <c r="D13" i="23"/>
  <c r="D13" i="34" s="1"/>
  <c r="D14" i="23"/>
  <c r="D14" i="34" s="1"/>
  <c r="D15" i="23"/>
  <c r="D15" i="34" s="1"/>
  <c r="D16" i="23"/>
  <c r="D16" i="34" s="1"/>
  <c r="D17" i="23"/>
  <c r="D17" i="34" s="1"/>
  <c r="D18" i="23"/>
  <c r="D18" i="34" s="1"/>
  <c r="D19" i="23"/>
  <c r="D19" i="34" s="1"/>
  <c r="D20" i="23"/>
  <c r="D20" i="34" s="1"/>
  <c r="D21" i="23"/>
  <c r="D21" i="34" s="1"/>
  <c r="D22" i="23"/>
  <c r="D22" i="34" s="1"/>
  <c r="D23" i="23"/>
  <c r="D23" i="34" s="1"/>
  <c r="D24" i="23"/>
  <c r="D24" i="34" s="1"/>
  <c r="D25" i="23"/>
  <c r="D25" i="34" s="1"/>
  <c r="D26" i="23"/>
  <c r="D26" i="34" s="1"/>
  <c r="D27" i="23"/>
  <c r="D27" i="34" s="1"/>
  <c r="D28" i="23"/>
  <c r="D28" i="34" s="1"/>
  <c r="D29" i="23"/>
  <c r="D29" i="34" s="1"/>
  <c r="D30" i="23"/>
  <c r="D30" i="34" s="1"/>
  <c r="D31" i="23"/>
  <c r="D31" i="34" s="1"/>
  <c r="D32" i="23"/>
  <c r="D32" i="34" s="1"/>
  <c r="D33" i="23"/>
  <c r="D33" i="34" s="1"/>
  <c r="D34" i="23"/>
  <c r="D34" i="34" s="1"/>
  <c r="D35" i="23"/>
  <c r="D35" i="34" s="1"/>
  <c r="D36" i="23"/>
  <c r="D36" i="34" s="1"/>
  <c r="D37" i="23"/>
  <c r="D37" i="34" s="1"/>
  <c r="D38" i="23"/>
  <c r="D38" i="34" s="1"/>
  <c r="D39" i="23"/>
  <c r="D39" i="34" s="1"/>
  <c r="D40" i="23"/>
  <c r="D40" i="34" s="1"/>
  <c r="D41" i="23"/>
  <c r="D41" i="34" s="1"/>
  <c r="D42" i="23"/>
  <c r="D42" i="34" s="1"/>
  <c r="D43" i="23"/>
  <c r="D43" i="34" s="1"/>
  <c r="D44" i="23"/>
  <c r="D44" i="34" s="1"/>
  <c r="D45" i="23"/>
  <c r="D45" i="34" s="1"/>
  <c r="D46" i="23"/>
  <c r="D46" i="34" s="1"/>
  <c r="D47" i="23"/>
  <c r="D47" i="34" s="1"/>
  <c r="D48" i="23"/>
  <c r="D48" i="34" s="1"/>
  <c r="D49" i="23"/>
  <c r="D49" i="34" s="1"/>
  <c r="D50" i="23"/>
  <c r="D50" i="34" s="1"/>
  <c r="D51" i="23"/>
  <c r="D51" i="34" s="1"/>
  <c r="D52" i="23"/>
  <c r="D52" i="34" s="1"/>
  <c r="D53" i="23"/>
  <c r="D53" i="34" s="1"/>
  <c r="D54" i="23"/>
  <c r="D54" i="34" s="1"/>
  <c r="D55" i="23"/>
  <c r="D55" i="34" s="1"/>
  <c r="D56" i="23"/>
  <c r="D56" i="34" s="1"/>
  <c r="D57" i="23"/>
  <c r="D57" i="34" s="1"/>
  <c r="D58" i="23"/>
  <c r="D58" i="34" s="1"/>
  <c r="D59" i="23"/>
  <c r="D59" i="34" s="1"/>
  <c r="D60" i="23"/>
  <c r="D60" i="34" s="1"/>
  <c r="D61" i="23"/>
  <c r="D61" i="34" s="1"/>
  <c r="D62" i="23"/>
  <c r="D62" i="34" s="1"/>
  <c r="D63" i="23"/>
  <c r="D63" i="34" s="1"/>
  <c r="D64" i="23"/>
  <c r="D64" i="34" s="1"/>
  <c r="D65" i="23"/>
  <c r="D65" i="34" s="1"/>
  <c r="D66" i="23"/>
  <c r="D66" i="34" s="1"/>
  <c r="D67" i="23"/>
  <c r="D67" i="34" s="1"/>
  <c r="D68" i="23"/>
  <c r="D68" i="34" s="1"/>
  <c r="D69" i="23"/>
  <c r="D69" i="34" s="1"/>
  <c r="D70" i="23"/>
  <c r="D70" i="34" s="1"/>
  <c r="D71" i="23"/>
  <c r="D71" i="34" s="1"/>
  <c r="C6" i="23"/>
  <c r="C6" i="34" s="1"/>
  <c r="C7" i="23"/>
  <c r="C7" i="34" s="1"/>
  <c r="C8" i="23"/>
  <c r="C8" i="34" s="1"/>
  <c r="C9" i="23"/>
  <c r="C9" i="34" s="1"/>
  <c r="C10" i="23"/>
  <c r="C10" i="34" s="1"/>
  <c r="C11" i="23"/>
  <c r="C11" i="34" s="1"/>
  <c r="C12" i="23"/>
  <c r="C12" i="34" s="1"/>
  <c r="C13" i="23"/>
  <c r="C13" i="34" s="1"/>
  <c r="C14" i="23"/>
  <c r="C14" i="34" s="1"/>
  <c r="C15" i="23"/>
  <c r="C15" i="34" s="1"/>
  <c r="C16" i="23"/>
  <c r="C16" i="34" s="1"/>
  <c r="C17" i="23"/>
  <c r="C17" i="34" s="1"/>
  <c r="C18" i="23"/>
  <c r="C18" i="34" s="1"/>
  <c r="C19" i="23"/>
  <c r="C19" i="34" s="1"/>
  <c r="C20" i="23"/>
  <c r="C20" i="34" s="1"/>
  <c r="C21" i="23"/>
  <c r="C21" i="34" s="1"/>
  <c r="C22" i="23"/>
  <c r="C22" i="34" s="1"/>
  <c r="C23" i="23"/>
  <c r="C23" i="34" s="1"/>
  <c r="C24" i="23"/>
  <c r="C24" i="34" s="1"/>
  <c r="C25" i="23"/>
  <c r="C25" i="34" s="1"/>
  <c r="C26" i="23"/>
  <c r="C26" i="34" s="1"/>
  <c r="C27" i="23"/>
  <c r="C27" i="34" s="1"/>
  <c r="C28" i="23"/>
  <c r="C28" i="34" s="1"/>
  <c r="C29" i="23"/>
  <c r="C29" i="34" s="1"/>
  <c r="C30" i="23"/>
  <c r="C30" i="34" s="1"/>
  <c r="C31" i="23"/>
  <c r="C31" i="34" s="1"/>
  <c r="C32" i="23"/>
  <c r="C32" i="34" s="1"/>
  <c r="C33" i="23"/>
  <c r="C33" i="34" s="1"/>
  <c r="C34" i="23"/>
  <c r="C34" i="34" s="1"/>
  <c r="C35" i="23"/>
  <c r="C35" i="34" s="1"/>
  <c r="C36" i="23"/>
  <c r="C36" i="34" s="1"/>
  <c r="C37" i="23"/>
  <c r="C37" i="34" s="1"/>
  <c r="C38" i="23"/>
  <c r="C38" i="34" s="1"/>
  <c r="C39" i="23"/>
  <c r="C39" i="34" s="1"/>
  <c r="C40" i="23"/>
  <c r="C40" i="34" s="1"/>
  <c r="C41" i="23"/>
  <c r="C41" i="34" s="1"/>
  <c r="C42" i="23"/>
  <c r="C42" i="34" s="1"/>
  <c r="C43" i="23"/>
  <c r="C43" i="34" s="1"/>
  <c r="C44" i="23"/>
  <c r="C44" i="34" s="1"/>
  <c r="C45" i="23"/>
  <c r="C45" i="34" s="1"/>
  <c r="C46" i="23"/>
  <c r="C46" i="34" s="1"/>
  <c r="C47" i="23"/>
  <c r="C47" i="34" s="1"/>
  <c r="C48" i="23"/>
  <c r="C48" i="34" s="1"/>
  <c r="C49" i="23"/>
  <c r="C49" i="34" s="1"/>
  <c r="C50" i="23"/>
  <c r="C50" i="34" s="1"/>
  <c r="C51" i="23"/>
  <c r="C51" i="34" s="1"/>
  <c r="C52" i="23"/>
  <c r="C52" i="34" s="1"/>
  <c r="C53" i="23"/>
  <c r="C53" i="34" s="1"/>
  <c r="C54" i="23"/>
  <c r="C54" i="34" s="1"/>
  <c r="C55" i="23"/>
  <c r="C55" i="34" s="1"/>
  <c r="C56" i="23"/>
  <c r="C56" i="34" s="1"/>
  <c r="C57" i="23"/>
  <c r="C57" i="34" s="1"/>
  <c r="C58" i="23"/>
  <c r="C58" i="34" s="1"/>
  <c r="C59" i="23"/>
  <c r="C59" i="34" s="1"/>
  <c r="C60" i="23"/>
  <c r="C60" i="34" s="1"/>
  <c r="C61" i="23"/>
  <c r="C61" i="34" s="1"/>
  <c r="C62" i="23"/>
  <c r="C62" i="34" s="1"/>
  <c r="C63" i="23"/>
  <c r="C63" i="34" s="1"/>
  <c r="C64" i="23"/>
  <c r="C64" i="34" s="1"/>
  <c r="C65" i="23"/>
  <c r="C65" i="34" s="1"/>
  <c r="C66" i="23"/>
  <c r="C66" i="34" s="1"/>
  <c r="C67" i="23"/>
  <c r="C67" i="34" s="1"/>
  <c r="C68" i="23"/>
  <c r="C68" i="34" s="1"/>
  <c r="C69" i="23"/>
  <c r="C69" i="34" s="1"/>
  <c r="C70" i="23"/>
  <c r="C70" i="34" s="1"/>
  <c r="C71" i="23"/>
  <c r="C71" i="34" s="1"/>
  <c r="B6" i="23"/>
  <c r="B6" i="34" s="1"/>
  <c r="B7" i="23"/>
  <c r="B7" i="34" s="1"/>
  <c r="B8" i="23"/>
  <c r="B8" i="34" s="1"/>
  <c r="B9" i="23"/>
  <c r="B9" i="34" s="1"/>
  <c r="B10" i="23"/>
  <c r="B10" i="34" s="1"/>
  <c r="B11" i="23"/>
  <c r="B11" i="34" s="1"/>
  <c r="B12" i="23"/>
  <c r="B12" i="34" s="1"/>
  <c r="B13" i="23"/>
  <c r="B13" i="34" s="1"/>
  <c r="B14" i="23"/>
  <c r="B14" i="34" s="1"/>
  <c r="B15" i="23"/>
  <c r="B15" i="34" s="1"/>
  <c r="B16" i="23"/>
  <c r="B16" i="34" s="1"/>
  <c r="B17" i="23"/>
  <c r="B17" i="34" s="1"/>
  <c r="B18" i="23"/>
  <c r="B18" i="34" s="1"/>
  <c r="B19" i="23"/>
  <c r="B19" i="34" s="1"/>
  <c r="B20" i="23"/>
  <c r="B20" i="34" s="1"/>
  <c r="B21" i="23"/>
  <c r="B21" i="34" s="1"/>
  <c r="B22" i="23"/>
  <c r="B22" i="34" s="1"/>
  <c r="B23" i="23"/>
  <c r="B23" i="34" s="1"/>
  <c r="B24" i="23"/>
  <c r="B24" i="34" s="1"/>
  <c r="B25" i="23"/>
  <c r="B25" i="34" s="1"/>
  <c r="B26" i="23"/>
  <c r="B26" i="34" s="1"/>
  <c r="B27" i="23"/>
  <c r="B27" i="34" s="1"/>
  <c r="B28" i="23"/>
  <c r="B28" i="34" s="1"/>
  <c r="B29" i="23"/>
  <c r="B29" i="34" s="1"/>
  <c r="B30" i="23"/>
  <c r="B30" i="34" s="1"/>
  <c r="B31" i="23"/>
  <c r="B31" i="34" s="1"/>
  <c r="B32" i="23"/>
  <c r="B32" i="34" s="1"/>
  <c r="B33" i="23"/>
  <c r="B33" i="34" s="1"/>
  <c r="B34" i="23"/>
  <c r="B34" i="34" s="1"/>
  <c r="B35" i="23"/>
  <c r="B35" i="34" s="1"/>
  <c r="B36" i="23"/>
  <c r="B36" i="34" s="1"/>
  <c r="B37" i="23"/>
  <c r="B37" i="34" s="1"/>
  <c r="B38" i="23"/>
  <c r="B38" i="34" s="1"/>
  <c r="B39" i="23"/>
  <c r="B39" i="34" s="1"/>
  <c r="B40" i="23"/>
  <c r="B40" i="34" s="1"/>
  <c r="B41" i="23"/>
  <c r="B41" i="34" s="1"/>
  <c r="B42" i="23"/>
  <c r="B42" i="34" s="1"/>
  <c r="B43" i="23"/>
  <c r="B43" i="34" s="1"/>
  <c r="B44" i="23"/>
  <c r="B44" i="34" s="1"/>
  <c r="B45" i="23"/>
  <c r="B45" i="34" s="1"/>
  <c r="B46" i="23"/>
  <c r="B46" i="34" s="1"/>
  <c r="B47" i="23"/>
  <c r="B47" i="34" s="1"/>
  <c r="B48" i="23"/>
  <c r="B48" i="34" s="1"/>
  <c r="B49" i="23"/>
  <c r="B49" i="34" s="1"/>
  <c r="B50" i="23"/>
  <c r="B50" i="34" s="1"/>
  <c r="B51" i="23"/>
  <c r="B51" i="34" s="1"/>
  <c r="B52" i="23"/>
  <c r="B52" i="34" s="1"/>
  <c r="B53" i="23"/>
  <c r="B53" i="34" s="1"/>
  <c r="B54" i="23"/>
  <c r="B54" i="34" s="1"/>
  <c r="B55" i="23"/>
  <c r="B55" i="34" s="1"/>
  <c r="B56" i="23"/>
  <c r="B56" i="34" s="1"/>
  <c r="B57" i="23"/>
  <c r="B57" i="34" s="1"/>
  <c r="B58" i="23"/>
  <c r="B58" i="34" s="1"/>
  <c r="B59" i="23"/>
  <c r="B59" i="34" s="1"/>
  <c r="B60" i="23"/>
  <c r="B60" i="34" s="1"/>
  <c r="B61" i="23"/>
  <c r="B61" i="34" s="1"/>
  <c r="B62" i="23"/>
  <c r="B62" i="34" s="1"/>
  <c r="B63" i="23"/>
  <c r="B63" i="34" s="1"/>
  <c r="B64" i="23"/>
  <c r="B64" i="34" s="1"/>
  <c r="B65" i="23"/>
  <c r="B65" i="34" s="1"/>
  <c r="B66" i="23"/>
  <c r="B66" i="34" s="1"/>
  <c r="B67" i="23"/>
  <c r="B67" i="34" s="1"/>
  <c r="B68" i="23"/>
  <c r="B68" i="34" s="1"/>
  <c r="B69" i="23"/>
  <c r="B69" i="34" s="1"/>
  <c r="B70" i="23"/>
  <c r="B70" i="34" s="1"/>
  <c r="B71" i="23"/>
  <c r="B71" i="34" s="1"/>
  <c r="C5" i="23"/>
  <c r="C5" i="34" s="1"/>
  <c r="D5" i="23"/>
  <c r="D5" i="34" s="1"/>
  <c r="E5" i="23"/>
  <c r="E5" i="34" s="1"/>
  <c r="B5" i="23"/>
  <c r="B5" i="34" s="1"/>
  <c r="F61" i="34" l="1"/>
  <c r="F25" i="34"/>
  <c r="F13" i="34"/>
  <c r="F60" i="34"/>
  <c r="F48" i="34"/>
  <c r="F36" i="34"/>
  <c r="F24" i="34"/>
  <c r="F12" i="34"/>
  <c r="F71" i="34"/>
  <c r="F67" i="34"/>
  <c r="F63" i="34"/>
  <c r="F59" i="34"/>
  <c r="F55" i="34"/>
  <c r="F51" i="34"/>
  <c r="F47" i="34"/>
  <c r="F43" i="34"/>
  <c r="F39" i="34"/>
  <c r="F35" i="34"/>
  <c r="F31" i="34"/>
  <c r="F27" i="34"/>
  <c r="F23" i="34"/>
  <c r="F19" i="34"/>
  <c r="F15" i="34"/>
  <c r="F11" i="34"/>
  <c r="F7" i="34"/>
  <c r="F62" i="34"/>
  <c r="F50" i="34"/>
  <c r="F38" i="34"/>
  <c r="F26" i="34"/>
  <c r="F14" i="34"/>
  <c r="F46" i="34"/>
  <c r="F22" i="34"/>
  <c r="F34" i="34"/>
  <c r="F58" i="34"/>
  <c r="F54" i="34"/>
  <c r="F30" i="34"/>
  <c r="F6" i="34"/>
  <c r="F70" i="34"/>
  <c r="F10" i="34"/>
  <c r="F66" i="34"/>
  <c r="F42" i="34"/>
  <c r="F18" i="34"/>
  <c r="F65" i="34"/>
  <c r="F53" i="34"/>
  <c r="F41" i="34"/>
  <c r="F29" i="34"/>
  <c r="F17" i="34"/>
  <c r="F64" i="34"/>
  <c r="F52" i="34"/>
  <c r="F9" i="34"/>
  <c r="F40" i="34"/>
  <c r="E72" i="34"/>
  <c r="F45" i="34"/>
  <c r="F21" i="34"/>
  <c r="F69" i="34"/>
  <c r="F57" i="34"/>
  <c r="F33" i="34"/>
  <c r="D72" i="34"/>
  <c r="F68" i="34"/>
  <c r="F56" i="34"/>
  <c r="F32" i="34"/>
  <c r="F20" i="34"/>
  <c r="F8" i="34"/>
  <c r="C72" i="34"/>
  <c r="F44" i="34"/>
  <c r="F37" i="34"/>
  <c r="F49" i="34"/>
  <c r="F28" i="34"/>
  <c r="F16" i="34"/>
  <c r="F5" i="34"/>
  <c r="B72" i="34"/>
  <c r="F72" i="34" l="1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<sst xmlns="http://schemas.openxmlformats.org/spreadsheetml/2006/main" count="2002" uniqueCount="194">
  <si>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</si>
  <si>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</si>
  <si>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</si>
  <si>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</si>
  <si>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</si>
  <si>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</si>
  <si>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</si>
  <si>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</si>
  <si>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</si>
  <si>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</si>
  <si>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</si>
  <si>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</si>
  <si>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</si>
  <si>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</si>
  <si>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</si>
  <si>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</si>
  <si>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</si>
  <si>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</si>
  <si>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</si>
  <si>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</si>
  <si>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</si>
  <si>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</si>
  <si>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</si>
  <si>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</si>
  <si>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</si>
  <si>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</si>
  <si>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</si>
  <si>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</si>
  <si>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</si>
  <si>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</si>
  <si>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</si>
  <si>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</si>
  <si>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</si>
  <si>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</si>
  <si>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</si>
  <si>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</si>
  <si>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</si>
  <si>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</si>
  <si>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</si>
  <si>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</si>
  <si>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</si>
  <si>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</si>
  <si>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</si>
  <si>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</si>
  <si>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</si>
  <si>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</si>
  <si>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</si>
  <si>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</si>
  <si>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</si>
  <si>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</si>
  <si>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</si>
  <si>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</si>
  <si>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</si>
  <si>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</si>
  <si>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</si>
  <si>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</si>
  <si>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</si>
  <si>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</si>
  <si>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</si>
  <si>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</si>
  <si>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</si>
  <si>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</si>
  <si>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</si>
  <si>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</si>
  <si>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</si>
  <si>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</si>
  <si>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</si>
  <si>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</si>
  <si>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</si>
  <si>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</si>
  <si>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</si>
  <si>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</si>
  <si>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</si>
  <si>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</si>
  <si>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</si>
  <si>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</si>
  <si>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</si>
  <si>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</si>
  <si>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</si>
  <si>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</si>
  <si>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</si>
  <si>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</si>
  <si>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Feburary to March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</si>
  <si>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</si>
  <si>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</si>
  <si>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</si>
  <si>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</si>
  <si>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</si>
  <si>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August to September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</si>
  <si>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</si>
  <si>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</si>
  <si>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</si>
  <si>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Monthly Report - Voter Registration by Party Affiliation - Prior December</t>
  </si>
  <si>
    <t>Monthly Report - Net Activity by Party Affiliation - December to January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</si>
  <si>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</si>
  <si>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</si>
  <si>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</si>
  <si>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</si>
  <si>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</si>
  <si>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</si>
  <si>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</si>
  <si>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</si>
  <si>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</si>
  <si>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</si>
  <si>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</si>
  <si>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</si>
  <si>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</si>
  <si>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</si>
  <si>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</si>
  <si>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</si>
  <si>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</si>
  <si>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</si>
  <si>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</si>
  <si>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</si>
  <si>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</si>
  <si>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</si>
  <si>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</si>
  <si>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</si>
  <si>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</si>
  <si>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</si>
  <si>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</si>
  <si>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</si>
  <si>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</si>
  <si>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</si>
  <si>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</si>
  <si>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</si>
  <si>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</si>
  <si>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</si>
  <si>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</si>
  <si>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</si>
  <si>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</si>
  <si>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</si>
  <si>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</si>
  <si>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</si>
  <si>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</si>
  <si>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</si>
  <si>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</si>
  <si>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</si>
  <si>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</si>
  <si>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</si>
  <si>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</si>
  <si>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</si>
  <si>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</si>
  <si>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</si>
  <si>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</si>
  <si>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</si>
  <si>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</si>
  <si>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</si>
  <si>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</si>
  <si>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</si>
  <si>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</si>
  <si>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</si>
  <si>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</si>
  <si>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</si>
  <si>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</si>
  <si>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</si>
  <si>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</si>
  <si>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</si>
  <si>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</si>
  <si>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</si>
  <si>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</si>
  <si>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</si>
  <si>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</si>
  <si>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</si>
  <si>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</si>
  <si>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</si>
  <si>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</si>
  <si>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Monthly Report - Voter Registration by Party Affiliation - March</t>
  </si>
  <si>
    <t>Data as of 12/31/2024</t>
  </si>
  <si>
    <t>Data as of 01/31/2025</t>
  </si>
  <si>
    <t>Data as of 02/28/2025</t>
  </si>
  <si>
    <t>Data as of 03/31/2025</t>
  </si>
  <si>
    <t>Data as of 04/30/2025</t>
  </si>
  <si>
    <t>Data as of 05/31/2025</t>
  </si>
  <si>
    <t>Data as of 06/30/2025</t>
  </si>
  <si>
    <t>Data as of 07/31/2025</t>
  </si>
  <si>
    <t>Data as of 08/31/2025</t>
  </si>
  <si>
    <t>Data as of 09/30/2025</t>
  </si>
  <si>
    <t>Data as of 10/31/2025</t>
  </si>
  <si>
    <t>Data as of 11/30/2025</t>
  </si>
  <si>
    <t>Data as of 12/31/2025</t>
  </si>
  <si>
    <t>Data comparison between 12/31/2024 - 01/31/2025</t>
  </si>
  <si>
    <t>Data comparison between 01/31/2025 - 02/28/2025</t>
  </si>
  <si>
    <t>Data comparison between 02/28/2025 - 03/31/2025</t>
  </si>
  <si>
    <t>Data comparison between 03/31/2025 - 4/30/2025</t>
  </si>
  <si>
    <t>Data comparison between 04/30/2025 - 5/31/2025</t>
  </si>
  <si>
    <t>Data comparison between 05/31/2025 - 06/30/2025</t>
  </si>
  <si>
    <t>Data comparison between 06/30/2025 - 07/31/2025</t>
  </si>
  <si>
    <t>Data comparison between 07/31/2025 - 08/31/2025</t>
  </si>
  <si>
    <t>Data comparison between 08/31/2025 - 09/30/2025</t>
  </si>
  <si>
    <t>Data comparison between 09/30/2025 - 10/31/2025</t>
  </si>
  <si>
    <t>Data comparison between 10/31/2025 - 11/30/2025</t>
  </si>
  <si>
    <t>Data comparison between 11/30/2025 - 12/31/2025</t>
  </si>
  <si>
    <t>Data comparison between 01/31/2025 - 12/31/2025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</si>
</sst>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16" fillId="0" borderId="19" xfId="0" applyNumberFormat="1" applyFont="1" applyBorder="1" applyAlignment="1">
      <alignment wrapText="1"/>
    </xf>
    <xf numFmtId="0" fontId="19" fillId="0" borderId="23" xfId="0" applyFont="1" applyBorder="1" applyAlignment="1">
      <alignment vertical="center"/>
    </xf>
    <xf numFmtId="0" fontId="19" fillId="0" borderId="23" xfId="0" applyFont="1" applyBorder="1" applyAlignment="1">
      <alignment vertical="center" wrapText="1"/>
    </xf>
    <xf numFmtId="0" fontId="16" fillId="0" borderId="19" xfId="0" applyFont="1" applyBorder="1" applyAlignment="1">
      <alignment wrapText="1"/>
    </xf>
    <xf numFmtId="3" fontId="20" fillId="0" borderId="19" xfId="0" applyNumberFormat="1" applyFont="1" applyBorder="1"/>
    <xf numFmtId="0" fontId="16" fillId="0" borderId="0" xfId="0" applyFont="1"/>
    <xf numFmtId="0" fontId="16" fillId="0" borderId="0" xfId="0" applyFont="1" applyAlignment="1">
      <alignment wrapText="1"/>
    </xf>
    <xf numFmtId="3" fontId="16" fillId="0" borderId="0" xfId="0" applyNumberFormat="1" applyFont="1"/>
    <xf numFmtId="3" fontId="0" fillId="0" borderId="0" xfId="0" applyNumberFormat="1" applyAlignment="1">
      <alignment wrapText="1"/>
    </xf>
    <xf numFmtId="3" fontId="21" fillId="0" borderId="0" xfId="0" applyNumberFormat="1" applyFont="1"/>
    <xf numFmtId="0" fontId="16" fillId="0" borderId="24" xfId="0" applyFont="1" applyBorder="1" applyAlignment="1">
      <alignment wrapText="1"/>
    </xf>
    <xf numFmtId="0" fontId="16" fillId="34" borderId="10" xfId="0" applyFont="1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NVRA\Monthly%20Voter%20Registration%20Reports\2025\party-affiliation-by-county-2025.xlsx" TargetMode="External"/><Relationship Id="rId1" Type="http://schemas.openxmlformats.org/officeDocument/2006/relationships/externalLinkPath" Target="party-affiliation-by-county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orDecember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NetPriorDecToJan"/>
      <sheetName val="NetJanToFeb"/>
      <sheetName val="NetFebToMar"/>
      <sheetName val="NetMarToApr"/>
      <sheetName val="NetAprToMay"/>
      <sheetName val="NetMayToJun"/>
      <sheetName val="NetJunToJul"/>
      <sheetName val="NetJulToAug"/>
      <sheetName val="NetAugToSep"/>
      <sheetName val="NetSepToOct"/>
      <sheetName val="NetOctToNov"/>
      <sheetName val="NetNovToDec"/>
      <sheetName val="Net-Year-to-Date Total"/>
    </sheetNames>
    <sheetDataSet>
      <sheetData sheetId="0">
        <row r="5">
          <cell r="B5">
            <v>49407</v>
          </cell>
          <cell r="C5">
            <v>78894</v>
          </cell>
          <cell r="D5">
            <v>5094</v>
          </cell>
          <cell r="E5">
            <v>40576</v>
          </cell>
        </row>
        <row r="6">
          <cell r="B6">
            <v>12894</v>
          </cell>
          <cell r="C6">
            <v>3620</v>
          </cell>
          <cell r="D6">
            <v>423</v>
          </cell>
          <cell r="E6">
            <v>2397</v>
          </cell>
        </row>
        <row r="7">
          <cell r="B7">
            <v>75354</v>
          </cell>
          <cell r="C7">
            <v>26297</v>
          </cell>
          <cell r="D7">
            <v>4619</v>
          </cell>
          <cell r="E7">
            <v>27878</v>
          </cell>
        </row>
        <row r="8">
          <cell r="B8">
            <v>11188</v>
          </cell>
          <cell r="C8">
            <v>4342</v>
          </cell>
          <cell r="D8">
            <v>407</v>
          </cell>
          <cell r="E8">
            <v>2673</v>
          </cell>
        </row>
        <row r="9">
          <cell r="B9">
            <v>204499</v>
          </cell>
          <cell r="C9">
            <v>118133</v>
          </cell>
          <cell r="D9">
            <v>16746</v>
          </cell>
          <cell r="E9">
            <v>113369</v>
          </cell>
        </row>
        <row r="10">
          <cell r="B10">
            <v>276345</v>
          </cell>
          <cell r="C10">
            <v>523275</v>
          </cell>
          <cell r="D10">
            <v>28647</v>
          </cell>
          <cell r="E10">
            <v>346944</v>
          </cell>
        </row>
        <row r="11">
          <cell r="B11">
            <v>4917</v>
          </cell>
          <cell r="C11">
            <v>2390</v>
          </cell>
          <cell r="D11">
            <v>88</v>
          </cell>
          <cell r="E11">
            <v>920</v>
          </cell>
        </row>
        <row r="12">
          <cell r="B12">
            <v>79782</v>
          </cell>
          <cell r="C12">
            <v>31486</v>
          </cell>
          <cell r="D12">
            <v>5911</v>
          </cell>
          <cell r="E12">
            <v>36972</v>
          </cell>
        </row>
        <row r="13">
          <cell r="B13">
            <v>69816</v>
          </cell>
          <cell r="C13">
            <v>22519</v>
          </cell>
          <cell r="D13">
            <v>4144</v>
          </cell>
          <cell r="E13">
            <v>25310</v>
          </cell>
        </row>
        <row r="14">
          <cell r="B14">
            <v>89376</v>
          </cell>
          <cell r="C14">
            <v>32309</v>
          </cell>
          <cell r="D14">
            <v>5359</v>
          </cell>
          <cell r="E14">
            <v>32962</v>
          </cell>
        </row>
        <row r="15">
          <cell r="B15">
            <v>144243</v>
          </cell>
          <cell r="C15">
            <v>53712</v>
          </cell>
          <cell r="D15">
            <v>7259</v>
          </cell>
          <cell r="E15">
            <v>62199</v>
          </cell>
        </row>
        <row r="16">
          <cell r="B16">
            <v>24468</v>
          </cell>
          <cell r="C16">
            <v>10405</v>
          </cell>
          <cell r="D16">
            <v>1208</v>
          </cell>
          <cell r="E16">
            <v>7014</v>
          </cell>
        </row>
        <row r="17">
          <cell r="B17">
            <v>9063</v>
          </cell>
          <cell r="C17">
            <v>5700</v>
          </cell>
          <cell r="D17">
            <v>475</v>
          </cell>
          <cell r="E17">
            <v>4628</v>
          </cell>
        </row>
        <row r="18">
          <cell r="B18">
            <v>7125</v>
          </cell>
          <cell r="C18">
            <v>2196</v>
          </cell>
          <cell r="D18">
            <v>239</v>
          </cell>
          <cell r="E18">
            <v>1761</v>
          </cell>
        </row>
        <row r="19">
          <cell r="B19">
            <v>241529</v>
          </cell>
          <cell r="C19">
            <v>253450</v>
          </cell>
          <cell r="D19">
            <v>21494</v>
          </cell>
          <cell r="E19">
            <v>148804</v>
          </cell>
        </row>
        <row r="20">
          <cell r="B20">
            <v>102269</v>
          </cell>
          <cell r="C20">
            <v>65787</v>
          </cell>
          <cell r="D20">
            <v>6747</v>
          </cell>
          <cell r="E20">
            <v>45320</v>
          </cell>
        </row>
        <row r="21">
          <cell r="B21">
            <v>48641</v>
          </cell>
          <cell r="C21">
            <v>24304</v>
          </cell>
          <cell r="D21">
            <v>3507</v>
          </cell>
          <cell r="E21">
            <v>22356</v>
          </cell>
        </row>
        <row r="22">
          <cell r="B22">
            <v>4023</v>
          </cell>
          <cell r="C22">
            <v>2301</v>
          </cell>
          <cell r="D22">
            <v>271</v>
          </cell>
          <cell r="E22">
            <v>1086</v>
          </cell>
        </row>
        <row r="23">
          <cell r="B23">
            <v>5782</v>
          </cell>
          <cell r="C23">
            <v>18293</v>
          </cell>
          <cell r="D23">
            <v>435</v>
          </cell>
          <cell r="E23">
            <v>2856</v>
          </cell>
        </row>
        <row r="24">
          <cell r="B24">
            <v>9152</v>
          </cell>
          <cell r="C24">
            <v>2021</v>
          </cell>
          <cell r="D24">
            <v>387</v>
          </cell>
          <cell r="E24">
            <v>1889</v>
          </cell>
        </row>
        <row r="25">
          <cell r="B25">
            <v>4114</v>
          </cell>
          <cell r="C25">
            <v>1631</v>
          </cell>
          <cell r="D25">
            <v>205</v>
          </cell>
          <cell r="E25">
            <v>1245</v>
          </cell>
        </row>
        <row r="26">
          <cell r="B26">
            <v>7030</v>
          </cell>
          <cell r="C26">
            <v>2608</v>
          </cell>
          <cell r="D26">
            <v>344</v>
          </cell>
          <cell r="E26">
            <v>1516</v>
          </cell>
        </row>
        <row r="27">
          <cell r="B27">
            <v>3706</v>
          </cell>
          <cell r="C27">
            <v>2544</v>
          </cell>
          <cell r="D27">
            <v>184</v>
          </cell>
          <cell r="E27">
            <v>915</v>
          </cell>
        </row>
        <row r="28">
          <cell r="B28">
            <v>7101</v>
          </cell>
          <cell r="C28">
            <v>3142</v>
          </cell>
          <cell r="D28">
            <v>296</v>
          </cell>
          <cell r="E28">
            <v>2639</v>
          </cell>
        </row>
        <row r="29">
          <cell r="B29">
            <v>8925</v>
          </cell>
          <cell r="C29">
            <v>5347</v>
          </cell>
          <cell r="D29">
            <v>448</v>
          </cell>
          <cell r="E29">
            <v>3505</v>
          </cell>
        </row>
        <row r="30">
          <cell r="B30">
            <v>71569</v>
          </cell>
          <cell r="C30">
            <v>34438</v>
          </cell>
          <cell r="D30">
            <v>5329</v>
          </cell>
          <cell r="E30">
            <v>34939</v>
          </cell>
        </row>
        <row r="31">
          <cell r="B31">
            <v>35184</v>
          </cell>
          <cell r="C31">
            <v>15164</v>
          </cell>
          <cell r="D31">
            <v>2090</v>
          </cell>
          <cell r="E31">
            <v>13845</v>
          </cell>
        </row>
        <row r="32">
          <cell r="B32">
            <v>302973</v>
          </cell>
          <cell r="C32">
            <v>305187</v>
          </cell>
          <cell r="D32">
            <v>27899</v>
          </cell>
          <cell r="E32">
            <v>249990</v>
          </cell>
        </row>
        <row r="33">
          <cell r="B33">
            <v>8026</v>
          </cell>
          <cell r="C33">
            <v>1599</v>
          </cell>
          <cell r="D33">
            <v>243</v>
          </cell>
          <cell r="E33">
            <v>1215</v>
          </cell>
        </row>
        <row r="34">
          <cell r="B34">
            <v>62157</v>
          </cell>
          <cell r="C34">
            <v>28034</v>
          </cell>
          <cell r="D34">
            <v>4309</v>
          </cell>
          <cell r="E34">
            <v>26733</v>
          </cell>
        </row>
        <row r="35">
          <cell r="B35">
            <v>15871</v>
          </cell>
          <cell r="C35">
            <v>8684</v>
          </cell>
          <cell r="D35">
            <v>502</v>
          </cell>
          <cell r="E35">
            <v>2827</v>
          </cell>
        </row>
        <row r="36">
          <cell r="B36">
            <v>4560</v>
          </cell>
          <cell r="C36">
            <v>4077</v>
          </cell>
          <cell r="D36">
            <v>165</v>
          </cell>
          <cell r="E36">
            <v>1191</v>
          </cell>
        </row>
        <row r="37">
          <cell r="B37">
            <v>3390</v>
          </cell>
          <cell r="C37">
            <v>682</v>
          </cell>
          <cell r="D37">
            <v>69</v>
          </cell>
          <cell r="E37">
            <v>317</v>
          </cell>
        </row>
        <row r="38">
          <cell r="B38">
            <v>129689</v>
          </cell>
          <cell r="C38">
            <v>69101</v>
          </cell>
          <cell r="D38">
            <v>8853</v>
          </cell>
          <cell r="E38">
            <v>67204</v>
          </cell>
        </row>
        <row r="39">
          <cell r="B39">
            <v>240261</v>
          </cell>
          <cell r="C39">
            <v>112200</v>
          </cell>
          <cell r="D39">
            <v>15198</v>
          </cell>
          <cell r="E39">
            <v>134582</v>
          </cell>
        </row>
        <row r="40">
          <cell r="B40">
            <v>57443</v>
          </cell>
          <cell r="C40">
            <v>99056</v>
          </cell>
          <cell r="D40">
            <v>5514</v>
          </cell>
          <cell r="E40">
            <v>41473</v>
          </cell>
        </row>
        <row r="41">
          <cell r="B41">
            <v>18413</v>
          </cell>
          <cell r="C41">
            <v>6688</v>
          </cell>
          <cell r="D41">
            <v>997</v>
          </cell>
          <cell r="E41">
            <v>4582</v>
          </cell>
        </row>
        <row r="42">
          <cell r="B42">
            <v>2742</v>
          </cell>
          <cell r="C42">
            <v>1426</v>
          </cell>
          <cell r="D42">
            <v>21</v>
          </cell>
          <cell r="E42">
            <v>454</v>
          </cell>
        </row>
        <row r="43">
          <cell r="B43">
            <v>5560</v>
          </cell>
          <cell r="C43">
            <v>5062</v>
          </cell>
          <cell r="D43">
            <v>134</v>
          </cell>
          <cell r="E43">
            <v>1558</v>
          </cell>
        </row>
        <row r="44">
          <cell r="B44">
            <v>137503</v>
          </cell>
          <cell r="C44">
            <v>71473</v>
          </cell>
          <cell r="D44">
            <v>8689</v>
          </cell>
          <cell r="E44">
            <v>68033</v>
          </cell>
        </row>
        <row r="45">
          <cell r="B45">
            <v>137022</v>
          </cell>
          <cell r="C45">
            <v>71784</v>
          </cell>
          <cell r="D45">
            <v>8858</v>
          </cell>
          <cell r="E45">
            <v>56100</v>
          </cell>
        </row>
        <row r="46">
          <cell r="B46">
            <v>62633</v>
          </cell>
          <cell r="C46">
            <v>25301</v>
          </cell>
          <cell r="D46">
            <v>4296</v>
          </cell>
          <cell r="E46">
            <v>25870</v>
          </cell>
        </row>
        <row r="47">
          <cell r="B47">
            <v>497394</v>
          </cell>
          <cell r="C47">
            <v>523415</v>
          </cell>
          <cell r="D47">
            <v>33121</v>
          </cell>
          <cell r="E47">
            <v>494788</v>
          </cell>
        </row>
        <row r="48">
          <cell r="B48">
            <v>23794</v>
          </cell>
          <cell r="C48">
            <v>14981</v>
          </cell>
          <cell r="D48">
            <v>1822</v>
          </cell>
          <cell r="E48">
            <v>12414</v>
          </cell>
        </row>
        <row r="49">
          <cell r="B49">
            <v>47677</v>
          </cell>
          <cell r="C49">
            <v>13615</v>
          </cell>
          <cell r="D49">
            <v>2774</v>
          </cell>
          <cell r="E49">
            <v>14977</v>
          </cell>
        </row>
        <row r="50">
          <cell r="B50">
            <v>88395</v>
          </cell>
          <cell r="C50">
            <v>26105</v>
          </cell>
          <cell r="D50">
            <v>4912</v>
          </cell>
          <cell r="E50">
            <v>35351</v>
          </cell>
        </row>
        <row r="51">
          <cell r="B51">
            <v>12317</v>
          </cell>
          <cell r="C51">
            <v>4724</v>
          </cell>
          <cell r="D51">
            <v>716</v>
          </cell>
          <cell r="E51">
            <v>3528</v>
          </cell>
        </row>
        <row r="52">
          <cell r="B52">
            <v>227091</v>
          </cell>
          <cell r="C52">
            <v>330679</v>
          </cell>
          <cell r="D52">
            <v>27139</v>
          </cell>
          <cell r="E52">
            <v>252326</v>
          </cell>
        </row>
        <row r="53">
          <cell r="B53">
            <v>67252</v>
          </cell>
          <cell r="C53">
            <v>87434</v>
          </cell>
          <cell r="D53">
            <v>6989</v>
          </cell>
          <cell r="E53">
            <v>81420</v>
          </cell>
        </row>
        <row r="54">
          <cell r="B54">
            <v>298202</v>
          </cell>
          <cell r="C54">
            <v>337237</v>
          </cell>
          <cell r="D54">
            <v>30873</v>
          </cell>
          <cell r="E54">
            <v>255302</v>
          </cell>
        </row>
        <row r="55">
          <cell r="B55">
            <v>180676</v>
          </cell>
          <cell r="C55">
            <v>105932</v>
          </cell>
          <cell r="D55">
            <v>15246</v>
          </cell>
          <cell r="E55">
            <v>110568</v>
          </cell>
        </row>
        <row r="56">
          <cell r="B56">
            <v>247456</v>
          </cell>
          <cell r="C56">
            <v>209926</v>
          </cell>
          <cell r="D56">
            <v>20325</v>
          </cell>
          <cell r="E56">
            <v>172933</v>
          </cell>
        </row>
        <row r="57">
          <cell r="B57">
            <v>192099</v>
          </cell>
          <cell r="C57">
            <v>140354</v>
          </cell>
          <cell r="D57">
            <v>14554</v>
          </cell>
          <cell r="E57">
            <v>122573</v>
          </cell>
        </row>
        <row r="58">
          <cell r="B58">
            <v>25921</v>
          </cell>
          <cell r="C58">
            <v>11859</v>
          </cell>
          <cell r="D58">
            <v>1223</v>
          </cell>
          <cell r="E58">
            <v>7865</v>
          </cell>
        </row>
        <row r="59">
          <cell r="B59">
            <v>91172</v>
          </cell>
          <cell r="C59">
            <v>22154</v>
          </cell>
          <cell r="D59">
            <v>4883</v>
          </cell>
          <cell r="E59">
            <v>28960</v>
          </cell>
        </row>
        <row r="60">
          <cell r="B60">
            <v>161403</v>
          </cell>
          <cell r="C60">
            <v>87663</v>
          </cell>
          <cell r="D60">
            <v>10108</v>
          </cell>
          <cell r="E60">
            <v>80525</v>
          </cell>
        </row>
        <row r="61">
          <cell r="B61">
            <v>122495</v>
          </cell>
          <cell r="C61">
            <v>112148</v>
          </cell>
          <cell r="D61">
            <v>11912</v>
          </cell>
          <cell r="E61">
            <v>103966</v>
          </cell>
        </row>
        <row r="62">
          <cell r="B62">
            <v>129578</v>
          </cell>
          <cell r="C62">
            <v>49478</v>
          </cell>
          <cell r="D62">
            <v>6777</v>
          </cell>
          <cell r="E62">
            <v>50064</v>
          </cell>
        </row>
        <row r="63">
          <cell r="B63">
            <v>91382</v>
          </cell>
          <cell r="C63">
            <v>83635</v>
          </cell>
          <cell r="D63">
            <v>8939</v>
          </cell>
          <cell r="E63">
            <v>61082</v>
          </cell>
        </row>
        <row r="64">
          <cell r="B64">
            <v>74378</v>
          </cell>
          <cell r="C64">
            <v>24691</v>
          </cell>
          <cell r="D64">
            <v>2732</v>
          </cell>
          <cell r="E64">
            <v>25347</v>
          </cell>
        </row>
        <row r="65">
          <cell r="B65">
            <v>17108</v>
          </cell>
          <cell r="C65">
            <v>5794</v>
          </cell>
          <cell r="D65">
            <v>760</v>
          </cell>
          <cell r="E65">
            <v>3972</v>
          </cell>
        </row>
        <row r="66">
          <cell r="B66">
            <v>7504</v>
          </cell>
          <cell r="C66">
            <v>3051</v>
          </cell>
          <cell r="D66">
            <v>230</v>
          </cell>
          <cell r="E66">
            <v>1062</v>
          </cell>
        </row>
        <row r="67">
          <cell r="B67">
            <v>5070</v>
          </cell>
          <cell r="C67">
            <v>1713</v>
          </cell>
          <cell r="D67">
            <v>150</v>
          </cell>
          <cell r="E67">
            <v>720</v>
          </cell>
        </row>
        <row r="68">
          <cell r="B68">
            <v>167664</v>
          </cell>
          <cell r="C68">
            <v>109293</v>
          </cell>
          <cell r="D68">
            <v>14064</v>
          </cell>
          <cell r="E68">
            <v>105060</v>
          </cell>
        </row>
        <row r="69">
          <cell r="B69">
            <v>13150</v>
          </cell>
          <cell r="C69">
            <v>6319</v>
          </cell>
          <cell r="D69">
            <v>735</v>
          </cell>
          <cell r="E69">
            <v>4045</v>
          </cell>
        </row>
        <row r="70">
          <cell r="B70">
            <v>40962</v>
          </cell>
          <cell r="C70">
            <v>8069</v>
          </cell>
          <cell r="D70">
            <v>1987</v>
          </cell>
          <cell r="E70">
            <v>10679</v>
          </cell>
        </row>
        <row r="71">
          <cell r="B71">
            <v>10017</v>
          </cell>
          <cell r="C71">
            <v>2889</v>
          </cell>
          <cell r="D71">
            <v>303</v>
          </cell>
          <cell r="E71">
            <v>1862</v>
          </cell>
        </row>
      </sheetData>
      <sheetData sheetId="1">
        <row r="5">
          <cell r="B5">
            <v>49464</v>
          </cell>
          <cell r="C5">
            <v>78637</v>
          </cell>
          <cell r="D5">
            <v>5165</v>
          </cell>
          <cell r="E5">
            <v>40586</v>
          </cell>
        </row>
        <row r="6">
          <cell r="B6">
            <v>12948</v>
          </cell>
          <cell r="C6">
            <v>3609</v>
          </cell>
          <cell r="D6">
            <v>431</v>
          </cell>
          <cell r="E6">
            <v>2416</v>
          </cell>
        </row>
        <row r="7">
          <cell r="B7">
            <v>75650</v>
          </cell>
          <cell r="C7">
            <v>26273</v>
          </cell>
          <cell r="D7">
            <v>4697</v>
          </cell>
          <cell r="E7">
            <v>27906</v>
          </cell>
        </row>
        <row r="8">
          <cell r="B8">
            <v>11228</v>
          </cell>
          <cell r="C8">
            <v>4349</v>
          </cell>
          <cell r="D8">
            <v>401</v>
          </cell>
          <cell r="E8">
            <v>2686</v>
          </cell>
        </row>
        <row r="9">
          <cell r="B9">
            <v>204082</v>
          </cell>
          <cell r="C9">
            <v>117216</v>
          </cell>
          <cell r="D9">
            <v>16785</v>
          </cell>
          <cell r="E9">
            <v>113010</v>
          </cell>
        </row>
        <row r="10">
          <cell r="B10">
            <v>275998</v>
          </cell>
          <cell r="C10">
            <v>521104</v>
          </cell>
          <cell r="D10">
            <v>28717</v>
          </cell>
          <cell r="E10">
            <v>346232</v>
          </cell>
        </row>
        <row r="11">
          <cell r="B11">
            <v>4910</v>
          </cell>
          <cell r="C11">
            <v>2369</v>
          </cell>
          <cell r="D11">
            <v>89</v>
          </cell>
          <cell r="E11">
            <v>921</v>
          </cell>
        </row>
        <row r="12">
          <cell r="B12">
            <v>78971</v>
          </cell>
          <cell r="C12">
            <v>30815</v>
          </cell>
          <cell r="D12">
            <v>5884</v>
          </cell>
          <cell r="E12">
            <v>36125</v>
          </cell>
        </row>
        <row r="13">
          <cell r="B13">
            <v>70077</v>
          </cell>
          <cell r="C13">
            <v>22502</v>
          </cell>
          <cell r="D13">
            <v>4102</v>
          </cell>
          <cell r="E13">
            <v>25472</v>
          </cell>
        </row>
        <row r="14">
          <cell r="B14">
            <v>89575</v>
          </cell>
          <cell r="C14">
            <v>32337</v>
          </cell>
          <cell r="D14">
            <v>5163</v>
          </cell>
          <cell r="E14">
            <v>33254</v>
          </cell>
        </row>
        <row r="15">
          <cell r="B15">
            <v>144742</v>
          </cell>
          <cell r="C15">
            <v>53759</v>
          </cell>
          <cell r="D15">
            <v>7107</v>
          </cell>
          <cell r="E15">
            <v>62593</v>
          </cell>
        </row>
        <row r="16">
          <cell r="B16">
            <v>24530</v>
          </cell>
          <cell r="C16">
            <v>10387</v>
          </cell>
          <cell r="D16">
            <v>1227</v>
          </cell>
          <cell r="E16">
            <v>7034</v>
          </cell>
        </row>
        <row r="17">
          <cell r="B17">
            <v>9113</v>
          </cell>
          <cell r="C17">
            <v>5688</v>
          </cell>
          <cell r="D17">
            <v>486</v>
          </cell>
          <cell r="E17">
            <v>4626</v>
          </cell>
        </row>
        <row r="18">
          <cell r="B18">
            <v>7148</v>
          </cell>
          <cell r="C18">
            <v>2190</v>
          </cell>
          <cell r="D18">
            <v>239</v>
          </cell>
          <cell r="E18">
            <v>1762</v>
          </cell>
        </row>
        <row r="19">
          <cell r="B19">
            <v>241377</v>
          </cell>
          <cell r="C19">
            <v>253060</v>
          </cell>
          <cell r="D19">
            <v>21753</v>
          </cell>
          <cell r="E19">
            <v>148557</v>
          </cell>
        </row>
        <row r="20">
          <cell r="B20">
            <v>102577</v>
          </cell>
          <cell r="C20">
            <v>65723</v>
          </cell>
          <cell r="D20">
            <v>6837</v>
          </cell>
          <cell r="E20">
            <v>45311</v>
          </cell>
        </row>
        <row r="21">
          <cell r="B21">
            <v>48954</v>
          </cell>
          <cell r="C21">
            <v>24325</v>
          </cell>
          <cell r="D21">
            <v>3548</v>
          </cell>
          <cell r="E21">
            <v>22430</v>
          </cell>
        </row>
        <row r="22">
          <cell r="B22">
            <v>4041</v>
          </cell>
          <cell r="C22">
            <v>2304</v>
          </cell>
          <cell r="D22">
            <v>275</v>
          </cell>
          <cell r="E22">
            <v>1094</v>
          </cell>
        </row>
        <row r="23">
          <cell r="B23">
            <v>5793</v>
          </cell>
          <cell r="C23">
            <v>18286</v>
          </cell>
          <cell r="D23">
            <v>430</v>
          </cell>
          <cell r="E23">
            <v>2885</v>
          </cell>
        </row>
        <row r="24">
          <cell r="B24">
            <v>9195</v>
          </cell>
          <cell r="C24">
            <v>2022</v>
          </cell>
          <cell r="D24">
            <v>394</v>
          </cell>
          <cell r="E24">
            <v>1893</v>
          </cell>
        </row>
        <row r="25">
          <cell r="B25">
            <v>4142</v>
          </cell>
          <cell r="C25">
            <v>1630</v>
          </cell>
          <cell r="D25">
            <v>190</v>
          </cell>
          <cell r="E25">
            <v>1259</v>
          </cell>
        </row>
        <row r="26">
          <cell r="B26">
            <v>7065</v>
          </cell>
          <cell r="C26">
            <v>2598</v>
          </cell>
          <cell r="D26">
            <v>342</v>
          </cell>
          <cell r="E26">
            <v>1516</v>
          </cell>
        </row>
        <row r="27">
          <cell r="B27">
            <v>3720</v>
          </cell>
          <cell r="C27">
            <v>2543</v>
          </cell>
          <cell r="D27">
            <v>186</v>
          </cell>
          <cell r="E27">
            <v>911</v>
          </cell>
        </row>
        <row r="28">
          <cell r="B28">
            <v>7139</v>
          </cell>
          <cell r="C28">
            <v>3129</v>
          </cell>
          <cell r="D28">
            <v>307</v>
          </cell>
          <cell r="E28">
            <v>2632</v>
          </cell>
        </row>
        <row r="29">
          <cell r="B29">
            <v>8970</v>
          </cell>
          <cell r="C29">
            <v>5373</v>
          </cell>
          <cell r="D29">
            <v>411</v>
          </cell>
          <cell r="E29">
            <v>3604</v>
          </cell>
        </row>
        <row r="30">
          <cell r="B30">
            <v>71508</v>
          </cell>
          <cell r="C30">
            <v>34269</v>
          </cell>
          <cell r="D30">
            <v>5382</v>
          </cell>
          <cell r="E30">
            <v>34795</v>
          </cell>
        </row>
        <row r="31">
          <cell r="B31">
            <v>35306</v>
          </cell>
          <cell r="C31">
            <v>15172</v>
          </cell>
          <cell r="D31">
            <v>2146</v>
          </cell>
          <cell r="E31">
            <v>13841</v>
          </cell>
        </row>
        <row r="32">
          <cell r="B32">
            <v>301940</v>
          </cell>
          <cell r="C32">
            <v>301019</v>
          </cell>
          <cell r="D32">
            <v>26593</v>
          </cell>
          <cell r="E32">
            <v>247649</v>
          </cell>
        </row>
        <row r="33">
          <cell r="B33">
            <v>8036</v>
          </cell>
          <cell r="C33">
            <v>1594</v>
          </cell>
          <cell r="D33">
            <v>246</v>
          </cell>
          <cell r="E33">
            <v>1220</v>
          </cell>
        </row>
        <row r="34">
          <cell r="B34">
            <v>62167</v>
          </cell>
          <cell r="C34">
            <v>27827</v>
          </cell>
          <cell r="D34">
            <v>4239</v>
          </cell>
          <cell r="E34">
            <v>26669</v>
          </cell>
        </row>
        <row r="35">
          <cell r="B35">
            <v>15901</v>
          </cell>
          <cell r="C35">
            <v>8679</v>
          </cell>
          <cell r="D35">
            <v>498</v>
          </cell>
          <cell r="E35">
            <v>2846</v>
          </cell>
        </row>
        <row r="36">
          <cell r="B36">
            <v>4558</v>
          </cell>
          <cell r="C36">
            <v>4028</v>
          </cell>
          <cell r="D36">
            <v>170</v>
          </cell>
          <cell r="E36">
            <v>1182</v>
          </cell>
        </row>
        <row r="37">
          <cell r="B37">
            <v>3380</v>
          </cell>
          <cell r="C37">
            <v>678</v>
          </cell>
          <cell r="D37">
            <v>71</v>
          </cell>
          <cell r="E37">
            <v>316</v>
          </cell>
        </row>
        <row r="38">
          <cell r="B38">
            <v>130239</v>
          </cell>
          <cell r="C38">
            <v>69192</v>
          </cell>
          <cell r="D38">
            <v>9046</v>
          </cell>
          <cell r="E38">
            <v>67432</v>
          </cell>
        </row>
        <row r="39">
          <cell r="B39">
            <v>241033</v>
          </cell>
          <cell r="C39">
            <v>112075</v>
          </cell>
          <cell r="D39">
            <v>15420</v>
          </cell>
          <cell r="E39">
            <v>134877</v>
          </cell>
        </row>
        <row r="40">
          <cell r="B40">
            <v>57406</v>
          </cell>
          <cell r="C40">
            <v>98747</v>
          </cell>
          <cell r="D40">
            <v>5372</v>
          </cell>
          <cell r="E40">
            <v>41721</v>
          </cell>
        </row>
        <row r="41">
          <cell r="B41">
            <v>18400</v>
          </cell>
          <cell r="C41">
            <v>6655</v>
          </cell>
          <cell r="D41">
            <v>1007</v>
          </cell>
          <cell r="E41">
            <v>4568</v>
          </cell>
        </row>
        <row r="42">
          <cell r="B42">
            <v>2743</v>
          </cell>
          <cell r="C42">
            <v>1420</v>
          </cell>
          <cell r="D42">
            <v>19</v>
          </cell>
          <cell r="E42">
            <v>456</v>
          </cell>
        </row>
        <row r="43">
          <cell r="B43">
            <v>5574</v>
          </cell>
          <cell r="C43">
            <v>5050</v>
          </cell>
          <cell r="D43">
            <v>141</v>
          </cell>
          <cell r="E43">
            <v>1560</v>
          </cell>
        </row>
        <row r="44">
          <cell r="B44">
            <v>137305</v>
          </cell>
          <cell r="C44">
            <v>70930</v>
          </cell>
          <cell r="D44">
            <v>8708</v>
          </cell>
          <cell r="E44">
            <v>67797</v>
          </cell>
        </row>
        <row r="45">
          <cell r="B45">
            <v>137758</v>
          </cell>
          <cell r="C45">
            <v>71859</v>
          </cell>
          <cell r="D45">
            <v>8676</v>
          </cell>
          <cell r="E45">
            <v>56682</v>
          </cell>
        </row>
        <row r="46">
          <cell r="B46">
            <v>62730</v>
          </cell>
          <cell r="C46">
            <v>25261</v>
          </cell>
          <cell r="D46">
            <v>4367</v>
          </cell>
          <cell r="E46">
            <v>25863</v>
          </cell>
        </row>
        <row r="47">
          <cell r="B47">
            <v>497640</v>
          </cell>
          <cell r="C47">
            <v>521461</v>
          </cell>
          <cell r="D47">
            <v>33416</v>
          </cell>
          <cell r="E47">
            <v>494353</v>
          </cell>
        </row>
        <row r="48">
          <cell r="B48">
            <v>24004</v>
          </cell>
          <cell r="C48">
            <v>14984</v>
          </cell>
          <cell r="D48">
            <v>1854</v>
          </cell>
          <cell r="E48">
            <v>12459</v>
          </cell>
        </row>
        <row r="49">
          <cell r="B49">
            <v>47556</v>
          </cell>
          <cell r="C49">
            <v>13520</v>
          </cell>
          <cell r="D49">
            <v>2687</v>
          </cell>
          <cell r="E49">
            <v>14951</v>
          </cell>
        </row>
        <row r="50">
          <cell r="B50">
            <v>88440</v>
          </cell>
          <cell r="C50">
            <v>26002</v>
          </cell>
          <cell r="D50">
            <v>4953</v>
          </cell>
          <cell r="E50">
            <v>35189</v>
          </cell>
        </row>
        <row r="51">
          <cell r="B51">
            <v>12359</v>
          </cell>
          <cell r="C51">
            <v>4728</v>
          </cell>
          <cell r="D51">
            <v>740</v>
          </cell>
          <cell r="E51">
            <v>3542</v>
          </cell>
        </row>
        <row r="52">
          <cell r="B52">
            <v>226814</v>
          </cell>
          <cell r="C52">
            <v>328725</v>
          </cell>
          <cell r="D52">
            <v>25897</v>
          </cell>
          <cell r="E52">
            <v>252400</v>
          </cell>
        </row>
        <row r="53">
          <cell r="B53">
            <v>68171</v>
          </cell>
          <cell r="C53">
            <v>87958</v>
          </cell>
          <cell r="D53">
            <v>7380</v>
          </cell>
          <cell r="E53">
            <v>81991</v>
          </cell>
        </row>
        <row r="54">
          <cell r="B54">
            <v>299370</v>
          </cell>
          <cell r="C54">
            <v>337230</v>
          </cell>
          <cell r="D54">
            <v>31261</v>
          </cell>
          <cell r="E54">
            <v>256132</v>
          </cell>
        </row>
        <row r="55">
          <cell r="B55">
            <v>181446</v>
          </cell>
          <cell r="C55">
            <v>105859</v>
          </cell>
          <cell r="D55">
            <v>15545</v>
          </cell>
          <cell r="E55">
            <v>110830</v>
          </cell>
        </row>
        <row r="56">
          <cell r="B56">
            <v>246493</v>
          </cell>
          <cell r="C56">
            <v>207966</v>
          </cell>
          <cell r="D56">
            <v>20342</v>
          </cell>
          <cell r="E56">
            <v>171903</v>
          </cell>
        </row>
        <row r="57">
          <cell r="B57">
            <v>192794</v>
          </cell>
          <cell r="C57">
            <v>140583</v>
          </cell>
          <cell r="D57">
            <v>14837</v>
          </cell>
          <cell r="E57">
            <v>123187</v>
          </cell>
        </row>
        <row r="58">
          <cell r="B58">
            <v>26041</v>
          </cell>
          <cell r="C58">
            <v>11853</v>
          </cell>
          <cell r="D58">
            <v>1209</v>
          </cell>
          <cell r="E58">
            <v>7920</v>
          </cell>
        </row>
        <row r="59">
          <cell r="B59">
            <v>91642</v>
          </cell>
          <cell r="C59">
            <v>22197</v>
          </cell>
          <cell r="D59">
            <v>4926</v>
          </cell>
          <cell r="E59">
            <v>28998</v>
          </cell>
        </row>
        <row r="60">
          <cell r="B60">
            <v>160820</v>
          </cell>
          <cell r="C60">
            <v>86777</v>
          </cell>
          <cell r="D60">
            <v>10151</v>
          </cell>
          <cell r="E60">
            <v>79964</v>
          </cell>
        </row>
        <row r="61">
          <cell r="B61">
            <v>122537</v>
          </cell>
          <cell r="C61">
            <v>111939</v>
          </cell>
          <cell r="D61">
            <v>12079</v>
          </cell>
          <cell r="E61">
            <v>103866</v>
          </cell>
        </row>
        <row r="62">
          <cell r="B62">
            <v>130390</v>
          </cell>
          <cell r="C62">
            <v>49585</v>
          </cell>
          <cell r="D62">
            <v>6896</v>
          </cell>
          <cell r="E62">
            <v>50441</v>
          </cell>
        </row>
        <row r="63">
          <cell r="B63">
            <v>91878</v>
          </cell>
          <cell r="C63">
            <v>83832</v>
          </cell>
          <cell r="D63">
            <v>9113</v>
          </cell>
          <cell r="E63">
            <v>61358</v>
          </cell>
        </row>
        <row r="64">
          <cell r="B64">
            <v>74562</v>
          </cell>
          <cell r="C64">
            <v>24606</v>
          </cell>
          <cell r="D64">
            <v>2771</v>
          </cell>
          <cell r="E64">
            <v>25395</v>
          </cell>
        </row>
        <row r="65">
          <cell r="B65">
            <v>17179</v>
          </cell>
          <cell r="C65">
            <v>5788</v>
          </cell>
          <cell r="D65">
            <v>783</v>
          </cell>
          <cell r="E65">
            <v>3980</v>
          </cell>
        </row>
        <row r="66">
          <cell r="B66">
            <v>7455</v>
          </cell>
          <cell r="C66">
            <v>3011</v>
          </cell>
          <cell r="D66">
            <v>217</v>
          </cell>
          <cell r="E66">
            <v>1063</v>
          </cell>
        </row>
        <row r="67">
          <cell r="B67">
            <v>5065</v>
          </cell>
          <cell r="C67">
            <v>1700</v>
          </cell>
          <cell r="D67">
            <v>151</v>
          </cell>
          <cell r="E67">
            <v>721</v>
          </cell>
        </row>
        <row r="68">
          <cell r="B68">
            <v>168510</v>
          </cell>
          <cell r="C68">
            <v>109350</v>
          </cell>
          <cell r="D68">
            <v>13799</v>
          </cell>
          <cell r="E68">
            <v>105932</v>
          </cell>
        </row>
        <row r="69">
          <cell r="B69">
            <v>13243</v>
          </cell>
          <cell r="C69">
            <v>6329</v>
          </cell>
          <cell r="D69">
            <v>762</v>
          </cell>
          <cell r="E69">
            <v>4067</v>
          </cell>
        </row>
        <row r="70">
          <cell r="B70">
            <v>41207</v>
          </cell>
          <cell r="C70">
            <v>8044</v>
          </cell>
          <cell r="D70">
            <v>1923</v>
          </cell>
          <cell r="E70">
            <v>10758</v>
          </cell>
        </row>
        <row r="71">
          <cell r="B71">
            <v>10091</v>
          </cell>
          <cell r="C71">
            <v>2882</v>
          </cell>
          <cell r="D71">
            <v>310</v>
          </cell>
          <cell r="E71">
            <v>1873</v>
          </cell>
        </row>
      </sheetData>
      <sheetData sheetId="2">
        <row r="5">
          <cell r="B5">
            <v>49402</v>
          </cell>
          <cell r="C5">
            <v>78192</v>
          </cell>
          <cell r="D5">
            <v>4980</v>
          </cell>
          <cell r="E5">
            <v>40698</v>
          </cell>
          <cell r="F5">
            <v>173272</v>
          </cell>
        </row>
        <row r="6">
          <cell r="B6">
            <v>12979</v>
          </cell>
          <cell r="C6">
            <v>3605</v>
          </cell>
          <cell r="D6">
            <v>418</v>
          </cell>
          <cell r="E6">
            <v>2434</v>
          </cell>
          <cell r="F6">
            <v>19436</v>
          </cell>
        </row>
        <row r="7">
          <cell r="B7">
            <v>75871</v>
          </cell>
          <cell r="C7">
            <v>26260</v>
          </cell>
          <cell r="D7">
            <v>4529</v>
          </cell>
          <cell r="E7">
            <v>28170</v>
          </cell>
          <cell r="F7">
            <v>134830</v>
          </cell>
        </row>
        <row r="8">
          <cell r="B8">
            <v>11253</v>
          </cell>
          <cell r="C8">
            <v>4345</v>
          </cell>
          <cell r="D8">
            <v>411</v>
          </cell>
          <cell r="E8">
            <v>2683</v>
          </cell>
          <cell r="F8">
            <v>18692</v>
          </cell>
        </row>
        <row r="9">
          <cell r="B9">
            <v>204406</v>
          </cell>
          <cell r="C9">
            <v>117070</v>
          </cell>
          <cell r="D9">
            <v>16339</v>
          </cell>
          <cell r="E9">
            <v>113783</v>
          </cell>
          <cell r="F9">
            <v>451598</v>
          </cell>
        </row>
        <row r="10">
          <cell r="B10">
            <v>277596</v>
          </cell>
          <cell r="C10">
            <v>521867</v>
          </cell>
          <cell r="D10">
            <v>28112</v>
          </cell>
          <cell r="E10">
            <v>349418</v>
          </cell>
          <cell r="F10">
            <v>1176993</v>
          </cell>
        </row>
        <row r="11">
          <cell r="B11">
            <v>4673</v>
          </cell>
          <cell r="C11">
            <v>1975</v>
          </cell>
          <cell r="D11">
            <v>84</v>
          </cell>
          <cell r="E11">
            <v>711</v>
          </cell>
          <cell r="F11">
            <v>7443</v>
          </cell>
        </row>
        <row r="12">
          <cell r="B12">
            <v>79456</v>
          </cell>
          <cell r="C12">
            <v>30832</v>
          </cell>
          <cell r="D12">
            <v>5732</v>
          </cell>
          <cell r="E12">
            <v>36433</v>
          </cell>
          <cell r="F12">
            <v>152453</v>
          </cell>
        </row>
        <row r="13">
          <cell r="B13">
            <v>66959</v>
          </cell>
          <cell r="C13">
            <v>20739</v>
          </cell>
          <cell r="D13">
            <v>3965</v>
          </cell>
          <cell r="E13">
            <v>22323</v>
          </cell>
          <cell r="F13">
            <v>113986</v>
          </cell>
        </row>
        <row r="14">
          <cell r="B14">
            <v>89336</v>
          </cell>
          <cell r="C14">
            <v>32115</v>
          </cell>
          <cell r="D14">
            <v>5189</v>
          </cell>
          <cell r="E14">
            <v>32976</v>
          </cell>
          <cell r="F14">
            <v>159616</v>
          </cell>
        </row>
        <row r="15">
          <cell r="B15">
            <v>145228</v>
          </cell>
          <cell r="C15">
            <v>53803</v>
          </cell>
          <cell r="D15">
            <v>7227</v>
          </cell>
          <cell r="E15">
            <v>62648</v>
          </cell>
          <cell r="F15">
            <v>268906</v>
          </cell>
        </row>
        <row r="16">
          <cell r="B16">
            <v>24595</v>
          </cell>
          <cell r="C16">
            <v>10383</v>
          </cell>
          <cell r="D16">
            <v>1242</v>
          </cell>
          <cell r="E16">
            <v>7023</v>
          </cell>
          <cell r="F16">
            <v>43243</v>
          </cell>
        </row>
        <row r="17">
          <cell r="B17">
            <v>9134</v>
          </cell>
          <cell r="C17">
            <v>5676</v>
          </cell>
          <cell r="D17">
            <v>464</v>
          </cell>
          <cell r="E17">
            <v>4648</v>
          </cell>
          <cell r="F17">
            <v>19922</v>
          </cell>
        </row>
        <row r="18">
          <cell r="B18">
            <v>7147</v>
          </cell>
          <cell r="C18">
            <v>2182</v>
          </cell>
          <cell r="D18">
            <v>232</v>
          </cell>
          <cell r="E18">
            <v>1768</v>
          </cell>
          <cell r="F18">
            <v>11329</v>
          </cell>
        </row>
        <row r="19">
          <cell r="B19">
            <v>239189</v>
          </cell>
          <cell r="C19">
            <v>249770</v>
          </cell>
          <cell r="D19">
            <v>20701</v>
          </cell>
          <cell r="E19">
            <v>146907</v>
          </cell>
          <cell r="F19">
            <v>656567</v>
          </cell>
        </row>
        <row r="20">
          <cell r="B20">
            <v>102964</v>
          </cell>
          <cell r="C20">
            <v>65763</v>
          </cell>
          <cell r="D20">
            <v>6604</v>
          </cell>
          <cell r="E20">
            <v>45788</v>
          </cell>
          <cell r="F20">
            <v>221119</v>
          </cell>
        </row>
        <row r="21">
          <cell r="B21">
            <v>49221</v>
          </cell>
          <cell r="C21">
            <v>24374</v>
          </cell>
          <cell r="D21">
            <v>3499</v>
          </cell>
          <cell r="E21">
            <v>22603</v>
          </cell>
          <cell r="F21">
            <v>99697</v>
          </cell>
        </row>
        <row r="22">
          <cell r="B22">
            <v>4050</v>
          </cell>
          <cell r="C22">
            <v>2306</v>
          </cell>
          <cell r="D22">
            <v>264</v>
          </cell>
          <cell r="E22">
            <v>1114</v>
          </cell>
          <cell r="F22">
            <v>7734</v>
          </cell>
        </row>
        <row r="23">
          <cell r="B23">
            <v>5815</v>
          </cell>
          <cell r="C23">
            <v>18274</v>
          </cell>
          <cell r="D23">
            <v>436</v>
          </cell>
          <cell r="E23">
            <v>2892</v>
          </cell>
          <cell r="F23">
            <v>27417</v>
          </cell>
        </row>
        <row r="24">
          <cell r="B24">
            <v>9196</v>
          </cell>
          <cell r="C24">
            <v>2006</v>
          </cell>
          <cell r="D24">
            <v>380</v>
          </cell>
          <cell r="E24">
            <v>1888</v>
          </cell>
          <cell r="F24">
            <v>13470</v>
          </cell>
        </row>
        <row r="25">
          <cell r="B25">
            <v>4148</v>
          </cell>
          <cell r="C25">
            <v>1629</v>
          </cell>
          <cell r="D25">
            <v>194</v>
          </cell>
          <cell r="E25">
            <v>1264</v>
          </cell>
          <cell r="F25">
            <v>7235</v>
          </cell>
        </row>
        <row r="26">
          <cell r="B26">
            <v>7104</v>
          </cell>
          <cell r="C26">
            <v>2594</v>
          </cell>
          <cell r="D26">
            <v>335</v>
          </cell>
          <cell r="E26">
            <v>1519</v>
          </cell>
          <cell r="F26">
            <v>11552</v>
          </cell>
        </row>
        <row r="27">
          <cell r="B27">
            <v>3707</v>
          </cell>
          <cell r="C27">
            <v>2549</v>
          </cell>
          <cell r="D27">
            <v>175</v>
          </cell>
          <cell r="E27">
            <v>924</v>
          </cell>
          <cell r="F27">
            <v>7355</v>
          </cell>
        </row>
        <row r="28">
          <cell r="B28">
            <v>7168</v>
          </cell>
          <cell r="C28">
            <v>3127</v>
          </cell>
          <cell r="D28">
            <v>291</v>
          </cell>
          <cell r="E28">
            <v>2649</v>
          </cell>
          <cell r="F28">
            <v>13235</v>
          </cell>
        </row>
        <row r="29">
          <cell r="B29">
            <v>8989</v>
          </cell>
          <cell r="C29">
            <v>5372</v>
          </cell>
          <cell r="D29">
            <v>419</v>
          </cell>
          <cell r="E29">
            <v>3607</v>
          </cell>
          <cell r="F29">
            <v>18387</v>
          </cell>
        </row>
        <row r="30">
          <cell r="B30">
            <v>71723</v>
          </cell>
          <cell r="C30">
            <v>34264</v>
          </cell>
          <cell r="D30">
            <v>5253</v>
          </cell>
          <cell r="E30">
            <v>35004</v>
          </cell>
          <cell r="F30">
            <v>146244</v>
          </cell>
        </row>
        <row r="31">
          <cell r="B31">
            <v>35445</v>
          </cell>
          <cell r="C31">
            <v>15193</v>
          </cell>
          <cell r="D31">
            <v>2084</v>
          </cell>
          <cell r="E31">
            <v>13974</v>
          </cell>
          <cell r="F31">
            <v>66696</v>
          </cell>
        </row>
        <row r="32">
          <cell r="B32">
            <v>301636</v>
          </cell>
          <cell r="C32">
            <v>299127</v>
          </cell>
          <cell r="D32">
            <v>26713</v>
          </cell>
          <cell r="E32">
            <v>246390</v>
          </cell>
          <cell r="F32">
            <v>873866</v>
          </cell>
        </row>
        <row r="33">
          <cell r="B33">
            <v>8056</v>
          </cell>
          <cell r="C33">
            <v>1590</v>
          </cell>
          <cell r="D33">
            <v>240</v>
          </cell>
          <cell r="E33">
            <v>1237</v>
          </cell>
          <cell r="F33">
            <v>11123</v>
          </cell>
        </row>
        <row r="34">
          <cell r="B34">
            <v>59944</v>
          </cell>
          <cell r="C34">
            <v>25532</v>
          </cell>
          <cell r="D34">
            <v>4079</v>
          </cell>
          <cell r="E34">
            <v>23875</v>
          </cell>
          <cell r="F34">
            <v>113430</v>
          </cell>
        </row>
        <row r="35">
          <cell r="B35">
            <v>15277</v>
          </cell>
          <cell r="C35">
            <v>7914</v>
          </cell>
          <cell r="D35">
            <v>487</v>
          </cell>
          <cell r="E35">
            <v>2526</v>
          </cell>
          <cell r="F35">
            <v>26204</v>
          </cell>
        </row>
        <row r="36">
          <cell r="B36">
            <v>4509</v>
          </cell>
          <cell r="C36">
            <v>3836</v>
          </cell>
          <cell r="D36">
            <v>165</v>
          </cell>
          <cell r="E36">
            <v>1123</v>
          </cell>
          <cell r="F36">
            <v>9633</v>
          </cell>
        </row>
        <row r="37">
          <cell r="B37">
            <v>3379</v>
          </cell>
          <cell r="C37">
            <v>671</v>
          </cell>
          <cell r="D37">
            <v>70</v>
          </cell>
          <cell r="E37">
            <v>312</v>
          </cell>
          <cell r="F37">
            <v>4432</v>
          </cell>
        </row>
        <row r="38">
          <cell r="B38">
            <v>130688</v>
          </cell>
          <cell r="C38">
            <v>69275</v>
          </cell>
          <cell r="D38">
            <v>8715</v>
          </cell>
          <cell r="E38">
            <v>68164</v>
          </cell>
          <cell r="F38">
            <v>276842</v>
          </cell>
        </row>
        <row r="39">
          <cell r="B39">
            <v>242053</v>
          </cell>
          <cell r="C39">
            <v>112243</v>
          </cell>
          <cell r="D39">
            <v>15641</v>
          </cell>
          <cell r="E39">
            <v>135295</v>
          </cell>
          <cell r="F39">
            <v>505232</v>
          </cell>
        </row>
        <row r="40">
          <cell r="B40">
            <v>57457</v>
          </cell>
          <cell r="C40">
            <v>98569</v>
          </cell>
          <cell r="D40">
            <v>5456</v>
          </cell>
          <cell r="E40">
            <v>41805</v>
          </cell>
          <cell r="F40">
            <v>203287</v>
          </cell>
        </row>
        <row r="41">
          <cell r="B41">
            <v>17559</v>
          </cell>
          <cell r="C41">
            <v>6028</v>
          </cell>
          <cell r="D41">
            <v>922</v>
          </cell>
          <cell r="E41">
            <v>3933</v>
          </cell>
          <cell r="F41">
            <v>28442</v>
          </cell>
        </row>
        <row r="42">
          <cell r="B42">
            <v>2749</v>
          </cell>
          <cell r="C42">
            <v>1366</v>
          </cell>
          <cell r="D42">
            <v>20</v>
          </cell>
          <cell r="E42">
            <v>453</v>
          </cell>
          <cell r="F42">
            <v>4588</v>
          </cell>
        </row>
        <row r="43">
          <cell r="B43">
            <v>5589</v>
          </cell>
          <cell r="C43">
            <v>5035</v>
          </cell>
          <cell r="D43">
            <v>137</v>
          </cell>
          <cell r="E43">
            <v>1571</v>
          </cell>
          <cell r="F43">
            <v>12332</v>
          </cell>
        </row>
        <row r="44">
          <cell r="B44">
            <v>137436</v>
          </cell>
          <cell r="C44">
            <v>70755</v>
          </cell>
          <cell r="D44">
            <v>8499</v>
          </cell>
          <cell r="E44">
            <v>68190</v>
          </cell>
          <cell r="F44">
            <v>284880</v>
          </cell>
        </row>
        <row r="45">
          <cell r="B45">
            <v>138472</v>
          </cell>
          <cell r="C45">
            <v>71973</v>
          </cell>
          <cell r="D45">
            <v>8849</v>
          </cell>
          <cell r="E45">
            <v>56951</v>
          </cell>
          <cell r="F45">
            <v>276245</v>
          </cell>
        </row>
        <row r="46">
          <cell r="B46">
            <v>62861</v>
          </cell>
          <cell r="C46">
            <v>25208</v>
          </cell>
          <cell r="D46">
            <v>4318</v>
          </cell>
          <cell r="E46">
            <v>25936</v>
          </cell>
          <cell r="F46">
            <v>118323</v>
          </cell>
        </row>
        <row r="47">
          <cell r="B47">
            <v>496859</v>
          </cell>
          <cell r="C47">
            <v>518190</v>
          </cell>
          <cell r="D47">
            <v>32559</v>
          </cell>
          <cell r="E47">
            <v>493329</v>
          </cell>
          <cell r="F47">
            <v>1540937</v>
          </cell>
        </row>
        <row r="48">
          <cell r="B48">
            <v>24147</v>
          </cell>
          <cell r="C48">
            <v>14968</v>
          </cell>
          <cell r="D48">
            <v>1802</v>
          </cell>
          <cell r="E48">
            <v>12576</v>
          </cell>
          <cell r="F48">
            <v>53493</v>
          </cell>
        </row>
        <row r="49">
          <cell r="B49">
            <v>47703</v>
          </cell>
          <cell r="C49">
            <v>13518</v>
          </cell>
          <cell r="D49">
            <v>2720</v>
          </cell>
          <cell r="E49">
            <v>14985</v>
          </cell>
          <cell r="F49">
            <v>78926</v>
          </cell>
        </row>
        <row r="50">
          <cell r="B50">
            <v>88654</v>
          </cell>
          <cell r="C50">
            <v>26040</v>
          </cell>
          <cell r="D50">
            <v>5033</v>
          </cell>
          <cell r="E50">
            <v>35216</v>
          </cell>
          <cell r="F50">
            <v>154943</v>
          </cell>
        </row>
        <row r="51">
          <cell r="B51">
            <v>12346</v>
          </cell>
          <cell r="C51">
            <v>4707</v>
          </cell>
          <cell r="D51">
            <v>715</v>
          </cell>
          <cell r="E51">
            <v>3532</v>
          </cell>
          <cell r="F51">
            <v>21300</v>
          </cell>
        </row>
        <row r="52">
          <cell r="B52">
            <v>227418</v>
          </cell>
          <cell r="C52">
            <v>328725</v>
          </cell>
          <cell r="D52">
            <v>26272</v>
          </cell>
          <cell r="E52">
            <v>252505</v>
          </cell>
          <cell r="F52">
            <v>834920</v>
          </cell>
        </row>
        <row r="53">
          <cell r="B53">
            <v>68075</v>
          </cell>
          <cell r="C53">
            <v>87439</v>
          </cell>
          <cell r="D53">
            <v>7428</v>
          </cell>
          <cell r="E53">
            <v>81395</v>
          </cell>
          <cell r="F53">
            <v>244337</v>
          </cell>
        </row>
        <row r="54">
          <cell r="B54">
            <v>299591</v>
          </cell>
          <cell r="C54">
            <v>336392</v>
          </cell>
          <cell r="D54">
            <v>30567</v>
          </cell>
          <cell r="E54">
            <v>257293</v>
          </cell>
          <cell r="F54">
            <v>923843</v>
          </cell>
        </row>
        <row r="55">
          <cell r="B55">
            <v>171861</v>
          </cell>
          <cell r="C55">
            <v>95892</v>
          </cell>
          <cell r="D55">
            <v>14088</v>
          </cell>
          <cell r="E55">
            <v>96556</v>
          </cell>
          <cell r="F55">
            <v>378397</v>
          </cell>
        </row>
        <row r="56">
          <cell r="B56">
            <v>246827</v>
          </cell>
          <cell r="C56">
            <v>207534</v>
          </cell>
          <cell r="D56">
            <v>19952</v>
          </cell>
          <cell r="E56">
            <v>172530</v>
          </cell>
          <cell r="F56">
            <v>646843</v>
          </cell>
        </row>
        <row r="57">
          <cell r="B57">
            <v>193649</v>
          </cell>
          <cell r="C57">
            <v>140962</v>
          </cell>
          <cell r="D57">
            <v>15160</v>
          </cell>
          <cell r="E57">
            <v>123856</v>
          </cell>
          <cell r="F57">
            <v>473627</v>
          </cell>
        </row>
        <row r="58">
          <cell r="B58">
            <v>26166</v>
          </cell>
          <cell r="C58">
            <v>11852</v>
          </cell>
          <cell r="D58">
            <v>1236</v>
          </cell>
          <cell r="E58">
            <v>7954</v>
          </cell>
          <cell r="F58">
            <v>47208</v>
          </cell>
        </row>
        <row r="59">
          <cell r="B59">
            <v>92020</v>
          </cell>
          <cell r="C59">
            <v>22226</v>
          </cell>
          <cell r="D59">
            <v>4741</v>
          </cell>
          <cell r="E59">
            <v>29337</v>
          </cell>
          <cell r="F59">
            <v>148324</v>
          </cell>
        </row>
        <row r="60">
          <cell r="B60">
            <v>160954</v>
          </cell>
          <cell r="C60">
            <v>86423</v>
          </cell>
          <cell r="D60">
            <v>9843</v>
          </cell>
          <cell r="E60">
            <v>80405</v>
          </cell>
          <cell r="F60">
            <v>337625</v>
          </cell>
        </row>
        <row r="61">
          <cell r="B61">
            <v>122852</v>
          </cell>
          <cell r="C61">
            <v>112142</v>
          </cell>
          <cell r="D61">
            <v>11765</v>
          </cell>
          <cell r="E61">
            <v>104765</v>
          </cell>
          <cell r="F61">
            <v>351524</v>
          </cell>
        </row>
        <row r="62">
          <cell r="B62">
            <v>130998</v>
          </cell>
          <cell r="C62">
            <v>49684</v>
          </cell>
          <cell r="D62">
            <v>6786</v>
          </cell>
          <cell r="E62">
            <v>50898</v>
          </cell>
          <cell r="F62">
            <v>238366</v>
          </cell>
        </row>
        <row r="63">
          <cell r="B63">
            <v>92417</v>
          </cell>
          <cell r="C63">
            <v>84111</v>
          </cell>
          <cell r="D63">
            <v>9248</v>
          </cell>
          <cell r="E63">
            <v>61645</v>
          </cell>
          <cell r="F63">
            <v>247421</v>
          </cell>
        </row>
        <row r="64">
          <cell r="B64">
            <v>74893</v>
          </cell>
          <cell r="C64">
            <v>24581</v>
          </cell>
          <cell r="D64">
            <v>2825</v>
          </cell>
          <cell r="E64">
            <v>25526</v>
          </cell>
          <cell r="F64">
            <v>127825</v>
          </cell>
        </row>
        <row r="65">
          <cell r="B65">
            <v>17230</v>
          </cell>
          <cell r="C65">
            <v>5789</v>
          </cell>
          <cell r="D65">
            <v>804</v>
          </cell>
          <cell r="E65">
            <v>3982</v>
          </cell>
          <cell r="F65">
            <v>27805</v>
          </cell>
        </row>
        <row r="66">
          <cell r="B66">
            <v>7483</v>
          </cell>
          <cell r="C66">
            <v>3008</v>
          </cell>
          <cell r="D66">
            <v>219</v>
          </cell>
          <cell r="E66">
            <v>1056</v>
          </cell>
          <cell r="F66">
            <v>11766</v>
          </cell>
        </row>
        <row r="67">
          <cell r="B67">
            <v>5068</v>
          </cell>
          <cell r="C67">
            <v>1697</v>
          </cell>
          <cell r="D67">
            <v>147</v>
          </cell>
          <cell r="E67">
            <v>726</v>
          </cell>
          <cell r="F67">
            <v>7638</v>
          </cell>
        </row>
        <row r="68">
          <cell r="B68">
            <v>169240</v>
          </cell>
          <cell r="C68">
            <v>109379</v>
          </cell>
          <cell r="D68">
            <v>14010</v>
          </cell>
          <cell r="E68">
            <v>106184</v>
          </cell>
          <cell r="F68">
            <v>398813</v>
          </cell>
        </row>
        <row r="69">
          <cell r="B69">
            <v>13278</v>
          </cell>
          <cell r="C69">
            <v>6305</v>
          </cell>
          <cell r="D69">
            <v>749</v>
          </cell>
          <cell r="E69">
            <v>4068</v>
          </cell>
          <cell r="F69">
            <v>24400</v>
          </cell>
        </row>
        <row r="70">
          <cell r="B70">
            <v>41444</v>
          </cell>
          <cell r="C70">
            <v>8040</v>
          </cell>
          <cell r="D70">
            <v>1959</v>
          </cell>
          <cell r="E70">
            <v>10795</v>
          </cell>
          <cell r="F70">
            <v>62238</v>
          </cell>
        </row>
        <row r="71">
          <cell r="B71">
            <v>10151</v>
          </cell>
          <cell r="C71">
            <v>2893</v>
          </cell>
          <cell r="D71">
            <v>311</v>
          </cell>
          <cell r="E71">
            <v>1897</v>
          </cell>
          <cell r="F71">
            <v>15252</v>
          </cell>
        </row>
      </sheetData>
      <sheetData sheetId="3">
        <row r="5">
          <cell r="B5">
            <v>49447</v>
          </cell>
          <cell r="C5">
            <v>78106</v>
          </cell>
          <cell r="D5">
            <v>5057</v>
          </cell>
          <cell r="E5">
            <v>40793</v>
          </cell>
          <cell r="F5">
            <v>173403</v>
          </cell>
        </row>
        <row r="6">
          <cell r="B6">
            <v>12971</v>
          </cell>
          <cell r="C6">
            <v>3583</v>
          </cell>
          <cell r="D6">
            <v>415</v>
          </cell>
          <cell r="E6">
            <v>2420</v>
          </cell>
          <cell r="F6">
            <v>19389</v>
          </cell>
        </row>
        <row r="7">
          <cell r="B7">
            <v>76182</v>
          </cell>
          <cell r="C7">
            <v>26314</v>
          </cell>
          <cell r="D7">
            <v>4636</v>
          </cell>
          <cell r="E7">
            <v>28224</v>
          </cell>
          <cell r="F7">
            <v>135356</v>
          </cell>
        </row>
        <row r="8">
          <cell r="B8">
            <v>11193</v>
          </cell>
          <cell r="C8">
            <v>4296</v>
          </cell>
          <cell r="D8">
            <v>408</v>
          </cell>
          <cell r="E8">
            <v>2655</v>
          </cell>
          <cell r="F8">
            <v>18552</v>
          </cell>
        </row>
        <row r="9">
          <cell r="B9">
            <v>204125</v>
          </cell>
          <cell r="C9">
            <v>116416</v>
          </cell>
          <cell r="D9">
            <v>16390</v>
          </cell>
          <cell r="E9">
            <v>113184</v>
          </cell>
          <cell r="F9">
            <v>450115</v>
          </cell>
        </row>
        <row r="10">
          <cell r="B10">
            <v>278448</v>
          </cell>
          <cell r="C10">
            <v>521756</v>
          </cell>
          <cell r="D10">
            <v>28491</v>
          </cell>
          <cell r="E10">
            <v>350699</v>
          </cell>
          <cell r="F10">
            <v>1179394</v>
          </cell>
        </row>
        <row r="11">
          <cell r="B11">
            <v>4680</v>
          </cell>
          <cell r="C11">
            <v>1964</v>
          </cell>
          <cell r="D11">
            <v>84</v>
          </cell>
          <cell r="E11">
            <v>719</v>
          </cell>
          <cell r="F11">
            <v>7447</v>
          </cell>
        </row>
        <row r="12">
          <cell r="B12">
            <v>79829</v>
          </cell>
          <cell r="C12">
            <v>30844</v>
          </cell>
          <cell r="D12">
            <v>5805</v>
          </cell>
          <cell r="E12">
            <v>36546</v>
          </cell>
          <cell r="F12">
            <v>153024</v>
          </cell>
        </row>
        <row r="13">
          <cell r="B13">
            <v>66869</v>
          </cell>
          <cell r="C13">
            <v>20596</v>
          </cell>
          <cell r="D13">
            <v>4012</v>
          </cell>
          <cell r="E13">
            <v>22261</v>
          </cell>
          <cell r="F13">
            <v>113738</v>
          </cell>
        </row>
        <row r="14">
          <cell r="B14">
            <v>89566</v>
          </cell>
          <cell r="C14">
            <v>32221</v>
          </cell>
          <cell r="D14">
            <v>5283</v>
          </cell>
          <cell r="E14">
            <v>33046</v>
          </cell>
          <cell r="F14">
            <v>160116</v>
          </cell>
        </row>
        <row r="15">
          <cell r="B15">
            <v>145398</v>
          </cell>
          <cell r="C15">
            <v>53659</v>
          </cell>
          <cell r="D15">
            <v>7348</v>
          </cell>
          <cell r="E15">
            <v>62590</v>
          </cell>
          <cell r="F15">
            <v>268995</v>
          </cell>
        </row>
        <row r="16">
          <cell r="B16">
            <v>24680</v>
          </cell>
          <cell r="C16">
            <v>10386</v>
          </cell>
          <cell r="D16">
            <v>1192</v>
          </cell>
          <cell r="E16">
            <v>7146</v>
          </cell>
          <cell r="F16">
            <v>43404</v>
          </cell>
        </row>
        <row r="17">
          <cell r="B17">
            <v>9164</v>
          </cell>
          <cell r="C17">
            <v>5670</v>
          </cell>
          <cell r="D17">
            <v>477</v>
          </cell>
          <cell r="E17">
            <v>4663</v>
          </cell>
          <cell r="F17">
            <v>19974</v>
          </cell>
        </row>
        <row r="18">
          <cell r="B18">
            <v>7154</v>
          </cell>
          <cell r="C18">
            <v>2169</v>
          </cell>
          <cell r="D18">
            <v>236</v>
          </cell>
          <cell r="E18">
            <v>1771</v>
          </cell>
          <cell r="F18">
            <v>11330</v>
          </cell>
        </row>
        <row r="19">
          <cell r="B19">
            <v>239429</v>
          </cell>
          <cell r="C19">
            <v>249856</v>
          </cell>
          <cell r="D19">
            <v>20999</v>
          </cell>
          <cell r="E19">
            <v>147129</v>
          </cell>
          <cell r="F19">
            <v>657413</v>
          </cell>
        </row>
        <row r="20">
          <cell r="B20">
            <v>103305</v>
          </cell>
          <cell r="C20">
            <v>65891</v>
          </cell>
          <cell r="D20">
            <v>6714</v>
          </cell>
          <cell r="E20">
            <v>45963</v>
          </cell>
          <cell r="F20">
            <v>221873</v>
          </cell>
        </row>
        <row r="21">
          <cell r="B21">
            <v>49398</v>
          </cell>
          <cell r="C21">
            <v>24418</v>
          </cell>
          <cell r="D21">
            <v>3559</v>
          </cell>
          <cell r="E21">
            <v>22640</v>
          </cell>
          <cell r="F21">
            <v>100015</v>
          </cell>
        </row>
        <row r="22">
          <cell r="B22">
            <v>4015</v>
          </cell>
          <cell r="C22">
            <v>2284</v>
          </cell>
          <cell r="D22">
            <v>264</v>
          </cell>
          <cell r="E22">
            <v>1103</v>
          </cell>
          <cell r="F22">
            <v>7666</v>
          </cell>
        </row>
        <row r="23">
          <cell r="B23">
            <v>5822</v>
          </cell>
          <cell r="C23">
            <v>18261</v>
          </cell>
          <cell r="D23">
            <v>440</v>
          </cell>
          <cell r="E23">
            <v>2898</v>
          </cell>
          <cell r="F23">
            <v>27421</v>
          </cell>
        </row>
        <row r="24">
          <cell r="B24">
            <v>8760</v>
          </cell>
          <cell r="C24">
            <v>1784</v>
          </cell>
          <cell r="D24">
            <v>363</v>
          </cell>
          <cell r="E24">
            <v>1556</v>
          </cell>
          <cell r="F24">
            <v>12463</v>
          </cell>
        </row>
        <row r="25">
          <cell r="B25">
            <v>4157</v>
          </cell>
          <cell r="C25">
            <v>1634</v>
          </cell>
          <cell r="D25">
            <v>195</v>
          </cell>
          <cell r="E25">
            <v>1270</v>
          </cell>
          <cell r="F25">
            <v>7256</v>
          </cell>
        </row>
        <row r="26">
          <cell r="B26">
            <v>6757</v>
          </cell>
          <cell r="C26">
            <v>2360</v>
          </cell>
          <cell r="D26">
            <v>313</v>
          </cell>
          <cell r="E26">
            <v>1254</v>
          </cell>
          <cell r="F26">
            <v>10684</v>
          </cell>
        </row>
        <row r="27">
          <cell r="B27">
            <v>3713</v>
          </cell>
          <cell r="C27">
            <v>2548</v>
          </cell>
          <cell r="D27">
            <v>180</v>
          </cell>
          <cell r="E27">
            <v>924</v>
          </cell>
          <cell r="F27">
            <v>7365</v>
          </cell>
        </row>
        <row r="28">
          <cell r="B28">
            <v>7159</v>
          </cell>
          <cell r="C28">
            <v>3122</v>
          </cell>
          <cell r="D28">
            <v>297</v>
          </cell>
          <cell r="E28">
            <v>2632</v>
          </cell>
          <cell r="F28">
            <v>13210</v>
          </cell>
        </row>
        <row r="29">
          <cell r="B29">
            <v>9080</v>
          </cell>
          <cell r="C29">
            <v>5375</v>
          </cell>
          <cell r="D29">
            <v>440</v>
          </cell>
          <cell r="E29">
            <v>3646</v>
          </cell>
          <cell r="F29">
            <v>18541</v>
          </cell>
        </row>
        <row r="30">
          <cell r="B30">
            <v>67503</v>
          </cell>
          <cell r="C30">
            <v>30326</v>
          </cell>
          <cell r="D30">
            <v>4860</v>
          </cell>
          <cell r="E30">
            <v>29138</v>
          </cell>
          <cell r="F30">
            <v>131827</v>
          </cell>
        </row>
        <row r="31">
          <cell r="B31">
            <v>35538</v>
          </cell>
          <cell r="C31">
            <v>15195</v>
          </cell>
          <cell r="D31">
            <v>2127</v>
          </cell>
          <cell r="E31">
            <v>13982</v>
          </cell>
          <cell r="F31">
            <v>66842</v>
          </cell>
        </row>
        <row r="32">
          <cell r="B32">
            <v>301313</v>
          </cell>
          <cell r="C32">
            <v>298179</v>
          </cell>
          <cell r="D32">
            <v>26942</v>
          </cell>
          <cell r="E32">
            <v>245591</v>
          </cell>
          <cell r="F32">
            <v>872025</v>
          </cell>
        </row>
        <row r="33">
          <cell r="B33">
            <v>8079</v>
          </cell>
          <cell r="C33">
            <v>1585</v>
          </cell>
          <cell r="D33">
            <v>246</v>
          </cell>
          <cell r="E33">
            <v>1242</v>
          </cell>
          <cell r="F33">
            <v>11152</v>
          </cell>
        </row>
        <row r="34">
          <cell r="B34">
            <v>59966</v>
          </cell>
          <cell r="C34">
            <v>25501</v>
          </cell>
          <cell r="D34">
            <v>4134</v>
          </cell>
          <cell r="E34">
            <v>23919</v>
          </cell>
          <cell r="F34">
            <v>113520</v>
          </cell>
        </row>
        <row r="35">
          <cell r="B35">
            <v>15366</v>
          </cell>
          <cell r="C35">
            <v>7908</v>
          </cell>
          <cell r="D35">
            <v>501</v>
          </cell>
          <cell r="E35">
            <v>2542</v>
          </cell>
          <cell r="F35">
            <v>26317</v>
          </cell>
        </row>
        <row r="36">
          <cell r="B36">
            <v>4528</v>
          </cell>
          <cell r="C36">
            <v>3836</v>
          </cell>
          <cell r="D36">
            <v>171</v>
          </cell>
          <cell r="E36">
            <v>1116</v>
          </cell>
          <cell r="F36">
            <v>9651</v>
          </cell>
        </row>
        <row r="37">
          <cell r="B37">
            <v>3385</v>
          </cell>
          <cell r="C37">
            <v>673</v>
          </cell>
          <cell r="D37">
            <v>72</v>
          </cell>
          <cell r="E37">
            <v>311</v>
          </cell>
          <cell r="F37">
            <v>4441</v>
          </cell>
        </row>
        <row r="38">
          <cell r="B38">
            <v>131558</v>
          </cell>
          <cell r="C38">
            <v>69742</v>
          </cell>
          <cell r="D38">
            <v>8898</v>
          </cell>
          <cell r="E38">
            <v>68802</v>
          </cell>
          <cell r="F38">
            <v>279000</v>
          </cell>
        </row>
        <row r="39">
          <cell r="B39">
            <v>242207</v>
          </cell>
          <cell r="C39">
            <v>112081</v>
          </cell>
          <cell r="D39">
            <v>15196</v>
          </cell>
          <cell r="E39">
            <v>135822</v>
          </cell>
          <cell r="F39">
            <v>505306</v>
          </cell>
        </row>
        <row r="40">
          <cell r="B40">
            <v>57399</v>
          </cell>
          <cell r="C40">
            <v>98139</v>
          </cell>
          <cell r="D40">
            <v>5510</v>
          </cell>
          <cell r="E40">
            <v>41738</v>
          </cell>
          <cell r="F40">
            <v>202786</v>
          </cell>
        </row>
        <row r="41">
          <cell r="B41">
            <v>17624</v>
          </cell>
          <cell r="C41">
            <v>6040</v>
          </cell>
          <cell r="D41">
            <v>942</v>
          </cell>
          <cell r="E41">
            <v>3961</v>
          </cell>
          <cell r="F41">
            <v>28567</v>
          </cell>
        </row>
        <row r="42">
          <cell r="B42">
            <v>2762</v>
          </cell>
          <cell r="C42">
            <v>1360</v>
          </cell>
          <cell r="D42">
            <v>20</v>
          </cell>
          <cell r="E42">
            <v>453</v>
          </cell>
          <cell r="F42">
            <v>4595</v>
          </cell>
        </row>
        <row r="43">
          <cell r="B43">
            <v>5043</v>
          </cell>
          <cell r="C43">
            <v>3878</v>
          </cell>
          <cell r="D43">
            <v>124</v>
          </cell>
          <cell r="E43">
            <v>1141</v>
          </cell>
          <cell r="F43">
            <v>10186</v>
          </cell>
        </row>
        <row r="44">
          <cell r="B44">
            <v>137343</v>
          </cell>
          <cell r="C44">
            <v>70529</v>
          </cell>
          <cell r="D44">
            <v>8594</v>
          </cell>
          <cell r="E44">
            <v>68038</v>
          </cell>
          <cell r="F44">
            <v>284504</v>
          </cell>
        </row>
        <row r="45">
          <cell r="B45">
            <v>138634</v>
          </cell>
          <cell r="C45">
            <v>71898</v>
          </cell>
          <cell r="D45">
            <v>8974</v>
          </cell>
          <cell r="E45">
            <v>57007</v>
          </cell>
          <cell r="F45">
            <v>276513</v>
          </cell>
        </row>
        <row r="46">
          <cell r="B46">
            <v>61184</v>
          </cell>
          <cell r="C46">
            <v>23821</v>
          </cell>
          <cell r="D46">
            <v>4226</v>
          </cell>
          <cell r="E46">
            <v>24060</v>
          </cell>
          <cell r="F46">
            <v>113291</v>
          </cell>
        </row>
        <row r="47">
          <cell r="B47">
            <v>496241</v>
          </cell>
          <cell r="C47">
            <v>515761</v>
          </cell>
          <cell r="D47">
            <v>32719</v>
          </cell>
          <cell r="E47">
            <v>492317</v>
          </cell>
          <cell r="F47">
            <v>1537038</v>
          </cell>
        </row>
        <row r="48">
          <cell r="B48">
            <v>24275</v>
          </cell>
          <cell r="C48">
            <v>14971</v>
          </cell>
          <cell r="D48">
            <v>1845</v>
          </cell>
          <cell r="E48">
            <v>12584</v>
          </cell>
          <cell r="F48">
            <v>53675</v>
          </cell>
        </row>
        <row r="49">
          <cell r="B49">
            <v>47837</v>
          </cell>
          <cell r="C49">
            <v>13499</v>
          </cell>
          <cell r="D49">
            <v>2747</v>
          </cell>
          <cell r="E49">
            <v>14971</v>
          </cell>
          <cell r="F49">
            <v>79054</v>
          </cell>
        </row>
        <row r="50">
          <cell r="B50">
            <v>88956</v>
          </cell>
          <cell r="C50">
            <v>26124</v>
          </cell>
          <cell r="D50">
            <v>5123</v>
          </cell>
          <cell r="E50">
            <v>35331</v>
          </cell>
          <cell r="F50">
            <v>155534</v>
          </cell>
        </row>
        <row r="51">
          <cell r="B51">
            <v>12400</v>
          </cell>
          <cell r="C51">
            <v>4702</v>
          </cell>
          <cell r="D51">
            <v>729</v>
          </cell>
          <cell r="E51">
            <v>3525</v>
          </cell>
          <cell r="F51">
            <v>21356</v>
          </cell>
        </row>
        <row r="52">
          <cell r="B52">
            <v>227118</v>
          </cell>
          <cell r="C52">
            <v>327750</v>
          </cell>
          <cell r="D52">
            <v>26611</v>
          </cell>
          <cell r="E52">
            <v>251899</v>
          </cell>
          <cell r="F52">
            <v>833378</v>
          </cell>
        </row>
        <row r="53">
          <cell r="B53">
            <v>68477</v>
          </cell>
          <cell r="C53">
            <v>87737</v>
          </cell>
          <cell r="D53">
            <v>7612</v>
          </cell>
          <cell r="E53">
            <v>81741</v>
          </cell>
          <cell r="F53">
            <v>245567</v>
          </cell>
        </row>
        <row r="54">
          <cell r="B54">
            <v>300471</v>
          </cell>
          <cell r="C54">
            <v>336179</v>
          </cell>
          <cell r="D54">
            <v>30963</v>
          </cell>
          <cell r="E54">
            <v>257821</v>
          </cell>
          <cell r="F54">
            <v>925434</v>
          </cell>
        </row>
        <row r="55">
          <cell r="B55">
            <v>172481</v>
          </cell>
          <cell r="C55">
            <v>96228</v>
          </cell>
          <cell r="D55">
            <v>14363</v>
          </cell>
          <cell r="E55">
            <v>97423</v>
          </cell>
          <cell r="F55">
            <v>380495</v>
          </cell>
        </row>
        <row r="56">
          <cell r="B56">
            <v>246189</v>
          </cell>
          <cell r="C56">
            <v>206438</v>
          </cell>
          <cell r="D56">
            <v>20160</v>
          </cell>
          <cell r="E56">
            <v>171899</v>
          </cell>
          <cell r="F56">
            <v>644686</v>
          </cell>
        </row>
        <row r="57">
          <cell r="B57">
            <v>194524</v>
          </cell>
          <cell r="C57">
            <v>141551</v>
          </cell>
          <cell r="D57">
            <v>15512</v>
          </cell>
          <cell r="E57">
            <v>124655</v>
          </cell>
          <cell r="F57">
            <v>476242</v>
          </cell>
        </row>
        <row r="58">
          <cell r="B58">
            <v>26309</v>
          </cell>
          <cell r="C58">
            <v>11846</v>
          </cell>
          <cell r="D58">
            <v>1261</v>
          </cell>
          <cell r="E58">
            <v>7995</v>
          </cell>
          <cell r="F58">
            <v>47411</v>
          </cell>
        </row>
        <row r="59">
          <cell r="B59">
            <v>92396</v>
          </cell>
          <cell r="C59">
            <v>22288</v>
          </cell>
          <cell r="D59">
            <v>4824</v>
          </cell>
          <cell r="E59">
            <v>29388</v>
          </cell>
          <cell r="F59">
            <v>148896</v>
          </cell>
        </row>
        <row r="60">
          <cell r="B60">
            <v>160485</v>
          </cell>
          <cell r="C60">
            <v>85682</v>
          </cell>
          <cell r="D60">
            <v>9897</v>
          </cell>
          <cell r="E60">
            <v>79885</v>
          </cell>
          <cell r="F60">
            <v>335949</v>
          </cell>
        </row>
        <row r="61">
          <cell r="B61">
            <v>123363</v>
          </cell>
          <cell r="C61">
            <v>112465</v>
          </cell>
          <cell r="D61">
            <v>11965</v>
          </cell>
          <cell r="E61">
            <v>105081</v>
          </cell>
          <cell r="F61">
            <v>352874</v>
          </cell>
        </row>
        <row r="62">
          <cell r="B62">
            <v>131555</v>
          </cell>
          <cell r="C62">
            <v>49812</v>
          </cell>
          <cell r="D62">
            <v>6878</v>
          </cell>
          <cell r="E62">
            <v>51177</v>
          </cell>
          <cell r="F62">
            <v>239422</v>
          </cell>
        </row>
        <row r="63">
          <cell r="B63">
            <v>92827</v>
          </cell>
          <cell r="C63">
            <v>84232</v>
          </cell>
          <cell r="D63">
            <v>9404</v>
          </cell>
          <cell r="E63">
            <v>61842</v>
          </cell>
          <cell r="F63">
            <v>248305</v>
          </cell>
        </row>
        <row r="64">
          <cell r="B64">
            <v>75042</v>
          </cell>
          <cell r="C64">
            <v>24531</v>
          </cell>
          <cell r="D64">
            <v>2880</v>
          </cell>
          <cell r="E64">
            <v>25746</v>
          </cell>
          <cell r="F64">
            <v>128199</v>
          </cell>
        </row>
        <row r="65">
          <cell r="B65">
            <v>17193</v>
          </cell>
          <cell r="C65">
            <v>5752</v>
          </cell>
          <cell r="D65">
            <v>776</v>
          </cell>
          <cell r="E65">
            <v>4008</v>
          </cell>
          <cell r="F65">
            <v>27729</v>
          </cell>
        </row>
        <row r="66">
          <cell r="B66">
            <v>7328</v>
          </cell>
          <cell r="C66">
            <v>2902</v>
          </cell>
          <cell r="D66">
            <v>218</v>
          </cell>
          <cell r="E66">
            <v>935</v>
          </cell>
          <cell r="F66">
            <v>11383</v>
          </cell>
        </row>
        <row r="67">
          <cell r="B67">
            <v>4822</v>
          </cell>
          <cell r="C67">
            <v>1531</v>
          </cell>
          <cell r="D67">
            <v>129</v>
          </cell>
          <cell r="E67">
            <v>617</v>
          </cell>
          <cell r="F67">
            <v>7099</v>
          </cell>
        </row>
        <row r="68">
          <cell r="B68">
            <v>169819</v>
          </cell>
          <cell r="C68">
            <v>109563</v>
          </cell>
          <cell r="D68">
            <v>14266</v>
          </cell>
          <cell r="E68">
            <v>106399</v>
          </cell>
          <cell r="F68">
            <v>400047</v>
          </cell>
        </row>
        <row r="69">
          <cell r="B69">
            <v>13342</v>
          </cell>
          <cell r="C69">
            <v>6288</v>
          </cell>
          <cell r="D69">
            <v>765</v>
          </cell>
          <cell r="E69">
            <v>4077</v>
          </cell>
          <cell r="F69">
            <v>24472</v>
          </cell>
        </row>
        <row r="70">
          <cell r="B70">
            <v>41385</v>
          </cell>
          <cell r="C70">
            <v>7968</v>
          </cell>
          <cell r="D70">
            <v>1970</v>
          </cell>
          <cell r="E70">
            <v>10717</v>
          </cell>
          <cell r="F70">
            <v>62040</v>
          </cell>
        </row>
        <row r="71">
          <cell r="B71">
            <v>10203</v>
          </cell>
          <cell r="C71">
            <v>2884</v>
          </cell>
          <cell r="D71">
            <v>316</v>
          </cell>
          <cell r="E71">
            <v>1909</v>
          </cell>
          <cell r="F71">
            <v>15312</v>
          </cell>
        </row>
      </sheetData>
      <sheetData sheetId="4">
        <row r="5">
          <cell r="B5">
            <v>49572</v>
          </cell>
          <cell r="C5">
            <v>78146</v>
          </cell>
          <cell r="D5">
            <v>5104</v>
          </cell>
          <cell r="E5">
            <v>40941</v>
          </cell>
          <cell r="F5">
            <v>173763</v>
          </cell>
        </row>
        <row r="6">
          <cell r="B6">
            <v>13004</v>
          </cell>
          <cell r="C6">
            <v>3573</v>
          </cell>
          <cell r="D6">
            <v>419</v>
          </cell>
          <cell r="E6">
            <v>2419</v>
          </cell>
          <cell r="F6">
            <v>19415</v>
          </cell>
        </row>
        <row r="7">
          <cell r="B7">
            <v>76522</v>
          </cell>
          <cell r="C7">
            <v>26345</v>
          </cell>
          <cell r="D7">
            <v>4703</v>
          </cell>
          <cell r="E7">
            <v>28309</v>
          </cell>
          <cell r="F7">
            <v>135879</v>
          </cell>
        </row>
        <row r="8">
          <cell r="B8">
            <v>11174</v>
          </cell>
          <cell r="C8">
            <v>4239</v>
          </cell>
          <cell r="D8">
            <v>405</v>
          </cell>
          <cell r="E8">
            <v>2633</v>
          </cell>
          <cell r="F8">
            <v>18451</v>
          </cell>
        </row>
        <row r="9">
          <cell r="B9">
            <v>204555</v>
          </cell>
          <cell r="C9">
            <v>116395</v>
          </cell>
          <cell r="D9">
            <v>16558</v>
          </cell>
          <cell r="E9">
            <v>113427</v>
          </cell>
          <cell r="F9">
            <v>450935</v>
          </cell>
        </row>
        <row r="10">
          <cell r="B10">
            <v>279154</v>
          </cell>
          <cell r="C10">
            <v>521669</v>
          </cell>
          <cell r="D10">
            <v>28741</v>
          </cell>
          <cell r="E10">
            <v>352237</v>
          </cell>
          <cell r="F10">
            <v>1181801</v>
          </cell>
        </row>
        <row r="11">
          <cell r="B11">
            <v>4697</v>
          </cell>
          <cell r="C11">
            <v>1967</v>
          </cell>
          <cell r="D11">
            <v>85</v>
          </cell>
          <cell r="E11">
            <v>731</v>
          </cell>
          <cell r="F11">
            <v>7480</v>
          </cell>
        </row>
        <row r="12">
          <cell r="B12">
            <v>76657</v>
          </cell>
          <cell r="C12">
            <v>28530</v>
          </cell>
          <cell r="D12">
            <v>5498</v>
          </cell>
          <cell r="E12">
            <v>32450</v>
          </cell>
          <cell r="F12">
            <v>143135</v>
          </cell>
        </row>
        <row r="13">
          <cell r="B13">
            <v>67100</v>
          </cell>
          <cell r="C13">
            <v>20639</v>
          </cell>
          <cell r="D13">
            <v>4085</v>
          </cell>
          <cell r="E13">
            <v>22339</v>
          </cell>
          <cell r="F13">
            <v>114163</v>
          </cell>
        </row>
        <row r="14">
          <cell r="B14">
            <v>89360</v>
          </cell>
          <cell r="C14">
            <v>32154</v>
          </cell>
          <cell r="D14">
            <v>5281</v>
          </cell>
          <cell r="E14">
            <v>32852</v>
          </cell>
          <cell r="F14">
            <v>159647</v>
          </cell>
        </row>
        <row r="15">
          <cell r="B15">
            <v>141751</v>
          </cell>
          <cell r="C15">
            <v>49910</v>
          </cell>
          <cell r="D15">
            <v>7188</v>
          </cell>
          <cell r="E15">
            <v>57783</v>
          </cell>
          <cell r="F15">
            <v>256632</v>
          </cell>
        </row>
        <row r="16">
          <cell r="B16">
            <v>24765</v>
          </cell>
          <cell r="C16">
            <v>10410</v>
          </cell>
          <cell r="D16">
            <v>1205</v>
          </cell>
          <cell r="E16">
            <v>7170</v>
          </cell>
          <cell r="F16">
            <v>43550</v>
          </cell>
        </row>
        <row r="17">
          <cell r="B17">
            <v>9174</v>
          </cell>
          <cell r="C17">
            <v>5636</v>
          </cell>
          <cell r="D17">
            <v>478</v>
          </cell>
          <cell r="E17">
            <v>4646</v>
          </cell>
          <cell r="F17">
            <v>19934</v>
          </cell>
        </row>
        <row r="18">
          <cell r="B18">
            <v>7166</v>
          </cell>
          <cell r="C18">
            <v>2160</v>
          </cell>
          <cell r="D18">
            <v>244</v>
          </cell>
          <cell r="E18">
            <v>1765</v>
          </cell>
          <cell r="F18">
            <v>11335</v>
          </cell>
        </row>
        <row r="19">
          <cell r="B19">
            <v>239335</v>
          </cell>
          <cell r="C19">
            <v>249544</v>
          </cell>
          <cell r="D19">
            <v>21195</v>
          </cell>
          <cell r="E19">
            <v>147071</v>
          </cell>
          <cell r="F19">
            <v>657145</v>
          </cell>
        </row>
        <row r="20">
          <cell r="B20">
            <v>103680</v>
          </cell>
          <cell r="C20">
            <v>66040</v>
          </cell>
          <cell r="D20">
            <v>6791</v>
          </cell>
          <cell r="E20">
            <v>46168</v>
          </cell>
          <cell r="F20">
            <v>222679</v>
          </cell>
        </row>
        <row r="21">
          <cell r="B21">
            <v>49478</v>
          </cell>
          <cell r="C21">
            <v>24392</v>
          </cell>
          <cell r="D21">
            <v>3624</v>
          </cell>
          <cell r="E21">
            <v>22635</v>
          </cell>
          <cell r="F21">
            <v>100129</v>
          </cell>
        </row>
        <row r="22">
          <cell r="B22">
            <v>4014</v>
          </cell>
          <cell r="C22">
            <v>2258</v>
          </cell>
          <cell r="D22">
            <v>264</v>
          </cell>
          <cell r="E22">
            <v>1087</v>
          </cell>
          <cell r="F22">
            <v>7623</v>
          </cell>
        </row>
        <row r="23">
          <cell r="B23">
            <v>5654</v>
          </cell>
          <cell r="C23">
            <v>17439</v>
          </cell>
          <cell r="D23">
            <v>414</v>
          </cell>
          <cell r="E23">
            <v>2682</v>
          </cell>
          <cell r="F23">
            <v>26189</v>
          </cell>
        </row>
        <row r="24">
          <cell r="B24">
            <v>8793</v>
          </cell>
          <cell r="C24">
            <v>1777</v>
          </cell>
          <cell r="D24">
            <v>388</v>
          </cell>
          <cell r="E24">
            <v>1562</v>
          </cell>
          <cell r="F24">
            <v>12520</v>
          </cell>
        </row>
        <row r="25">
          <cell r="B25">
            <v>3876</v>
          </cell>
          <cell r="C25">
            <v>1385</v>
          </cell>
          <cell r="D25">
            <v>176</v>
          </cell>
          <cell r="E25">
            <v>1026</v>
          </cell>
          <cell r="F25">
            <v>6463</v>
          </cell>
        </row>
        <row r="26">
          <cell r="B26">
            <v>6784</v>
          </cell>
          <cell r="C26">
            <v>2363</v>
          </cell>
          <cell r="D26">
            <v>321</v>
          </cell>
          <cell r="E26">
            <v>1257</v>
          </cell>
          <cell r="F26">
            <v>10725</v>
          </cell>
        </row>
        <row r="27">
          <cell r="B27">
            <v>3548</v>
          </cell>
          <cell r="C27">
            <v>2306</v>
          </cell>
          <cell r="D27">
            <v>166</v>
          </cell>
          <cell r="E27">
            <v>754</v>
          </cell>
          <cell r="F27">
            <v>6774</v>
          </cell>
        </row>
        <row r="28">
          <cell r="B28">
            <v>6953</v>
          </cell>
          <cell r="C28">
            <v>2915</v>
          </cell>
          <cell r="D28">
            <v>304</v>
          </cell>
          <cell r="E28">
            <v>2405</v>
          </cell>
          <cell r="F28">
            <v>12577</v>
          </cell>
        </row>
        <row r="29">
          <cell r="B29">
            <v>9143</v>
          </cell>
          <cell r="C29">
            <v>5389</v>
          </cell>
          <cell r="D29">
            <v>444</v>
          </cell>
          <cell r="E29">
            <v>3679</v>
          </cell>
          <cell r="F29">
            <v>18655</v>
          </cell>
        </row>
        <row r="30">
          <cell r="B30">
            <v>67756</v>
          </cell>
          <cell r="C30">
            <v>30295</v>
          </cell>
          <cell r="D30">
            <v>4914</v>
          </cell>
          <cell r="E30">
            <v>29193</v>
          </cell>
          <cell r="F30">
            <v>132158</v>
          </cell>
        </row>
        <row r="31">
          <cell r="B31">
            <v>35404</v>
          </cell>
          <cell r="C31">
            <v>14995</v>
          </cell>
          <cell r="D31">
            <v>2167</v>
          </cell>
          <cell r="E31">
            <v>13815</v>
          </cell>
          <cell r="F31">
            <v>66381</v>
          </cell>
        </row>
        <row r="32">
          <cell r="B32">
            <v>285929</v>
          </cell>
          <cell r="C32">
            <v>268826</v>
          </cell>
          <cell r="D32">
            <v>25307</v>
          </cell>
          <cell r="E32">
            <v>210801</v>
          </cell>
          <cell r="F32">
            <v>790863</v>
          </cell>
        </row>
        <row r="33">
          <cell r="B33">
            <v>7971</v>
          </cell>
          <cell r="C33">
            <v>1558</v>
          </cell>
          <cell r="D33">
            <v>238</v>
          </cell>
          <cell r="E33">
            <v>1153</v>
          </cell>
          <cell r="F33">
            <v>10920</v>
          </cell>
        </row>
        <row r="34">
          <cell r="B34">
            <v>59984</v>
          </cell>
          <cell r="C34">
            <v>25492</v>
          </cell>
          <cell r="D34">
            <v>4168</v>
          </cell>
          <cell r="E34">
            <v>23922</v>
          </cell>
          <cell r="F34">
            <v>113566</v>
          </cell>
        </row>
        <row r="35">
          <cell r="B35">
            <v>15357</v>
          </cell>
          <cell r="C35">
            <v>7911</v>
          </cell>
          <cell r="D35">
            <v>506</v>
          </cell>
          <cell r="E35">
            <v>2560</v>
          </cell>
          <cell r="F35">
            <v>26334</v>
          </cell>
        </row>
        <row r="36">
          <cell r="B36">
            <v>4530</v>
          </cell>
          <cell r="C36">
            <v>3831</v>
          </cell>
          <cell r="D36">
            <v>171</v>
          </cell>
          <cell r="E36">
            <v>1133</v>
          </cell>
          <cell r="F36">
            <v>9665</v>
          </cell>
        </row>
        <row r="37">
          <cell r="B37">
            <v>3387</v>
          </cell>
          <cell r="C37">
            <v>671</v>
          </cell>
          <cell r="D37">
            <v>73</v>
          </cell>
          <cell r="E37">
            <v>313</v>
          </cell>
          <cell r="F37">
            <v>4444</v>
          </cell>
        </row>
        <row r="38">
          <cell r="B38">
            <v>131901</v>
          </cell>
          <cell r="C38">
            <v>69886</v>
          </cell>
          <cell r="D38">
            <v>8999</v>
          </cell>
          <cell r="E38">
            <v>68974</v>
          </cell>
          <cell r="F38">
            <v>279760</v>
          </cell>
        </row>
        <row r="39">
          <cell r="B39">
            <v>242516</v>
          </cell>
          <cell r="C39">
            <v>112004</v>
          </cell>
          <cell r="D39">
            <v>15371</v>
          </cell>
          <cell r="E39">
            <v>135800</v>
          </cell>
          <cell r="F39">
            <v>505691</v>
          </cell>
        </row>
        <row r="40">
          <cell r="B40">
            <v>57436</v>
          </cell>
          <cell r="C40">
            <v>98054</v>
          </cell>
          <cell r="D40">
            <v>5564</v>
          </cell>
          <cell r="E40">
            <v>41822</v>
          </cell>
          <cell r="F40">
            <v>202876</v>
          </cell>
        </row>
        <row r="41">
          <cell r="B41">
            <v>17727</v>
          </cell>
          <cell r="C41">
            <v>6062</v>
          </cell>
          <cell r="D41">
            <v>962</v>
          </cell>
          <cell r="E41">
            <v>3993</v>
          </cell>
          <cell r="F41">
            <v>28744</v>
          </cell>
        </row>
        <row r="42">
          <cell r="B42">
            <v>2781</v>
          </cell>
          <cell r="C42">
            <v>1228</v>
          </cell>
          <cell r="D42">
            <v>20</v>
          </cell>
          <cell r="E42">
            <v>448</v>
          </cell>
          <cell r="F42">
            <v>4477</v>
          </cell>
        </row>
        <row r="43">
          <cell r="B43">
            <v>5063</v>
          </cell>
          <cell r="C43">
            <v>3900</v>
          </cell>
          <cell r="D43">
            <v>124</v>
          </cell>
          <cell r="E43">
            <v>1153</v>
          </cell>
          <cell r="F43">
            <v>10240</v>
          </cell>
        </row>
        <row r="44">
          <cell r="B44">
            <v>132530</v>
          </cell>
          <cell r="C44">
            <v>65082</v>
          </cell>
          <cell r="D44">
            <v>8273</v>
          </cell>
          <cell r="E44">
            <v>61563</v>
          </cell>
          <cell r="F44">
            <v>267448</v>
          </cell>
        </row>
        <row r="45">
          <cell r="B45">
            <v>138239</v>
          </cell>
          <cell r="C45">
            <v>71244</v>
          </cell>
          <cell r="D45">
            <v>9042</v>
          </cell>
          <cell r="E45">
            <v>56298</v>
          </cell>
          <cell r="F45">
            <v>274823</v>
          </cell>
        </row>
        <row r="46">
          <cell r="B46">
            <v>60997</v>
          </cell>
          <cell r="C46">
            <v>23669</v>
          </cell>
          <cell r="D46">
            <v>4254</v>
          </cell>
          <cell r="E46">
            <v>23955</v>
          </cell>
          <cell r="F46">
            <v>112875</v>
          </cell>
        </row>
        <row r="47">
          <cell r="B47">
            <v>496796</v>
          </cell>
          <cell r="C47">
            <v>514814</v>
          </cell>
          <cell r="D47">
            <v>33042</v>
          </cell>
          <cell r="E47">
            <v>492960</v>
          </cell>
          <cell r="F47">
            <v>1537612</v>
          </cell>
        </row>
        <row r="48">
          <cell r="B48">
            <v>24262</v>
          </cell>
          <cell r="C48">
            <v>14915</v>
          </cell>
          <cell r="D48">
            <v>1860</v>
          </cell>
          <cell r="E48">
            <v>12548</v>
          </cell>
          <cell r="F48">
            <v>53585</v>
          </cell>
        </row>
        <row r="49">
          <cell r="B49">
            <v>47911</v>
          </cell>
          <cell r="C49">
            <v>13482</v>
          </cell>
          <cell r="D49">
            <v>2778</v>
          </cell>
          <cell r="E49">
            <v>14944</v>
          </cell>
          <cell r="F49">
            <v>79115</v>
          </cell>
        </row>
        <row r="50">
          <cell r="B50">
            <v>88607</v>
          </cell>
          <cell r="C50">
            <v>25804</v>
          </cell>
          <cell r="D50">
            <v>5163</v>
          </cell>
          <cell r="E50">
            <v>34661</v>
          </cell>
          <cell r="F50">
            <v>154235</v>
          </cell>
        </row>
        <row r="51">
          <cell r="B51">
            <v>11890</v>
          </cell>
          <cell r="C51">
            <v>4272</v>
          </cell>
          <cell r="D51">
            <v>695</v>
          </cell>
          <cell r="E51">
            <v>3048</v>
          </cell>
          <cell r="F51">
            <v>19905</v>
          </cell>
        </row>
        <row r="52">
          <cell r="B52">
            <v>223904</v>
          </cell>
          <cell r="C52">
            <v>319699</v>
          </cell>
          <cell r="D52">
            <v>26076</v>
          </cell>
          <cell r="E52">
            <v>244706</v>
          </cell>
          <cell r="F52">
            <v>814385</v>
          </cell>
        </row>
        <row r="53">
          <cell r="B53">
            <v>68832</v>
          </cell>
          <cell r="C53">
            <v>87699</v>
          </cell>
          <cell r="D53">
            <v>7811</v>
          </cell>
          <cell r="E53">
            <v>81843</v>
          </cell>
          <cell r="F53">
            <v>246185</v>
          </cell>
        </row>
        <row r="54">
          <cell r="B54">
            <v>296028</v>
          </cell>
          <cell r="C54">
            <v>328909</v>
          </cell>
          <cell r="D54">
            <v>30490</v>
          </cell>
          <cell r="E54">
            <v>251954</v>
          </cell>
          <cell r="F54">
            <v>907381</v>
          </cell>
        </row>
        <row r="55">
          <cell r="B55">
            <v>172322</v>
          </cell>
          <cell r="C55">
            <v>95955</v>
          </cell>
          <cell r="D55">
            <v>14505</v>
          </cell>
          <cell r="E55">
            <v>97419</v>
          </cell>
          <cell r="F55">
            <v>380201</v>
          </cell>
        </row>
        <row r="56">
          <cell r="B56">
            <v>233503</v>
          </cell>
          <cell r="C56">
            <v>190132</v>
          </cell>
          <cell r="D56">
            <v>19023</v>
          </cell>
          <cell r="E56">
            <v>150779</v>
          </cell>
          <cell r="F56">
            <v>593437</v>
          </cell>
        </row>
        <row r="57">
          <cell r="B57">
            <v>181163</v>
          </cell>
          <cell r="C57">
            <v>123756</v>
          </cell>
          <cell r="D57">
            <v>14372</v>
          </cell>
          <cell r="E57">
            <v>101319</v>
          </cell>
          <cell r="F57">
            <v>420610</v>
          </cell>
        </row>
        <row r="58">
          <cell r="B58">
            <v>26224</v>
          </cell>
          <cell r="C58">
            <v>11746</v>
          </cell>
          <cell r="D58">
            <v>1258</v>
          </cell>
          <cell r="E58">
            <v>7935</v>
          </cell>
          <cell r="F58">
            <v>47163</v>
          </cell>
        </row>
        <row r="59">
          <cell r="B59">
            <v>92589</v>
          </cell>
          <cell r="C59">
            <v>22292</v>
          </cell>
          <cell r="D59">
            <v>4873</v>
          </cell>
          <cell r="E59">
            <v>29456</v>
          </cell>
          <cell r="F59">
            <v>149210</v>
          </cell>
        </row>
        <row r="60">
          <cell r="B60">
            <v>160886</v>
          </cell>
          <cell r="C60">
            <v>85666</v>
          </cell>
          <cell r="D60">
            <v>10036</v>
          </cell>
          <cell r="E60">
            <v>79982</v>
          </cell>
          <cell r="F60">
            <v>336570</v>
          </cell>
        </row>
        <row r="61">
          <cell r="B61">
            <v>123604</v>
          </cell>
          <cell r="C61">
            <v>112550</v>
          </cell>
          <cell r="D61">
            <v>12108</v>
          </cell>
          <cell r="E61">
            <v>105278</v>
          </cell>
          <cell r="F61">
            <v>353540</v>
          </cell>
        </row>
        <row r="62">
          <cell r="B62">
            <v>131371</v>
          </cell>
          <cell r="C62">
            <v>49629</v>
          </cell>
          <cell r="D62">
            <v>6850</v>
          </cell>
          <cell r="E62">
            <v>51084</v>
          </cell>
          <cell r="F62">
            <v>238934</v>
          </cell>
        </row>
        <row r="63">
          <cell r="B63">
            <v>93278</v>
          </cell>
          <cell r="C63">
            <v>84356</v>
          </cell>
          <cell r="D63">
            <v>9111</v>
          </cell>
          <cell r="E63">
            <v>62385</v>
          </cell>
          <cell r="F63">
            <v>249130</v>
          </cell>
        </row>
        <row r="64">
          <cell r="B64">
            <v>75428</v>
          </cell>
          <cell r="C64">
            <v>24577</v>
          </cell>
          <cell r="D64">
            <v>2933</v>
          </cell>
          <cell r="E64">
            <v>25925</v>
          </cell>
          <cell r="F64">
            <v>128863</v>
          </cell>
        </row>
        <row r="65">
          <cell r="B65">
            <v>17014</v>
          </cell>
          <cell r="C65">
            <v>5629</v>
          </cell>
          <cell r="D65">
            <v>780</v>
          </cell>
          <cell r="E65">
            <v>3896</v>
          </cell>
          <cell r="F65">
            <v>27319</v>
          </cell>
        </row>
        <row r="66">
          <cell r="B66">
            <v>7340</v>
          </cell>
          <cell r="C66">
            <v>2905</v>
          </cell>
          <cell r="D66">
            <v>219</v>
          </cell>
          <cell r="E66">
            <v>941</v>
          </cell>
          <cell r="F66">
            <v>11405</v>
          </cell>
        </row>
        <row r="67">
          <cell r="B67">
            <v>4820</v>
          </cell>
          <cell r="C67">
            <v>1533</v>
          </cell>
          <cell r="D67">
            <v>130</v>
          </cell>
          <cell r="E67">
            <v>625</v>
          </cell>
          <cell r="F67">
            <v>7108</v>
          </cell>
        </row>
        <row r="68">
          <cell r="B68">
            <v>170281</v>
          </cell>
          <cell r="C68">
            <v>109642</v>
          </cell>
          <cell r="D68">
            <v>14463</v>
          </cell>
          <cell r="E68">
            <v>106537</v>
          </cell>
          <cell r="F68">
            <v>400923</v>
          </cell>
        </row>
        <row r="69">
          <cell r="B69">
            <v>13399</v>
          </cell>
          <cell r="C69">
            <v>6281</v>
          </cell>
          <cell r="D69">
            <v>780</v>
          </cell>
          <cell r="E69">
            <v>4083</v>
          </cell>
          <cell r="F69">
            <v>24543</v>
          </cell>
        </row>
        <row r="70">
          <cell r="B70">
            <v>41403</v>
          </cell>
          <cell r="C70">
            <v>7966</v>
          </cell>
          <cell r="D70">
            <v>1977</v>
          </cell>
          <cell r="E70">
            <v>10698</v>
          </cell>
          <cell r="F70">
            <v>62044</v>
          </cell>
        </row>
        <row r="71">
          <cell r="B71">
            <v>10185</v>
          </cell>
          <cell r="C71">
            <v>2873</v>
          </cell>
          <cell r="D71">
            <v>315</v>
          </cell>
          <cell r="E71">
            <v>1904</v>
          </cell>
          <cell r="F71">
            <v>15277</v>
          </cell>
        </row>
      </sheetData>
      <sheetData sheetId="5">
        <row r="5">
          <cell r="B5">
            <v>49393</v>
          </cell>
          <cell r="C5">
            <v>77714</v>
          </cell>
          <cell r="D5">
            <v>5106</v>
          </cell>
          <cell r="E5">
            <v>40595</v>
          </cell>
          <cell r="F5">
            <v>172808</v>
          </cell>
        </row>
        <row r="6">
          <cell r="B6">
            <v>12519</v>
          </cell>
          <cell r="C6">
            <v>3147</v>
          </cell>
          <cell r="D6">
            <v>404</v>
          </cell>
          <cell r="E6">
            <v>2080</v>
          </cell>
          <cell r="F6">
            <v>18150</v>
          </cell>
        </row>
        <row r="7">
          <cell r="B7">
            <v>76858</v>
          </cell>
          <cell r="C7">
            <v>26408</v>
          </cell>
          <cell r="D7">
            <v>4790</v>
          </cell>
          <cell r="E7">
            <v>28363</v>
          </cell>
          <cell r="F7">
            <v>136419</v>
          </cell>
        </row>
        <row r="8">
          <cell r="B8">
            <v>11189</v>
          </cell>
          <cell r="C8">
            <v>4229</v>
          </cell>
          <cell r="D8">
            <v>412</v>
          </cell>
          <cell r="E8">
            <v>2622</v>
          </cell>
          <cell r="F8">
            <v>18452</v>
          </cell>
        </row>
        <row r="9">
          <cell r="B9">
            <v>205179</v>
          </cell>
          <cell r="C9">
            <v>116578</v>
          </cell>
          <cell r="D9">
            <v>16773</v>
          </cell>
          <cell r="E9">
            <v>113891</v>
          </cell>
          <cell r="F9">
            <v>452421</v>
          </cell>
        </row>
        <row r="10">
          <cell r="B10">
            <v>279596</v>
          </cell>
          <cell r="C10">
            <v>521729</v>
          </cell>
          <cell r="D10">
            <v>29026</v>
          </cell>
          <cell r="E10">
            <v>353598</v>
          </cell>
          <cell r="F10">
            <v>1183949</v>
          </cell>
        </row>
        <row r="11">
          <cell r="B11">
            <v>4707</v>
          </cell>
          <cell r="C11">
            <v>1969</v>
          </cell>
          <cell r="D11">
            <v>86</v>
          </cell>
          <cell r="E11">
            <v>739</v>
          </cell>
          <cell r="F11">
            <v>7501</v>
          </cell>
        </row>
        <row r="12">
          <cell r="B12">
            <v>77104</v>
          </cell>
          <cell r="C12">
            <v>28615</v>
          </cell>
          <cell r="D12">
            <v>5586</v>
          </cell>
          <cell r="E12">
            <v>32599</v>
          </cell>
          <cell r="F12">
            <v>143904</v>
          </cell>
        </row>
        <row r="13">
          <cell r="B13">
            <v>67354</v>
          </cell>
          <cell r="C13">
            <v>20684</v>
          </cell>
          <cell r="D13">
            <v>4158</v>
          </cell>
          <cell r="E13">
            <v>22393</v>
          </cell>
          <cell r="F13">
            <v>114589</v>
          </cell>
        </row>
        <row r="14">
          <cell r="B14">
            <v>89341</v>
          </cell>
          <cell r="C14">
            <v>32138</v>
          </cell>
          <cell r="D14">
            <v>5334</v>
          </cell>
          <cell r="E14">
            <v>32743</v>
          </cell>
          <cell r="F14">
            <v>159556</v>
          </cell>
        </row>
        <row r="15">
          <cell r="B15">
            <v>142132</v>
          </cell>
          <cell r="C15">
            <v>49998</v>
          </cell>
          <cell r="D15">
            <v>7292</v>
          </cell>
          <cell r="E15">
            <v>57870</v>
          </cell>
          <cell r="F15">
            <v>257292</v>
          </cell>
        </row>
        <row r="16">
          <cell r="B16">
            <v>23429</v>
          </cell>
          <cell r="C16">
            <v>9435</v>
          </cell>
          <cell r="D16">
            <v>1117</v>
          </cell>
          <cell r="E16">
            <v>6008</v>
          </cell>
          <cell r="F16">
            <v>39989</v>
          </cell>
        </row>
        <row r="17">
          <cell r="B17">
            <v>7809</v>
          </cell>
          <cell r="C17">
            <v>4067</v>
          </cell>
          <cell r="D17">
            <v>435</v>
          </cell>
          <cell r="E17">
            <v>2962</v>
          </cell>
          <cell r="F17">
            <v>15273</v>
          </cell>
        </row>
        <row r="18">
          <cell r="B18">
            <v>7196</v>
          </cell>
          <cell r="C18">
            <v>2150</v>
          </cell>
          <cell r="D18">
            <v>247</v>
          </cell>
          <cell r="E18">
            <v>1763</v>
          </cell>
          <cell r="F18">
            <v>11356</v>
          </cell>
        </row>
        <row r="19">
          <cell r="B19">
            <v>239523</v>
          </cell>
          <cell r="C19">
            <v>249594</v>
          </cell>
          <cell r="D19">
            <v>21461</v>
          </cell>
          <cell r="E19">
            <v>147210</v>
          </cell>
          <cell r="F19">
            <v>657788</v>
          </cell>
        </row>
        <row r="20">
          <cell r="B20">
            <v>103944</v>
          </cell>
          <cell r="C20">
            <v>66218</v>
          </cell>
          <cell r="D20">
            <v>6895</v>
          </cell>
          <cell r="E20">
            <v>46287</v>
          </cell>
          <cell r="F20">
            <v>223344</v>
          </cell>
        </row>
        <row r="21">
          <cell r="B21">
            <v>49223</v>
          </cell>
          <cell r="C21">
            <v>24257</v>
          </cell>
          <cell r="D21">
            <v>3636</v>
          </cell>
          <cell r="E21">
            <v>22495</v>
          </cell>
          <cell r="F21">
            <v>99611</v>
          </cell>
        </row>
        <row r="22">
          <cell r="B22">
            <v>4030</v>
          </cell>
          <cell r="C22">
            <v>2260</v>
          </cell>
          <cell r="D22">
            <v>270</v>
          </cell>
          <cell r="E22">
            <v>1090</v>
          </cell>
          <cell r="F22">
            <v>7650</v>
          </cell>
        </row>
        <row r="23">
          <cell r="B23">
            <v>5673</v>
          </cell>
          <cell r="C23">
            <v>17475</v>
          </cell>
          <cell r="D23">
            <v>420</v>
          </cell>
          <cell r="E23">
            <v>2701</v>
          </cell>
          <cell r="F23">
            <v>26269</v>
          </cell>
        </row>
        <row r="24">
          <cell r="B24">
            <v>8817</v>
          </cell>
          <cell r="C24">
            <v>1780</v>
          </cell>
          <cell r="D24">
            <v>403</v>
          </cell>
          <cell r="E24">
            <v>1563</v>
          </cell>
          <cell r="F24">
            <v>12563</v>
          </cell>
        </row>
        <row r="25">
          <cell r="B25">
            <v>3882</v>
          </cell>
          <cell r="C25">
            <v>1384</v>
          </cell>
          <cell r="D25">
            <v>179</v>
          </cell>
          <cell r="E25">
            <v>1027</v>
          </cell>
          <cell r="F25">
            <v>6472</v>
          </cell>
        </row>
        <row r="26">
          <cell r="B26">
            <v>6820</v>
          </cell>
          <cell r="C26">
            <v>2361</v>
          </cell>
          <cell r="D26">
            <v>330</v>
          </cell>
          <cell r="E26">
            <v>1263</v>
          </cell>
          <cell r="F26">
            <v>10774</v>
          </cell>
        </row>
        <row r="27">
          <cell r="B27">
            <v>3561</v>
          </cell>
          <cell r="C27">
            <v>2320</v>
          </cell>
          <cell r="D27">
            <v>168</v>
          </cell>
          <cell r="E27">
            <v>759</v>
          </cell>
          <cell r="F27">
            <v>6808</v>
          </cell>
        </row>
        <row r="28">
          <cell r="B28">
            <v>6746</v>
          </cell>
          <cell r="C28">
            <v>2673</v>
          </cell>
          <cell r="D28">
            <v>308</v>
          </cell>
          <cell r="E28">
            <v>2203</v>
          </cell>
          <cell r="F28">
            <v>11930</v>
          </cell>
        </row>
        <row r="29">
          <cell r="B29">
            <v>9172</v>
          </cell>
          <cell r="C29">
            <v>5438</v>
          </cell>
          <cell r="D29">
            <v>464</v>
          </cell>
          <cell r="E29">
            <v>3707</v>
          </cell>
          <cell r="F29">
            <v>18781</v>
          </cell>
        </row>
        <row r="30">
          <cell r="B30">
            <v>67672</v>
          </cell>
          <cell r="C30">
            <v>30202</v>
          </cell>
          <cell r="D30">
            <v>4945</v>
          </cell>
          <cell r="E30">
            <v>29167</v>
          </cell>
          <cell r="F30">
            <v>131986</v>
          </cell>
        </row>
        <row r="31">
          <cell r="B31">
            <v>34228</v>
          </cell>
          <cell r="C31">
            <v>13747</v>
          </cell>
          <cell r="D31">
            <v>2111</v>
          </cell>
          <cell r="E31">
            <v>12174</v>
          </cell>
          <cell r="F31">
            <v>62260</v>
          </cell>
        </row>
        <row r="32">
          <cell r="B32">
            <v>287137</v>
          </cell>
          <cell r="C32">
            <v>270431</v>
          </cell>
          <cell r="D32">
            <v>25803</v>
          </cell>
          <cell r="E32">
            <v>212512</v>
          </cell>
          <cell r="F32">
            <v>795883</v>
          </cell>
        </row>
        <row r="33">
          <cell r="B33">
            <v>7989</v>
          </cell>
          <cell r="C33">
            <v>1554</v>
          </cell>
          <cell r="D33">
            <v>240</v>
          </cell>
          <cell r="E33">
            <v>1167</v>
          </cell>
          <cell r="F33">
            <v>10950</v>
          </cell>
        </row>
        <row r="34">
          <cell r="B34">
            <v>60257</v>
          </cell>
          <cell r="C34">
            <v>25619</v>
          </cell>
          <cell r="D34">
            <v>4228</v>
          </cell>
          <cell r="E34">
            <v>24077</v>
          </cell>
          <cell r="F34">
            <v>114181</v>
          </cell>
        </row>
        <row r="35">
          <cell r="B35">
            <v>15388</v>
          </cell>
          <cell r="C35">
            <v>7920</v>
          </cell>
          <cell r="D35">
            <v>520</v>
          </cell>
          <cell r="E35">
            <v>2572</v>
          </cell>
          <cell r="F35">
            <v>26400</v>
          </cell>
        </row>
        <row r="36">
          <cell r="B36">
            <v>4544</v>
          </cell>
          <cell r="C36">
            <v>3830</v>
          </cell>
          <cell r="D36">
            <v>173</v>
          </cell>
          <cell r="E36">
            <v>1137</v>
          </cell>
          <cell r="F36">
            <v>9684</v>
          </cell>
        </row>
        <row r="37">
          <cell r="B37">
            <v>3390</v>
          </cell>
          <cell r="C37">
            <v>671</v>
          </cell>
          <cell r="D37">
            <v>72</v>
          </cell>
          <cell r="E37">
            <v>314</v>
          </cell>
          <cell r="F37">
            <v>4447</v>
          </cell>
        </row>
        <row r="38">
          <cell r="B38">
            <v>132489</v>
          </cell>
          <cell r="C38">
            <v>70157</v>
          </cell>
          <cell r="D38">
            <v>9144</v>
          </cell>
          <cell r="E38">
            <v>69299</v>
          </cell>
          <cell r="F38">
            <v>281089</v>
          </cell>
        </row>
        <row r="39">
          <cell r="B39">
            <v>241028</v>
          </cell>
          <cell r="C39">
            <v>111181</v>
          </cell>
          <cell r="D39">
            <v>15446</v>
          </cell>
          <cell r="E39">
            <v>134894</v>
          </cell>
          <cell r="F39">
            <v>502549</v>
          </cell>
        </row>
        <row r="40">
          <cell r="B40">
            <v>57440</v>
          </cell>
          <cell r="C40">
            <v>98014</v>
          </cell>
          <cell r="D40">
            <v>5604</v>
          </cell>
          <cell r="E40">
            <v>41931</v>
          </cell>
          <cell r="F40">
            <v>202989</v>
          </cell>
        </row>
        <row r="41">
          <cell r="B41">
            <v>17833</v>
          </cell>
          <cell r="C41">
            <v>6072</v>
          </cell>
          <cell r="D41">
            <v>983</v>
          </cell>
          <cell r="E41">
            <v>4012</v>
          </cell>
          <cell r="F41">
            <v>28900</v>
          </cell>
        </row>
        <row r="42">
          <cell r="B42">
            <v>2778</v>
          </cell>
          <cell r="C42">
            <v>1222</v>
          </cell>
          <cell r="D42">
            <v>20</v>
          </cell>
          <cell r="E42">
            <v>450</v>
          </cell>
          <cell r="F42">
            <v>4470</v>
          </cell>
        </row>
        <row r="43">
          <cell r="B43">
            <v>5069</v>
          </cell>
          <cell r="C43">
            <v>3905</v>
          </cell>
          <cell r="D43">
            <v>123</v>
          </cell>
          <cell r="E43">
            <v>1159</v>
          </cell>
          <cell r="F43">
            <v>10256</v>
          </cell>
        </row>
        <row r="44">
          <cell r="B44">
            <v>133059</v>
          </cell>
          <cell r="C44">
            <v>65268</v>
          </cell>
          <cell r="D44">
            <v>8394</v>
          </cell>
          <cell r="E44">
            <v>61959</v>
          </cell>
          <cell r="F44">
            <v>268680</v>
          </cell>
        </row>
        <row r="45">
          <cell r="B45">
            <v>132133</v>
          </cell>
          <cell r="C45">
            <v>65047</v>
          </cell>
          <cell r="D45">
            <v>8755</v>
          </cell>
          <cell r="E45">
            <v>49158</v>
          </cell>
          <cell r="F45">
            <v>255093</v>
          </cell>
        </row>
        <row r="46">
          <cell r="B46">
            <v>60867</v>
          </cell>
          <cell r="C46">
            <v>23524</v>
          </cell>
          <cell r="D46">
            <v>4282</v>
          </cell>
          <cell r="E46">
            <v>23849</v>
          </cell>
          <cell r="F46">
            <v>112522</v>
          </cell>
        </row>
        <row r="47">
          <cell r="B47">
            <v>449693</v>
          </cell>
          <cell r="C47">
            <v>415527</v>
          </cell>
          <cell r="D47">
            <v>29824</v>
          </cell>
          <cell r="E47">
            <v>388733</v>
          </cell>
          <cell r="F47">
            <v>1283777</v>
          </cell>
        </row>
        <row r="48">
          <cell r="B48">
            <v>24208</v>
          </cell>
          <cell r="C48">
            <v>14794</v>
          </cell>
          <cell r="D48">
            <v>1876</v>
          </cell>
          <cell r="E48">
            <v>12439</v>
          </cell>
          <cell r="F48">
            <v>53317</v>
          </cell>
        </row>
        <row r="49">
          <cell r="B49">
            <v>47744</v>
          </cell>
          <cell r="C49">
            <v>13400</v>
          </cell>
          <cell r="D49">
            <v>2781</v>
          </cell>
          <cell r="E49">
            <v>14790</v>
          </cell>
          <cell r="F49">
            <v>78715</v>
          </cell>
        </row>
        <row r="50">
          <cell r="B50">
            <v>83973</v>
          </cell>
          <cell r="C50">
            <v>23607</v>
          </cell>
          <cell r="D50">
            <v>4832</v>
          </cell>
          <cell r="E50">
            <v>30309</v>
          </cell>
          <cell r="F50">
            <v>142721</v>
          </cell>
        </row>
        <row r="51">
          <cell r="B51">
            <v>11934</v>
          </cell>
          <cell r="C51">
            <v>4270</v>
          </cell>
          <cell r="D51">
            <v>706</v>
          </cell>
          <cell r="E51">
            <v>3055</v>
          </cell>
          <cell r="F51">
            <v>19965</v>
          </cell>
        </row>
        <row r="52">
          <cell r="B52">
            <v>224617</v>
          </cell>
          <cell r="C52">
            <v>320532</v>
          </cell>
          <cell r="D52">
            <v>26477</v>
          </cell>
          <cell r="E52">
            <v>245613</v>
          </cell>
          <cell r="F52">
            <v>817239</v>
          </cell>
        </row>
        <row r="53">
          <cell r="B53">
            <v>65381</v>
          </cell>
          <cell r="C53">
            <v>78168</v>
          </cell>
          <cell r="D53">
            <v>7596</v>
          </cell>
          <cell r="E53">
            <v>67597</v>
          </cell>
          <cell r="F53">
            <v>218742</v>
          </cell>
        </row>
        <row r="54">
          <cell r="B54">
            <v>296783</v>
          </cell>
          <cell r="C54">
            <v>328725</v>
          </cell>
          <cell r="D54">
            <v>30890</v>
          </cell>
          <cell r="E54">
            <v>252555</v>
          </cell>
          <cell r="F54">
            <v>908953</v>
          </cell>
        </row>
        <row r="55">
          <cell r="B55">
            <v>173187</v>
          </cell>
          <cell r="C55">
            <v>96417</v>
          </cell>
          <cell r="D55">
            <v>14789</v>
          </cell>
          <cell r="E55">
            <v>98171</v>
          </cell>
          <cell r="F55">
            <v>382564</v>
          </cell>
        </row>
        <row r="56">
          <cell r="B56">
            <v>234316</v>
          </cell>
          <cell r="C56">
            <v>190560</v>
          </cell>
          <cell r="D56">
            <v>19297</v>
          </cell>
          <cell r="E56">
            <v>151634</v>
          </cell>
          <cell r="F56">
            <v>595807</v>
          </cell>
        </row>
        <row r="57">
          <cell r="B57">
            <v>182138</v>
          </cell>
          <cell r="C57">
            <v>124750</v>
          </cell>
          <cell r="D57">
            <v>14727</v>
          </cell>
          <cell r="E57">
            <v>102478</v>
          </cell>
          <cell r="F57">
            <v>424093</v>
          </cell>
        </row>
        <row r="58">
          <cell r="B58">
            <v>26154</v>
          </cell>
          <cell r="C58">
            <v>11674</v>
          </cell>
          <cell r="D58">
            <v>1273</v>
          </cell>
          <cell r="E58">
            <v>7922</v>
          </cell>
          <cell r="F58">
            <v>47023</v>
          </cell>
        </row>
        <row r="59">
          <cell r="B59">
            <v>92839</v>
          </cell>
          <cell r="C59">
            <v>22299</v>
          </cell>
          <cell r="D59">
            <v>4952</v>
          </cell>
          <cell r="E59">
            <v>29537</v>
          </cell>
          <cell r="F59">
            <v>149627</v>
          </cell>
        </row>
        <row r="60">
          <cell r="B60">
            <v>161252</v>
          </cell>
          <cell r="C60">
            <v>85603</v>
          </cell>
          <cell r="D60">
            <v>10183</v>
          </cell>
          <cell r="E60">
            <v>79980</v>
          </cell>
          <cell r="F60">
            <v>337018</v>
          </cell>
        </row>
        <row r="61">
          <cell r="B61">
            <v>123800</v>
          </cell>
          <cell r="C61">
            <v>112714</v>
          </cell>
          <cell r="D61">
            <v>12259</v>
          </cell>
          <cell r="E61">
            <v>105323</v>
          </cell>
          <cell r="F61">
            <v>354096</v>
          </cell>
        </row>
        <row r="62">
          <cell r="B62">
            <v>131819</v>
          </cell>
          <cell r="C62">
            <v>49767</v>
          </cell>
          <cell r="D62">
            <v>6972</v>
          </cell>
          <cell r="E62">
            <v>51327</v>
          </cell>
          <cell r="F62">
            <v>239885</v>
          </cell>
        </row>
        <row r="63">
          <cell r="B63">
            <v>93064</v>
          </cell>
          <cell r="C63">
            <v>83854</v>
          </cell>
          <cell r="D63">
            <v>9199</v>
          </cell>
          <cell r="E63">
            <v>61991</v>
          </cell>
          <cell r="F63">
            <v>248108</v>
          </cell>
        </row>
        <row r="64">
          <cell r="B64">
            <v>75855</v>
          </cell>
          <cell r="C64">
            <v>24613</v>
          </cell>
          <cell r="D64">
            <v>2984</v>
          </cell>
          <cell r="E64">
            <v>26058</v>
          </cell>
          <cell r="F64">
            <v>129510</v>
          </cell>
        </row>
        <row r="65">
          <cell r="B65">
            <v>17065</v>
          </cell>
          <cell r="C65">
            <v>5635</v>
          </cell>
          <cell r="D65">
            <v>798</v>
          </cell>
          <cell r="E65">
            <v>3908</v>
          </cell>
          <cell r="F65">
            <v>27406</v>
          </cell>
        </row>
        <row r="66">
          <cell r="B66">
            <v>7355</v>
          </cell>
          <cell r="C66">
            <v>2899</v>
          </cell>
          <cell r="D66">
            <v>223</v>
          </cell>
          <cell r="E66">
            <v>945</v>
          </cell>
          <cell r="F66">
            <v>11422</v>
          </cell>
        </row>
        <row r="67">
          <cell r="B67">
            <v>4819</v>
          </cell>
          <cell r="C67">
            <v>1536</v>
          </cell>
          <cell r="D67">
            <v>129</v>
          </cell>
          <cell r="E67">
            <v>632</v>
          </cell>
          <cell r="F67">
            <v>7116</v>
          </cell>
        </row>
        <row r="68">
          <cell r="B68">
            <v>170695</v>
          </cell>
          <cell r="C68">
            <v>109788</v>
          </cell>
          <cell r="D68">
            <v>14722</v>
          </cell>
          <cell r="E68">
            <v>106858</v>
          </cell>
          <cell r="F68">
            <v>402063</v>
          </cell>
        </row>
        <row r="69">
          <cell r="B69">
            <v>13440</v>
          </cell>
          <cell r="C69">
            <v>6275</v>
          </cell>
          <cell r="D69">
            <v>793</v>
          </cell>
          <cell r="E69">
            <v>4076</v>
          </cell>
          <cell r="F69">
            <v>24584</v>
          </cell>
        </row>
        <row r="70">
          <cell r="B70">
            <v>41192</v>
          </cell>
          <cell r="C70">
            <v>7890</v>
          </cell>
          <cell r="D70">
            <v>1977</v>
          </cell>
          <cell r="E70">
            <v>10555</v>
          </cell>
          <cell r="F70">
            <v>61614</v>
          </cell>
        </row>
        <row r="71">
          <cell r="B71">
            <v>10196</v>
          </cell>
          <cell r="C71">
            <v>2876</v>
          </cell>
          <cell r="D71">
            <v>321</v>
          </cell>
          <cell r="E71">
            <v>1907</v>
          </cell>
          <cell r="F71">
            <v>15300</v>
          </cell>
        </row>
      </sheetData>
      <sheetData sheetId="6">
        <row r="5">
          <cell r="B5">
            <v>49515</v>
          </cell>
          <cell r="C5">
            <v>77846</v>
          </cell>
          <cell r="D5">
            <v>5166</v>
          </cell>
          <cell r="E5">
            <v>40696</v>
          </cell>
          <cell r="F5">
            <v>173223</v>
          </cell>
        </row>
        <row r="6">
          <cell r="B6">
            <v>12264</v>
          </cell>
          <cell r="C6">
            <v>2941</v>
          </cell>
          <cell r="D6">
            <v>397</v>
          </cell>
          <cell r="E6">
            <v>1884</v>
          </cell>
          <cell r="F6">
            <v>17486</v>
          </cell>
        </row>
        <row r="7">
          <cell r="B7">
            <v>76635</v>
          </cell>
          <cell r="C7">
            <v>26298</v>
          </cell>
          <cell r="D7">
            <v>4824</v>
          </cell>
          <cell r="E7">
            <v>28191</v>
          </cell>
          <cell r="F7">
            <v>135948</v>
          </cell>
        </row>
        <row r="8">
          <cell r="B8">
            <v>11211</v>
          </cell>
          <cell r="C8">
            <v>4227</v>
          </cell>
          <cell r="D8">
            <v>416</v>
          </cell>
          <cell r="E8">
            <v>2625</v>
          </cell>
          <cell r="F8">
            <v>18479</v>
          </cell>
        </row>
        <row r="9">
          <cell r="B9">
            <v>205555</v>
          </cell>
          <cell r="C9">
            <v>116606</v>
          </cell>
          <cell r="D9">
            <v>16942</v>
          </cell>
          <cell r="E9">
            <v>114245</v>
          </cell>
          <cell r="F9">
            <v>453348</v>
          </cell>
        </row>
        <row r="10">
          <cell r="B10">
            <v>279966</v>
          </cell>
          <cell r="C10">
            <v>521896</v>
          </cell>
          <cell r="D10">
            <v>29269</v>
          </cell>
          <cell r="E10">
            <v>354571</v>
          </cell>
          <cell r="F10">
            <v>1185702</v>
          </cell>
        </row>
        <row r="11">
          <cell r="B11">
            <v>4711</v>
          </cell>
          <cell r="C11">
            <v>1963</v>
          </cell>
          <cell r="D11">
            <v>85</v>
          </cell>
          <cell r="E11">
            <v>746</v>
          </cell>
          <cell r="F11">
            <v>7505</v>
          </cell>
        </row>
        <row r="12">
          <cell r="B12">
            <v>77526</v>
          </cell>
          <cell r="C12">
            <v>28662</v>
          </cell>
          <cell r="D12">
            <v>5681</v>
          </cell>
          <cell r="E12">
            <v>32722</v>
          </cell>
          <cell r="F12">
            <v>144591</v>
          </cell>
        </row>
        <row r="13">
          <cell r="B13">
            <v>67601</v>
          </cell>
          <cell r="C13">
            <v>20714</v>
          </cell>
          <cell r="D13">
            <v>4218</v>
          </cell>
          <cell r="E13">
            <v>22467</v>
          </cell>
          <cell r="F13">
            <v>115000</v>
          </cell>
        </row>
        <row r="14">
          <cell r="B14">
            <v>89235</v>
          </cell>
          <cell r="C14">
            <v>32026</v>
          </cell>
          <cell r="D14">
            <v>5379</v>
          </cell>
          <cell r="E14">
            <v>32594</v>
          </cell>
          <cell r="F14">
            <v>159234</v>
          </cell>
        </row>
        <row r="15">
          <cell r="B15">
            <v>142507</v>
          </cell>
          <cell r="C15">
            <v>50076</v>
          </cell>
          <cell r="D15">
            <v>7400</v>
          </cell>
          <cell r="E15">
            <v>57956</v>
          </cell>
          <cell r="F15">
            <v>257939</v>
          </cell>
        </row>
        <row r="16">
          <cell r="B16">
            <v>23500</v>
          </cell>
          <cell r="C16">
            <v>9423</v>
          </cell>
          <cell r="D16">
            <v>1138</v>
          </cell>
          <cell r="E16">
            <v>6039</v>
          </cell>
          <cell r="F16">
            <v>40100</v>
          </cell>
        </row>
        <row r="17">
          <cell r="B17">
            <v>7811</v>
          </cell>
          <cell r="C17">
            <v>4066</v>
          </cell>
          <cell r="D17">
            <v>438</v>
          </cell>
          <cell r="E17">
            <v>2963</v>
          </cell>
          <cell r="F17">
            <v>15278</v>
          </cell>
        </row>
        <row r="18">
          <cell r="B18">
            <v>7198</v>
          </cell>
          <cell r="C18">
            <v>2142</v>
          </cell>
          <cell r="D18">
            <v>248</v>
          </cell>
          <cell r="E18">
            <v>1769</v>
          </cell>
          <cell r="F18">
            <v>11357</v>
          </cell>
        </row>
        <row r="19">
          <cell r="B19">
            <v>239376</v>
          </cell>
          <cell r="C19">
            <v>249508</v>
          </cell>
          <cell r="D19">
            <v>21646</v>
          </cell>
          <cell r="E19">
            <v>147108</v>
          </cell>
          <cell r="F19">
            <v>657638</v>
          </cell>
        </row>
        <row r="20">
          <cell r="B20">
            <v>104175</v>
          </cell>
          <cell r="C20">
            <v>66338</v>
          </cell>
          <cell r="D20">
            <v>6998</v>
          </cell>
          <cell r="E20">
            <v>46411</v>
          </cell>
          <cell r="F20">
            <v>223922</v>
          </cell>
        </row>
        <row r="21">
          <cell r="B21">
            <v>49348</v>
          </cell>
          <cell r="C21">
            <v>24198</v>
          </cell>
          <cell r="D21">
            <v>3687</v>
          </cell>
          <cell r="E21">
            <v>22391</v>
          </cell>
          <cell r="F21">
            <v>99624</v>
          </cell>
        </row>
        <row r="22">
          <cell r="B22">
            <v>4040</v>
          </cell>
          <cell r="C22">
            <v>2249</v>
          </cell>
          <cell r="D22">
            <v>269</v>
          </cell>
          <cell r="E22">
            <v>1087</v>
          </cell>
          <cell r="F22">
            <v>7645</v>
          </cell>
        </row>
        <row r="23">
          <cell r="B23">
            <v>5678</v>
          </cell>
          <cell r="C23">
            <v>17464</v>
          </cell>
          <cell r="D23">
            <v>428</v>
          </cell>
          <cell r="E23">
            <v>2704</v>
          </cell>
          <cell r="F23">
            <v>26274</v>
          </cell>
        </row>
        <row r="24">
          <cell r="B24">
            <v>8839</v>
          </cell>
          <cell r="C24">
            <v>1772</v>
          </cell>
          <cell r="D24">
            <v>413</v>
          </cell>
          <cell r="E24">
            <v>1557</v>
          </cell>
          <cell r="F24">
            <v>12581</v>
          </cell>
        </row>
        <row r="25">
          <cell r="B25">
            <v>3910</v>
          </cell>
          <cell r="C25">
            <v>1393</v>
          </cell>
          <cell r="D25">
            <v>183</v>
          </cell>
          <cell r="E25">
            <v>1037</v>
          </cell>
          <cell r="F25">
            <v>6523</v>
          </cell>
        </row>
        <row r="26">
          <cell r="B26">
            <v>6849</v>
          </cell>
          <cell r="C26">
            <v>2356</v>
          </cell>
          <cell r="D26">
            <v>332</v>
          </cell>
          <cell r="E26">
            <v>1261</v>
          </cell>
          <cell r="F26">
            <v>10798</v>
          </cell>
        </row>
        <row r="27">
          <cell r="B27">
            <v>3564</v>
          </cell>
          <cell r="C27">
            <v>2316</v>
          </cell>
          <cell r="D27">
            <v>170</v>
          </cell>
          <cell r="E27">
            <v>767</v>
          </cell>
          <cell r="F27">
            <v>6817</v>
          </cell>
        </row>
        <row r="28">
          <cell r="B28">
            <v>6764</v>
          </cell>
          <cell r="C28">
            <v>2678</v>
          </cell>
          <cell r="D28">
            <v>313</v>
          </cell>
          <cell r="E28">
            <v>2202</v>
          </cell>
          <cell r="F28">
            <v>11957</v>
          </cell>
        </row>
        <row r="29">
          <cell r="B29">
            <v>8919</v>
          </cell>
          <cell r="C29">
            <v>5157</v>
          </cell>
          <cell r="D29">
            <v>451</v>
          </cell>
          <cell r="E29">
            <v>3257</v>
          </cell>
          <cell r="F29">
            <v>17784</v>
          </cell>
        </row>
        <row r="30">
          <cell r="B30">
            <v>67543</v>
          </cell>
          <cell r="C30">
            <v>30064</v>
          </cell>
          <cell r="D30">
            <v>4997</v>
          </cell>
          <cell r="E30">
            <v>29079</v>
          </cell>
          <cell r="F30">
            <v>131683</v>
          </cell>
        </row>
        <row r="31">
          <cell r="B31">
            <v>34324</v>
          </cell>
          <cell r="C31">
            <v>13788</v>
          </cell>
          <cell r="D31">
            <v>2160</v>
          </cell>
          <cell r="E31">
            <v>12222</v>
          </cell>
          <cell r="F31">
            <v>62494</v>
          </cell>
        </row>
        <row r="32">
          <cell r="B32">
            <v>288139</v>
          </cell>
          <cell r="C32">
            <v>271600</v>
          </cell>
          <cell r="D32">
            <v>26279</v>
          </cell>
          <cell r="E32">
            <v>213756</v>
          </cell>
          <cell r="F32">
            <v>799774</v>
          </cell>
        </row>
        <row r="33">
          <cell r="B33">
            <v>8030</v>
          </cell>
          <cell r="C33">
            <v>1551</v>
          </cell>
          <cell r="D33">
            <v>242</v>
          </cell>
          <cell r="E33">
            <v>1172</v>
          </cell>
          <cell r="F33">
            <v>10995</v>
          </cell>
        </row>
        <row r="34">
          <cell r="B34">
            <v>60441</v>
          </cell>
          <cell r="C34">
            <v>25697</v>
          </cell>
          <cell r="D34">
            <v>4289</v>
          </cell>
          <cell r="E34">
            <v>24222</v>
          </cell>
          <cell r="F34">
            <v>114649</v>
          </cell>
        </row>
        <row r="35">
          <cell r="B35">
            <v>15443</v>
          </cell>
          <cell r="C35">
            <v>7930</v>
          </cell>
          <cell r="D35">
            <v>535</v>
          </cell>
          <cell r="E35">
            <v>2586</v>
          </cell>
          <cell r="F35">
            <v>26494</v>
          </cell>
        </row>
        <row r="36">
          <cell r="B36">
            <v>4547</v>
          </cell>
          <cell r="C36">
            <v>3826</v>
          </cell>
          <cell r="D36">
            <v>178</v>
          </cell>
          <cell r="E36">
            <v>1142</v>
          </cell>
          <cell r="F36">
            <v>9693</v>
          </cell>
        </row>
        <row r="37">
          <cell r="B37">
            <v>3251</v>
          </cell>
          <cell r="C37">
            <v>592</v>
          </cell>
          <cell r="D37">
            <v>67</v>
          </cell>
          <cell r="E37">
            <v>264</v>
          </cell>
          <cell r="F37">
            <v>4174</v>
          </cell>
        </row>
        <row r="38">
          <cell r="B38">
            <v>127000</v>
          </cell>
          <cell r="C38">
            <v>66091</v>
          </cell>
          <cell r="D38">
            <v>8726</v>
          </cell>
          <cell r="E38">
            <v>62572</v>
          </cell>
          <cell r="F38">
            <v>264389</v>
          </cell>
        </row>
        <row r="39">
          <cell r="B39">
            <v>241753</v>
          </cell>
          <cell r="C39">
            <v>111390</v>
          </cell>
          <cell r="D39">
            <v>15660</v>
          </cell>
          <cell r="E39">
            <v>135217</v>
          </cell>
          <cell r="F39">
            <v>504020</v>
          </cell>
        </row>
        <row r="40">
          <cell r="B40">
            <v>53896</v>
          </cell>
          <cell r="C40">
            <v>87468</v>
          </cell>
          <cell r="D40">
            <v>5229</v>
          </cell>
          <cell r="E40">
            <v>35279</v>
          </cell>
          <cell r="F40">
            <v>181872</v>
          </cell>
        </row>
        <row r="41">
          <cell r="B41">
            <v>17889</v>
          </cell>
          <cell r="C41">
            <v>6074</v>
          </cell>
          <cell r="D41">
            <v>1002</v>
          </cell>
          <cell r="E41">
            <v>4043</v>
          </cell>
          <cell r="F41">
            <v>29008</v>
          </cell>
        </row>
        <row r="42">
          <cell r="B42">
            <v>2782</v>
          </cell>
          <cell r="C42">
            <v>1220</v>
          </cell>
          <cell r="D42">
            <v>21</v>
          </cell>
          <cell r="E42">
            <v>447</v>
          </cell>
          <cell r="F42">
            <v>4470</v>
          </cell>
        </row>
        <row r="43">
          <cell r="B43">
            <v>5076</v>
          </cell>
          <cell r="C43">
            <v>3909</v>
          </cell>
          <cell r="D43">
            <v>123</v>
          </cell>
          <cell r="E43">
            <v>1160</v>
          </cell>
          <cell r="F43">
            <v>10268</v>
          </cell>
        </row>
        <row r="44">
          <cell r="B44">
            <v>133590</v>
          </cell>
          <cell r="C44">
            <v>65454</v>
          </cell>
          <cell r="D44">
            <v>8533</v>
          </cell>
          <cell r="E44">
            <v>62302</v>
          </cell>
          <cell r="F44">
            <v>269879</v>
          </cell>
        </row>
        <row r="45">
          <cell r="B45">
            <v>131716</v>
          </cell>
          <cell r="C45">
            <v>64761</v>
          </cell>
          <cell r="D45">
            <v>8821</v>
          </cell>
          <cell r="E45">
            <v>49030</v>
          </cell>
          <cell r="F45">
            <v>254328</v>
          </cell>
        </row>
        <row r="46">
          <cell r="B46">
            <v>61015</v>
          </cell>
          <cell r="C46">
            <v>23502</v>
          </cell>
          <cell r="D46">
            <v>4341</v>
          </cell>
          <cell r="E46">
            <v>23885</v>
          </cell>
          <cell r="F46">
            <v>112743</v>
          </cell>
        </row>
        <row r="47">
          <cell r="B47">
            <v>450532</v>
          </cell>
          <cell r="C47">
            <v>416439</v>
          </cell>
          <cell r="D47">
            <v>30281</v>
          </cell>
          <cell r="E47">
            <v>390297</v>
          </cell>
          <cell r="F47">
            <v>1287549</v>
          </cell>
        </row>
        <row r="48">
          <cell r="B48">
            <v>24333</v>
          </cell>
          <cell r="C48">
            <v>14803</v>
          </cell>
          <cell r="D48">
            <v>1900</v>
          </cell>
          <cell r="E48">
            <v>12469</v>
          </cell>
          <cell r="F48">
            <v>53505</v>
          </cell>
        </row>
        <row r="49">
          <cell r="B49">
            <v>47724</v>
          </cell>
          <cell r="C49">
            <v>13412</v>
          </cell>
          <cell r="D49">
            <v>2822</v>
          </cell>
          <cell r="E49">
            <v>14774</v>
          </cell>
          <cell r="F49">
            <v>78732</v>
          </cell>
        </row>
        <row r="50">
          <cell r="B50">
            <v>84200</v>
          </cell>
          <cell r="C50">
            <v>23687</v>
          </cell>
          <cell r="D50">
            <v>4902</v>
          </cell>
          <cell r="E50">
            <v>30454</v>
          </cell>
          <cell r="F50">
            <v>143243</v>
          </cell>
        </row>
        <row r="51">
          <cell r="B51">
            <v>11969</v>
          </cell>
          <cell r="C51">
            <v>4283</v>
          </cell>
          <cell r="D51">
            <v>722</v>
          </cell>
          <cell r="E51">
            <v>3074</v>
          </cell>
          <cell r="F51">
            <v>20048</v>
          </cell>
        </row>
        <row r="52">
          <cell r="B52">
            <v>225470</v>
          </cell>
          <cell r="C52">
            <v>321717</v>
          </cell>
          <cell r="D52">
            <v>27102</v>
          </cell>
          <cell r="E52">
            <v>246524</v>
          </cell>
          <cell r="F52">
            <v>820813</v>
          </cell>
        </row>
        <row r="53">
          <cell r="B53">
            <v>65609</v>
          </cell>
          <cell r="C53">
            <v>78333</v>
          </cell>
          <cell r="D53">
            <v>7748</v>
          </cell>
          <cell r="E53">
            <v>67831</v>
          </cell>
          <cell r="F53">
            <v>219521</v>
          </cell>
        </row>
        <row r="54">
          <cell r="B54">
            <v>297599</v>
          </cell>
          <cell r="C54">
            <v>329028</v>
          </cell>
          <cell r="D54">
            <v>31260</v>
          </cell>
          <cell r="E54">
            <v>253228</v>
          </cell>
          <cell r="F54">
            <v>911115</v>
          </cell>
        </row>
        <row r="55">
          <cell r="B55">
            <v>173142</v>
          </cell>
          <cell r="C55">
            <v>96112</v>
          </cell>
          <cell r="D55">
            <v>14926</v>
          </cell>
          <cell r="E55">
            <v>97657</v>
          </cell>
          <cell r="F55">
            <v>381837</v>
          </cell>
        </row>
        <row r="56">
          <cell r="B56">
            <v>235030</v>
          </cell>
          <cell r="C56">
            <v>190953</v>
          </cell>
          <cell r="D56">
            <v>19586</v>
          </cell>
          <cell r="E56">
            <v>152414</v>
          </cell>
          <cell r="F56">
            <v>597983</v>
          </cell>
        </row>
        <row r="57">
          <cell r="B57">
            <v>183028</v>
          </cell>
          <cell r="C57">
            <v>125460</v>
          </cell>
          <cell r="D57">
            <v>15082</v>
          </cell>
          <cell r="E57">
            <v>103336</v>
          </cell>
          <cell r="F57">
            <v>426906</v>
          </cell>
        </row>
        <row r="58">
          <cell r="B58">
            <v>26220</v>
          </cell>
          <cell r="C58">
            <v>11684</v>
          </cell>
          <cell r="D58">
            <v>1293</v>
          </cell>
          <cell r="E58">
            <v>7952</v>
          </cell>
          <cell r="F58">
            <v>47149</v>
          </cell>
        </row>
        <row r="59">
          <cell r="B59">
            <v>86257</v>
          </cell>
          <cell r="C59">
            <v>19780</v>
          </cell>
          <cell r="D59">
            <v>4508</v>
          </cell>
          <cell r="E59">
            <v>24330</v>
          </cell>
          <cell r="F59">
            <v>134875</v>
          </cell>
        </row>
        <row r="60">
          <cell r="B60">
            <v>161828</v>
          </cell>
          <cell r="C60">
            <v>85650</v>
          </cell>
          <cell r="D60">
            <v>10328</v>
          </cell>
          <cell r="E60">
            <v>80248</v>
          </cell>
          <cell r="F60">
            <v>338054</v>
          </cell>
        </row>
        <row r="61">
          <cell r="B61">
            <v>122863</v>
          </cell>
          <cell r="C61">
            <v>111524</v>
          </cell>
          <cell r="D61">
            <v>12203</v>
          </cell>
          <cell r="E61">
            <v>104085</v>
          </cell>
          <cell r="F61">
            <v>350675</v>
          </cell>
        </row>
        <row r="62">
          <cell r="B62">
            <v>127524</v>
          </cell>
          <cell r="C62">
            <v>46813</v>
          </cell>
          <cell r="D62">
            <v>6782</v>
          </cell>
          <cell r="E62">
            <v>46503</v>
          </cell>
          <cell r="F62">
            <v>227622</v>
          </cell>
        </row>
        <row r="63">
          <cell r="B63">
            <v>93495</v>
          </cell>
          <cell r="C63">
            <v>84010</v>
          </cell>
          <cell r="D63">
            <v>9383</v>
          </cell>
          <cell r="E63">
            <v>62139</v>
          </cell>
          <cell r="F63">
            <v>249027</v>
          </cell>
        </row>
        <row r="64">
          <cell r="B64">
            <v>76312</v>
          </cell>
          <cell r="C64">
            <v>24708</v>
          </cell>
          <cell r="D64">
            <v>3055</v>
          </cell>
          <cell r="E64">
            <v>26202</v>
          </cell>
          <cell r="F64">
            <v>130277</v>
          </cell>
        </row>
        <row r="65">
          <cell r="B65">
            <v>17120</v>
          </cell>
          <cell r="C65">
            <v>5635</v>
          </cell>
          <cell r="D65">
            <v>808</v>
          </cell>
          <cell r="E65">
            <v>3933</v>
          </cell>
          <cell r="F65">
            <v>27496</v>
          </cell>
        </row>
        <row r="66">
          <cell r="B66">
            <v>7363</v>
          </cell>
          <cell r="C66">
            <v>2894</v>
          </cell>
          <cell r="D66">
            <v>223</v>
          </cell>
          <cell r="E66">
            <v>951</v>
          </cell>
          <cell r="F66">
            <v>11431</v>
          </cell>
        </row>
        <row r="67">
          <cell r="B67">
            <v>4820</v>
          </cell>
          <cell r="C67">
            <v>1537</v>
          </cell>
          <cell r="D67">
            <v>131</v>
          </cell>
          <cell r="E67">
            <v>633</v>
          </cell>
          <cell r="F67">
            <v>7121</v>
          </cell>
        </row>
        <row r="68">
          <cell r="B68">
            <v>168799</v>
          </cell>
          <cell r="C68">
            <v>108025</v>
          </cell>
          <cell r="D68">
            <v>14704</v>
          </cell>
          <cell r="E68">
            <v>104953</v>
          </cell>
          <cell r="F68">
            <v>396481</v>
          </cell>
        </row>
        <row r="69">
          <cell r="B69">
            <v>13484</v>
          </cell>
          <cell r="C69">
            <v>6271</v>
          </cell>
          <cell r="D69">
            <v>811</v>
          </cell>
          <cell r="E69">
            <v>4086</v>
          </cell>
          <cell r="F69">
            <v>24652</v>
          </cell>
        </row>
        <row r="70">
          <cell r="B70">
            <v>41422</v>
          </cell>
          <cell r="C70">
            <v>7923</v>
          </cell>
          <cell r="D70">
            <v>2009</v>
          </cell>
          <cell r="E70">
            <v>10598</v>
          </cell>
          <cell r="F70">
            <v>61952</v>
          </cell>
        </row>
        <row r="71">
          <cell r="B71">
            <v>10225</v>
          </cell>
          <cell r="C71">
            <v>2873</v>
          </cell>
          <cell r="D71">
            <v>324</v>
          </cell>
          <cell r="E71">
            <v>1912</v>
          </cell>
          <cell r="F71">
            <v>15334</v>
          </cell>
        </row>
      </sheetData>
      <sheetData sheetId="7">
        <row r="5">
          <cell r="B5">
            <v>49637</v>
          </cell>
          <cell r="C5">
            <v>77840</v>
          </cell>
          <cell r="D5">
            <v>5233</v>
          </cell>
          <cell r="E5">
            <v>40800</v>
          </cell>
          <cell r="F5">
            <v>173510</v>
          </cell>
        </row>
        <row r="6">
          <cell r="B6">
            <v>12264</v>
          </cell>
          <cell r="C6">
            <v>2876</v>
          </cell>
          <cell r="D6">
            <v>406</v>
          </cell>
          <cell r="E6">
            <v>1852</v>
          </cell>
          <cell r="F6">
            <v>17398</v>
          </cell>
        </row>
        <row r="7">
          <cell r="B7">
            <v>76732</v>
          </cell>
          <cell r="C7">
            <v>26295</v>
          </cell>
          <cell r="D7">
            <v>4897</v>
          </cell>
          <cell r="E7">
            <v>28155</v>
          </cell>
          <cell r="F7">
            <v>136079</v>
          </cell>
        </row>
        <row r="8">
          <cell r="B8">
            <v>11216</v>
          </cell>
          <cell r="C8">
            <v>4218</v>
          </cell>
          <cell r="D8">
            <v>427</v>
          </cell>
          <cell r="E8">
            <v>2623</v>
          </cell>
          <cell r="F8">
            <v>18484</v>
          </cell>
        </row>
        <row r="9">
          <cell r="B9">
            <v>197940</v>
          </cell>
          <cell r="C9">
            <v>109081</v>
          </cell>
          <cell r="D9">
            <v>16272</v>
          </cell>
          <cell r="E9">
            <v>102829</v>
          </cell>
          <cell r="F9">
            <v>426122</v>
          </cell>
        </row>
        <row r="10">
          <cell r="B10">
            <v>281060</v>
          </cell>
          <cell r="C10">
            <v>522009</v>
          </cell>
          <cell r="D10">
            <v>29839</v>
          </cell>
          <cell r="E10">
            <v>355991</v>
          </cell>
          <cell r="F10">
            <v>1188899</v>
          </cell>
        </row>
        <row r="11">
          <cell r="B11">
            <v>4725</v>
          </cell>
          <cell r="C11">
            <v>1962</v>
          </cell>
          <cell r="D11">
            <v>86</v>
          </cell>
          <cell r="E11">
            <v>745</v>
          </cell>
          <cell r="F11">
            <v>7518</v>
          </cell>
        </row>
        <row r="12">
          <cell r="B12">
            <v>77977</v>
          </cell>
          <cell r="C12">
            <v>28704</v>
          </cell>
          <cell r="D12">
            <v>5757</v>
          </cell>
          <cell r="E12">
            <v>32788</v>
          </cell>
          <cell r="F12">
            <v>145226</v>
          </cell>
        </row>
        <row r="13">
          <cell r="B13">
            <v>67769</v>
          </cell>
          <cell r="C13">
            <v>20677</v>
          </cell>
          <cell r="D13">
            <v>4251</v>
          </cell>
          <cell r="E13">
            <v>22419</v>
          </cell>
          <cell r="F13">
            <v>115116</v>
          </cell>
        </row>
        <row r="14">
          <cell r="B14">
            <v>85770</v>
          </cell>
          <cell r="C14">
            <v>29615</v>
          </cell>
          <cell r="D14">
            <v>5169</v>
          </cell>
          <cell r="E14">
            <v>28760</v>
          </cell>
          <cell r="F14">
            <v>149314</v>
          </cell>
        </row>
        <row r="15">
          <cell r="B15">
            <v>142887</v>
          </cell>
          <cell r="C15">
            <v>50137</v>
          </cell>
          <cell r="D15">
            <v>7482</v>
          </cell>
          <cell r="E15">
            <v>58053</v>
          </cell>
          <cell r="F15">
            <v>258559</v>
          </cell>
        </row>
        <row r="16">
          <cell r="B16">
            <v>23580</v>
          </cell>
          <cell r="C16">
            <v>9455</v>
          </cell>
          <cell r="D16">
            <v>1163</v>
          </cell>
          <cell r="E16">
            <v>6094</v>
          </cell>
          <cell r="F16">
            <v>40292</v>
          </cell>
        </row>
        <row r="17">
          <cell r="B17">
            <v>7831</v>
          </cell>
          <cell r="C17">
            <v>4060</v>
          </cell>
          <cell r="D17">
            <v>445</v>
          </cell>
          <cell r="E17">
            <v>2973</v>
          </cell>
          <cell r="F17">
            <v>15309</v>
          </cell>
        </row>
        <row r="18">
          <cell r="B18">
            <v>6654</v>
          </cell>
          <cell r="C18">
            <v>1643</v>
          </cell>
          <cell r="D18">
            <v>224</v>
          </cell>
          <cell r="E18">
            <v>1305</v>
          </cell>
          <cell r="F18">
            <v>9826</v>
          </cell>
        </row>
        <row r="19">
          <cell r="B19">
            <v>239318</v>
          </cell>
          <cell r="C19">
            <v>249234</v>
          </cell>
          <cell r="D19">
            <v>21870</v>
          </cell>
          <cell r="E19">
            <v>147062</v>
          </cell>
          <cell r="F19">
            <v>657484</v>
          </cell>
        </row>
        <row r="20">
          <cell r="B20">
            <v>103129</v>
          </cell>
          <cell r="C20">
            <v>65560</v>
          </cell>
          <cell r="D20">
            <v>6972</v>
          </cell>
          <cell r="E20">
            <v>45721</v>
          </cell>
          <cell r="F20">
            <v>221382</v>
          </cell>
        </row>
        <row r="21">
          <cell r="B21">
            <v>47770</v>
          </cell>
          <cell r="C21">
            <v>22812</v>
          </cell>
          <cell r="D21">
            <v>3589</v>
          </cell>
          <cell r="E21">
            <v>20089</v>
          </cell>
          <cell r="F21">
            <v>94260</v>
          </cell>
        </row>
        <row r="22">
          <cell r="B22">
            <v>4043</v>
          </cell>
          <cell r="C22">
            <v>2246</v>
          </cell>
          <cell r="D22">
            <v>272</v>
          </cell>
          <cell r="E22">
            <v>1092</v>
          </cell>
          <cell r="F22">
            <v>7653</v>
          </cell>
        </row>
        <row r="23">
          <cell r="B23">
            <v>5678</v>
          </cell>
          <cell r="C23">
            <v>17442</v>
          </cell>
          <cell r="D23">
            <v>438</v>
          </cell>
          <cell r="E23">
            <v>2714</v>
          </cell>
          <cell r="F23">
            <v>26272</v>
          </cell>
        </row>
        <row r="24">
          <cell r="B24">
            <v>8886</v>
          </cell>
          <cell r="C24">
            <v>1759</v>
          </cell>
          <cell r="D24">
            <v>423</v>
          </cell>
          <cell r="E24">
            <v>1552</v>
          </cell>
          <cell r="F24">
            <v>12620</v>
          </cell>
        </row>
        <row r="25">
          <cell r="B25">
            <v>3925</v>
          </cell>
          <cell r="C25">
            <v>1392</v>
          </cell>
          <cell r="D25">
            <v>190</v>
          </cell>
          <cell r="E25">
            <v>1036</v>
          </cell>
          <cell r="F25">
            <v>6543</v>
          </cell>
        </row>
        <row r="26">
          <cell r="B26">
            <v>6883</v>
          </cell>
          <cell r="C26">
            <v>2349</v>
          </cell>
          <cell r="D26">
            <v>337</v>
          </cell>
          <cell r="E26">
            <v>1259</v>
          </cell>
          <cell r="F26">
            <v>10828</v>
          </cell>
        </row>
        <row r="27">
          <cell r="B27">
            <v>3578</v>
          </cell>
          <cell r="C27">
            <v>2320</v>
          </cell>
          <cell r="D27">
            <v>171</v>
          </cell>
          <cell r="E27">
            <v>775</v>
          </cell>
          <cell r="F27">
            <v>6844</v>
          </cell>
        </row>
        <row r="28">
          <cell r="B28">
            <v>6766</v>
          </cell>
          <cell r="C28">
            <v>2691</v>
          </cell>
          <cell r="D28">
            <v>320</v>
          </cell>
          <cell r="E28">
            <v>2205</v>
          </cell>
          <cell r="F28">
            <v>11982</v>
          </cell>
        </row>
        <row r="29">
          <cell r="B29">
            <v>8954</v>
          </cell>
          <cell r="C29">
            <v>5163</v>
          </cell>
          <cell r="D29">
            <v>464</v>
          </cell>
          <cell r="E29">
            <v>3289</v>
          </cell>
          <cell r="F29">
            <v>17870</v>
          </cell>
        </row>
        <row r="30">
          <cell r="B30">
            <v>67777</v>
          </cell>
          <cell r="C30">
            <v>30101</v>
          </cell>
          <cell r="D30">
            <v>5071</v>
          </cell>
          <cell r="E30">
            <v>29180</v>
          </cell>
          <cell r="F30">
            <v>132129</v>
          </cell>
        </row>
        <row r="31">
          <cell r="B31">
            <v>34427</v>
          </cell>
          <cell r="C31">
            <v>13787</v>
          </cell>
          <cell r="D31">
            <v>2209</v>
          </cell>
          <cell r="E31">
            <v>12263</v>
          </cell>
          <cell r="F31">
            <v>62686</v>
          </cell>
        </row>
        <row r="32">
          <cell r="B32">
            <v>288998</v>
          </cell>
          <cell r="C32">
            <v>272043</v>
          </cell>
          <cell r="D32">
            <v>26744</v>
          </cell>
          <cell r="E32">
            <v>214571</v>
          </cell>
          <cell r="F32">
            <v>802356</v>
          </cell>
        </row>
        <row r="33">
          <cell r="B33">
            <v>8057</v>
          </cell>
          <cell r="C33">
            <v>1545</v>
          </cell>
          <cell r="D33">
            <v>248</v>
          </cell>
          <cell r="E33">
            <v>1174</v>
          </cell>
          <cell r="F33">
            <v>11024</v>
          </cell>
        </row>
        <row r="34">
          <cell r="B34">
            <v>60627</v>
          </cell>
          <cell r="C34">
            <v>25687</v>
          </cell>
          <cell r="D34">
            <v>4327</v>
          </cell>
          <cell r="E34">
            <v>24303</v>
          </cell>
          <cell r="F34">
            <v>114944</v>
          </cell>
        </row>
        <row r="35">
          <cell r="B35">
            <v>15369</v>
          </cell>
          <cell r="C35">
            <v>7856</v>
          </cell>
          <cell r="D35">
            <v>534</v>
          </cell>
          <cell r="E35">
            <v>2539</v>
          </cell>
          <cell r="F35">
            <v>26298</v>
          </cell>
        </row>
        <row r="36">
          <cell r="B36">
            <v>4563</v>
          </cell>
          <cell r="C36">
            <v>3826</v>
          </cell>
          <cell r="D36">
            <v>180</v>
          </cell>
          <cell r="E36">
            <v>1149</v>
          </cell>
          <cell r="F36">
            <v>9718</v>
          </cell>
        </row>
        <row r="37">
          <cell r="B37">
            <v>3257</v>
          </cell>
          <cell r="C37">
            <v>590</v>
          </cell>
          <cell r="D37">
            <v>70</v>
          </cell>
          <cell r="E37">
            <v>267</v>
          </cell>
          <cell r="F37">
            <v>4184</v>
          </cell>
        </row>
        <row r="38">
          <cell r="B38">
            <v>127754</v>
          </cell>
          <cell r="C38">
            <v>66421</v>
          </cell>
          <cell r="D38">
            <v>8920</v>
          </cell>
          <cell r="E38">
            <v>63076</v>
          </cell>
          <cell r="F38">
            <v>266171</v>
          </cell>
        </row>
        <row r="39">
          <cell r="B39">
            <v>242500</v>
          </cell>
          <cell r="C39">
            <v>111531</v>
          </cell>
          <cell r="D39">
            <v>15936</v>
          </cell>
          <cell r="E39">
            <v>135401</v>
          </cell>
          <cell r="F39">
            <v>505368</v>
          </cell>
        </row>
        <row r="40">
          <cell r="B40">
            <v>54023</v>
          </cell>
          <cell r="C40">
            <v>87491</v>
          </cell>
          <cell r="D40">
            <v>5290</v>
          </cell>
          <cell r="E40">
            <v>35379</v>
          </cell>
          <cell r="F40">
            <v>182183</v>
          </cell>
        </row>
        <row r="41">
          <cell r="B41">
            <v>17953</v>
          </cell>
          <cell r="C41">
            <v>6087</v>
          </cell>
          <cell r="D41">
            <v>1023</v>
          </cell>
          <cell r="E41">
            <v>4058</v>
          </cell>
          <cell r="F41">
            <v>29121</v>
          </cell>
        </row>
        <row r="42">
          <cell r="B42">
            <v>2793</v>
          </cell>
          <cell r="C42">
            <v>1215</v>
          </cell>
          <cell r="D42">
            <v>21</v>
          </cell>
          <cell r="E42">
            <v>448</v>
          </cell>
          <cell r="F42">
            <v>4477</v>
          </cell>
        </row>
        <row r="43">
          <cell r="B43">
            <v>5086</v>
          </cell>
          <cell r="C43">
            <v>3909</v>
          </cell>
          <cell r="D43">
            <v>123</v>
          </cell>
          <cell r="E43">
            <v>1168</v>
          </cell>
          <cell r="F43">
            <v>10286</v>
          </cell>
        </row>
        <row r="44">
          <cell r="B44">
            <v>134217</v>
          </cell>
          <cell r="C44">
            <v>65601</v>
          </cell>
          <cell r="D44">
            <v>8649</v>
          </cell>
          <cell r="E44">
            <v>62537</v>
          </cell>
          <cell r="F44">
            <v>271004</v>
          </cell>
        </row>
        <row r="45">
          <cell r="B45">
            <v>132384</v>
          </cell>
          <cell r="C45">
            <v>64929</v>
          </cell>
          <cell r="D45">
            <v>9001</v>
          </cell>
          <cell r="E45">
            <v>49298</v>
          </cell>
          <cell r="F45">
            <v>255612</v>
          </cell>
        </row>
        <row r="46">
          <cell r="B46">
            <v>61172</v>
          </cell>
          <cell r="C46">
            <v>23474</v>
          </cell>
          <cell r="D46">
            <v>4397</v>
          </cell>
          <cell r="E46">
            <v>23887</v>
          </cell>
          <cell r="F46">
            <v>112930</v>
          </cell>
        </row>
        <row r="47">
          <cell r="B47">
            <v>449692</v>
          </cell>
          <cell r="C47">
            <v>414094</v>
          </cell>
          <cell r="D47">
            <v>30537</v>
          </cell>
          <cell r="E47">
            <v>389316</v>
          </cell>
          <cell r="F47">
            <v>1283639</v>
          </cell>
        </row>
        <row r="48">
          <cell r="B48">
            <v>24437</v>
          </cell>
          <cell r="C48">
            <v>14802</v>
          </cell>
          <cell r="D48">
            <v>1940</v>
          </cell>
          <cell r="E48">
            <v>12502</v>
          </cell>
          <cell r="F48">
            <v>53681</v>
          </cell>
        </row>
        <row r="49">
          <cell r="B49">
            <v>47757</v>
          </cell>
          <cell r="C49">
            <v>13370</v>
          </cell>
          <cell r="D49">
            <v>2845</v>
          </cell>
          <cell r="E49">
            <v>14746</v>
          </cell>
          <cell r="F49">
            <v>78718</v>
          </cell>
        </row>
        <row r="50">
          <cell r="B50">
            <v>83769</v>
          </cell>
          <cell r="C50">
            <v>23463</v>
          </cell>
          <cell r="D50">
            <v>4882</v>
          </cell>
          <cell r="E50">
            <v>30137</v>
          </cell>
          <cell r="F50">
            <v>142251</v>
          </cell>
        </row>
        <row r="51">
          <cell r="B51">
            <v>12018</v>
          </cell>
          <cell r="C51">
            <v>4289</v>
          </cell>
          <cell r="D51">
            <v>737</v>
          </cell>
          <cell r="E51">
            <v>3090</v>
          </cell>
          <cell r="F51">
            <v>20134</v>
          </cell>
        </row>
        <row r="52">
          <cell r="B52">
            <v>225639</v>
          </cell>
          <cell r="C52">
            <v>321700</v>
          </cell>
          <cell r="D52">
            <v>27535</v>
          </cell>
          <cell r="E52">
            <v>246563</v>
          </cell>
          <cell r="F52">
            <v>821437</v>
          </cell>
        </row>
        <row r="53">
          <cell r="B53">
            <v>66099</v>
          </cell>
          <cell r="C53">
            <v>78807</v>
          </cell>
          <cell r="D53">
            <v>7996</v>
          </cell>
          <cell r="E53">
            <v>68226</v>
          </cell>
          <cell r="F53">
            <v>221128</v>
          </cell>
        </row>
        <row r="54">
          <cell r="B54">
            <v>298605</v>
          </cell>
          <cell r="C54">
            <v>329227</v>
          </cell>
          <cell r="D54">
            <v>31680</v>
          </cell>
          <cell r="E54">
            <v>253821</v>
          </cell>
          <cell r="F54">
            <v>913333</v>
          </cell>
        </row>
        <row r="55">
          <cell r="B55">
            <v>173643</v>
          </cell>
          <cell r="C55">
            <v>96228</v>
          </cell>
          <cell r="D55">
            <v>15162</v>
          </cell>
          <cell r="E55">
            <v>97820</v>
          </cell>
          <cell r="F55">
            <v>382853</v>
          </cell>
        </row>
        <row r="56">
          <cell r="B56">
            <v>235551</v>
          </cell>
          <cell r="C56">
            <v>190900</v>
          </cell>
          <cell r="D56">
            <v>19819</v>
          </cell>
          <cell r="E56">
            <v>152749</v>
          </cell>
          <cell r="F56">
            <v>599019</v>
          </cell>
        </row>
        <row r="57">
          <cell r="B57">
            <v>184055</v>
          </cell>
          <cell r="C57">
            <v>126053</v>
          </cell>
          <cell r="D57">
            <v>15387</v>
          </cell>
          <cell r="E57">
            <v>104202</v>
          </cell>
          <cell r="F57">
            <v>429697</v>
          </cell>
        </row>
        <row r="58">
          <cell r="B58">
            <v>26335</v>
          </cell>
          <cell r="C58">
            <v>11697</v>
          </cell>
          <cell r="D58">
            <v>1303</v>
          </cell>
          <cell r="E58">
            <v>7988</v>
          </cell>
          <cell r="F58">
            <v>47323</v>
          </cell>
        </row>
        <row r="59">
          <cell r="B59">
            <v>86772</v>
          </cell>
          <cell r="C59">
            <v>19892</v>
          </cell>
          <cell r="D59">
            <v>4581</v>
          </cell>
          <cell r="E59">
            <v>24469</v>
          </cell>
          <cell r="F59">
            <v>135714</v>
          </cell>
        </row>
        <row r="60">
          <cell r="B60">
            <v>156254</v>
          </cell>
          <cell r="C60">
            <v>80251</v>
          </cell>
          <cell r="D60">
            <v>9956</v>
          </cell>
          <cell r="E60">
            <v>72952</v>
          </cell>
          <cell r="F60">
            <v>319413</v>
          </cell>
        </row>
        <row r="61">
          <cell r="B61">
            <v>122644</v>
          </cell>
          <cell r="C61">
            <v>111068</v>
          </cell>
          <cell r="D61">
            <v>12300</v>
          </cell>
          <cell r="E61">
            <v>103718</v>
          </cell>
          <cell r="F61">
            <v>349730</v>
          </cell>
        </row>
        <row r="62">
          <cell r="B62">
            <v>128424</v>
          </cell>
          <cell r="C62">
            <v>47033</v>
          </cell>
          <cell r="D62">
            <v>6942</v>
          </cell>
          <cell r="E62">
            <v>46919</v>
          </cell>
          <cell r="F62">
            <v>229318</v>
          </cell>
        </row>
        <row r="63">
          <cell r="B63">
            <v>93853</v>
          </cell>
          <cell r="C63">
            <v>84242</v>
          </cell>
          <cell r="D63">
            <v>9590</v>
          </cell>
          <cell r="E63">
            <v>62291</v>
          </cell>
          <cell r="F63">
            <v>249976</v>
          </cell>
        </row>
        <row r="64">
          <cell r="B64">
            <v>76767</v>
          </cell>
          <cell r="C64">
            <v>24787</v>
          </cell>
          <cell r="D64">
            <v>3119</v>
          </cell>
          <cell r="E64">
            <v>26338</v>
          </cell>
          <cell r="F64">
            <v>131011</v>
          </cell>
        </row>
        <row r="65">
          <cell r="B65">
            <v>16314</v>
          </cell>
          <cell r="C65">
            <v>5083</v>
          </cell>
          <cell r="D65">
            <v>774</v>
          </cell>
          <cell r="E65">
            <v>3349</v>
          </cell>
          <cell r="F65">
            <v>25520</v>
          </cell>
        </row>
        <row r="66">
          <cell r="B66">
            <v>7373</v>
          </cell>
          <cell r="C66">
            <v>2895</v>
          </cell>
          <cell r="D66">
            <v>227</v>
          </cell>
          <cell r="E66">
            <v>955</v>
          </cell>
          <cell r="F66">
            <v>11450</v>
          </cell>
        </row>
        <row r="67">
          <cell r="B67">
            <v>4824</v>
          </cell>
          <cell r="C67">
            <v>1534</v>
          </cell>
          <cell r="D67">
            <v>132</v>
          </cell>
          <cell r="E67">
            <v>632</v>
          </cell>
          <cell r="F67">
            <v>7122</v>
          </cell>
        </row>
        <row r="68">
          <cell r="B68">
            <v>168841</v>
          </cell>
          <cell r="C68">
            <v>107817</v>
          </cell>
          <cell r="D68">
            <v>14868</v>
          </cell>
          <cell r="E68">
            <v>104776</v>
          </cell>
          <cell r="F68">
            <v>396302</v>
          </cell>
        </row>
        <row r="69">
          <cell r="B69">
            <v>13534</v>
          </cell>
          <cell r="C69">
            <v>6283</v>
          </cell>
          <cell r="D69">
            <v>835</v>
          </cell>
          <cell r="E69">
            <v>4092</v>
          </cell>
          <cell r="F69">
            <v>24744</v>
          </cell>
        </row>
        <row r="70">
          <cell r="B70">
            <v>40232</v>
          </cell>
          <cell r="C70">
            <v>7403</v>
          </cell>
          <cell r="D70">
            <v>1945</v>
          </cell>
          <cell r="E70">
            <v>9511</v>
          </cell>
          <cell r="F70">
            <v>59091</v>
          </cell>
        </row>
        <row r="71">
          <cell r="B71">
            <v>10282</v>
          </cell>
          <cell r="C71">
            <v>2875</v>
          </cell>
          <cell r="D71">
            <v>329</v>
          </cell>
          <cell r="E71">
            <v>1924</v>
          </cell>
          <cell r="F71">
            <v>15410</v>
          </cell>
        </row>
      </sheetData>
      <sheetData sheetId="8">
        <row r="5">
          <cell r="B5">
            <v>49769</v>
          </cell>
          <cell r="C5">
            <v>77930</v>
          </cell>
          <cell r="D5">
            <v>5254</v>
          </cell>
          <cell r="E5">
            <v>40926</v>
          </cell>
          <cell r="F5">
            <v>173879</v>
          </cell>
        </row>
        <row r="6">
          <cell r="B6">
            <v>12239</v>
          </cell>
          <cell r="C6">
            <v>2858</v>
          </cell>
          <cell r="D6">
            <v>403</v>
          </cell>
          <cell r="E6">
            <v>1840</v>
          </cell>
          <cell r="F6">
            <v>17340</v>
          </cell>
        </row>
        <row r="7">
          <cell r="B7">
            <v>77084</v>
          </cell>
          <cell r="C7">
            <v>26322</v>
          </cell>
          <cell r="D7">
            <v>4952</v>
          </cell>
          <cell r="E7">
            <v>28195</v>
          </cell>
          <cell r="F7">
            <v>136553</v>
          </cell>
        </row>
        <row r="8">
          <cell r="B8">
            <v>11256</v>
          </cell>
          <cell r="C8">
            <v>4209</v>
          </cell>
          <cell r="D8">
            <v>436</v>
          </cell>
          <cell r="E8">
            <v>2629</v>
          </cell>
          <cell r="F8">
            <v>18530</v>
          </cell>
        </row>
        <row r="9">
          <cell r="B9">
            <v>198891</v>
          </cell>
          <cell r="C9">
            <v>109323</v>
          </cell>
          <cell r="D9">
            <v>16462</v>
          </cell>
          <cell r="E9">
            <v>103343</v>
          </cell>
          <cell r="F9">
            <v>428019</v>
          </cell>
        </row>
        <row r="10">
          <cell r="B10">
            <v>281311</v>
          </cell>
          <cell r="C10">
            <v>521542</v>
          </cell>
          <cell r="D10">
            <v>30048</v>
          </cell>
          <cell r="E10">
            <v>356498</v>
          </cell>
          <cell r="F10">
            <v>1189399</v>
          </cell>
        </row>
        <row r="11">
          <cell r="B11">
            <v>4723</v>
          </cell>
          <cell r="C11">
            <v>1951</v>
          </cell>
          <cell r="D11">
            <v>89</v>
          </cell>
          <cell r="E11">
            <v>752</v>
          </cell>
          <cell r="F11">
            <v>7515</v>
          </cell>
        </row>
        <row r="12">
          <cell r="B12">
            <v>78397</v>
          </cell>
          <cell r="C12">
            <v>28719</v>
          </cell>
          <cell r="D12">
            <v>5832</v>
          </cell>
          <cell r="E12">
            <v>32835</v>
          </cell>
          <cell r="F12">
            <v>145783</v>
          </cell>
        </row>
        <row r="13">
          <cell r="B13">
            <v>68028</v>
          </cell>
          <cell r="C13">
            <v>20661</v>
          </cell>
          <cell r="D13">
            <v>4296</v>
          </cell>
          <cell r="E13">
            <v>22454</v>
          </cell>
          <cell r="F13">
            <v>115439</v>
          </cell>
        </row>
        <row r="14">
          <cell r="B14">
            <v>86176</v>
          </cell>
          <cell r="C14">
            <v>29766</v>
          </cell>
          <cell r="D14">
            <v>5273</v>
          </cell>
          <cell r="E14">
            <v>28949</v>
          </cell>
          <cell r="F14">
            <v>150164</v>
          </cell>
        </row>
        <row r="15">
          <cell r="B15">
            <v>143235</v>
          </cell>
          <cell r="C15">
            <v>50210</v>
          </cell>
          <cell r="D15">
            <v>7573</v>
          </cell>
          <cell r="E15">
            <v>58194</v>
          </cell>
          <cell r="F15">
            <v>259212</v>
          </cell>
        </row>
        <row r="16">
          <cell r="B16">
            <v>23641</v>
          </cell>
          <cell r="C16">
            <v>9475</v>
          </cell>
          <cell r="D16">
            <v>1180</v>
          </cell>
          <cell r="E16">
            <v>6117</v>
          </cell>
          <cell r="F16">
            <v>40413</v>
          </cell>
        </row>
        <row r="17">
          <cell r="B17">
            <v>7845</v>
          </cell>
          <cell r="C17">
            <v>4061</v>
          </cell>
          <cell r="D17">
            <v>454</v>
          </cell>
          <cell r="E17">
            <v>2987</v>
          </cell>
          <cell r="F17">
            <v>15347</v>
          </cell>
        </row>
        <row r="18">
          <cell r="B18">
            <v>6683</v>
          </cell>
          <cell r="C18">
            <v>1651</v>
          </cell>
          <cell r="D18">
            <v>222</v>
          </cell>
          <cell r="E18">
            <v>1318</v>
          </cell>
          <cell r="F18">
            <v>9874</v>
          </cell>
        </row>
        <row r="19">
          <cell r="B19">
            <v>238092</v>
          </cell>
          <cell r="C19">
            <v>246373</v>
          </cell>
          <cell r="D19">
            <v>21904</v>
          </cell>
          <cell r="E19">
            <v>145603</v>
          </cell>
          <cell r="F19">
            <v>651972</v>
          </cell>
        </row>
        <row r="20">
          <cell r="B20">
            <v>102537</v>
          </cell>
          <cell r="C20">
            <v>64495</v>
          </cell>
          <cell r="D20">
            <v>7057</v>
          </cell>
          <cell r="E20">
            <v>45414</v>
          </cell>
          <cell r="F20">
            <v>219503</v>
          </cell>
        </row>
        <row r="21">
          <cell r="B21">
            <v>48108</v>
          </cell>
          <cell r="C21">
            <v>22825</v>
          </cell>
          <cell r="D21">
            <v>3638</v>
          </cell>
          <cell r="E21">
            <v>20203</v>
          </cell>
          <cell r="F21">
            <v>94774</v>
          </cell>
        </row>
        <row r="22">
          <cell r="B22">
            <v>4068</v>
          </cell>
          <cell r="C22">
            <v>2235</v>
          </cell>
          <cell r="D22">
            <v>278</v>
          </cell>
          <cell r="E22">
            <v>1098</v>
          </cell>
          <cell r="F22">
            <v>7679</v>
          </cell>
        </row>
        <row r="23">
          <cell r="B23">
            <v>5690</v>
          </cell>
          <cell r="C23">
            <v>17425</v>
          </cell>
          <cell r="D23">
            <v>441</v>
          </cell>
          <cell r="E23">
            <v>2731</v>
          </cell>
          <cell r="F23">
            <v>26287</v>
          </cell>
        </row>
        <row r="24">
          <cell r="B24">
            <v>8913</v>
          </cell>
          <cell r="C24">
            <v>1762</v>
          </cell>
          <cell r="D24">
            <v>430</v>
          </cell>
          <cell r="E24">
            <v>1553</v>
          </cell>
          <cell r="F24">
            <v>12658</v>
          </cell>
        </row>
        <row r="25">
          <cell r="B25">
            <v>3942</v>
          </cell>
          <cell r="C25">
            <v>1388</v>
          </cell>
          <cell r="D25">
            <v>194</v>
          </cell>
          <cell r="E25">
            <v>1041</v>
          </cell>
          <cell r="F25">
            <v>6565</v>
          </cell>
        </row>
        <row r="26">
          <cell r="B26">
            <v>6901</v>
          </cell>
          <cell r="C26">
            <v>2347</v>
          </cell>
          <cell r="D26">
            <v>338</v>
          </cell>
          <cell r="E26">
            <v>1260</v>
          </cell>
          <cell r="F26">
            <v>10846</v>
          </cell>
        </row>
        <row r="27">
          <cell r="B27">
            <v>3582</v>
          </cell>
          <cell r="C27">
            <v>2316</v>
          </cell>
          <cell r="D27">
            <v>174</v>
          </cell>
          <cell r="E27">
            <v>779</v>
          </cell>
          <cell r="F27">
            <v>6851</v>
          </cell>
        </row>
        <row r="28">
          <cell r="B28">
            <v>6783</v>
          </cell>
          <cell r="C28">
            <v>2701</v>
          </cell>
          <cell r="D28">
            <v>335</v>
          </cell>
          <cell r="E28">
            <v>2216</v>
          </cell>
          <cell r="F28">
            <v>12035</v>
          </cell>
        </row>
        <row r="29">
          <cell r="B29">
            <v>9006</v>
          </cell>
          <cell r="C29">
            <v>5197</v>
          </cell>
          <cell r="D29">
            <v>470</v>
          </cell>
          <cell r="E29">
            <v>3316</v>
          </cell>
          <cell r="F29">
            <v>17989</v>
          </cell>
        </row>
        <row r="30">
          <cell r="B30">
            <v>67996</v>
          </cell>
          <cell r="C30">
            <v>30069</v>
          </cell>
          <cell r="D30">
            <v>5126</v>
          </cell>
          <cell r="E30">
            <v>29217</v>
          </cell>
          <cell r="F30">
            <v>132408</v>
          </cell>
        </row>
        <row r="31">
          <cell r="B31">
            <v>34522</v>
          </cell>
          <cell r="C31">
            <v>13813</v>
          </cell>
          <cell r="D31">
            <v>2254</v>
          </cell>
          <cell r="E31">
            <v>12270</v>
          </cell>
          <cell r="F31">
            <v>62859</v>
          </cell>
        </row>
        <row r="32">
          <cell r="B32">
            <v>289804</v>
          </cell>
          <cell r="C32">
            <v>272513</v>
          </cell>
          <cell r="D32">
            <v>27159</v>
          </cell>
          <cell r="E32">
            <v>215147</v>
          </cell>
          <cell r="F32">
            <v>804623</v>
          </cell>
        </row>
        <row r="33">
          <cell r="B33">
            <v>8083</v>
          </cell>
          <cell r="C33">
            <v>1548</v>
          </cell>
          <cell r="D33">
            <v>249</v>
          </cell>
          <cell r="E33">
            <v>1175</v>
          </cell>
          <cell r="F33">
            <v>11055</v>
          </cell>
        </row>
        <row r="34">
          <cell r="B34">
            <v>60827</v>
          </cell>
          <cell r="C34">
            <v>25732</v>
          </cell>
          <cell r="D34">
            <v>4420</v>
          </cell>
          <cell r="E34">
            <v>24359</v>
          </cell>
          <cell r="F34">
            <v>115338</v>
          </cell>
        </row>
        <row r="35">
          <cell r="B35">
            <v>15436</v>
          </cell>
          <cell r="C35">
            <v>7844</v>
          </cell>
          <cell r="D35">
            <v>544</v>
          </cell>
          <cell r="E35">
            <v>2553</v>
          </cell>
          <cell r="F35">
            <v>26377</v>
          </cell>
        </row>
        <row r="36">
          <cell r="B36">
            <v>4582</v>
          </cell>
          <cell r="C36">
            <v>3831</v>
          </cell>
          <cell r="D36">
            <v>184</v>
          </cell>
          <cell r="E36">
            <v>1154</v>
          </cell>
          <cell r="F36">
            <v>9751</v>
          </cell>
        </row>
        <row r="37">
          <cell r="B37">
            <v>3271</v>
          </cell>
          <cell r="C37">
            <v>591</v>
          </cell>
          <cell r="D37">
            <v>69</v>
          </cell>
          <cell r="E37">
            <v>267</v>
          </cell>
          <cell r="F37">
            <v>4198</v>
          </cell>
        </row>
        <row r="38">
          <cell r="B38">
            <v>128238</v>
          </cell>
          <cell r="C38">
            <v>66588</v>
          </cell>
          <cell r="D38">
            <v>9062</v>
          </cell>
          <cell r="E38">
            <v>63409</v>
          </cell>
          <cell r="F38">
            <v>267297</v>
          </cell>
        </row>
        <row r="39">
          <cell r="B39">
            <v>243390</v>
          </cell>
          <cell r="C39">
            <v>111772</v>
          </cell>
          <cell r="D39">
            <v>16216</v>
          </cell>
          <cell r="E39">
            <v>135720</v>
          </cell>
          <cell r="F39">
            <v>507098</v>
          </cell>
        </row>
        <row r="40">
          <cell r="B40">
            <v>54189</v>
          </cell>
          <cell r="C40">
            <v>87581</v>
          </cell>
          <cell r="D40">
            <v>5346</v>
          </cell>
          <cell r="E40">
            <v>35498</v>
          </cell>
          <cell r="F40">
            <v>182614</v>
          </cell>
        </row>
        <row r="41">
          <cell r="B41">
            <v>18033</v>
          </cell>
          <cell r="C41">
            <v>6094</v>
          </cell>
          <cell r="D41">
            <v>1038</v>
          </cell>
          <cell r="E41">
            <v>4071</v>
          </cell>
          <cell r="F41">
            <v>29236</v>
          </cell>
        </row>
        <row r="42">
          <cell r="B42">
            <v>2794</v>
          </cell>
          <cell r="C42">
            <v>1210</v>
          </cell>
          <cell r="D42">
            <v>22</v>
          </cell>
          <cell r="E42">
            <v>448</v>
          </cell>
          <cell r="F42">
            <v>4474</v>
          </cell>
        </row>
        <row r="43">
          <cell r="B43">
            <v>5095</v>
          </cell>
          <cell r="C43">
            <v>3909</v>
          </cell>
          <cell r="D43">
            <v>126</v>
          </cell>
          <cell r="E43">
            <v>1173</v>
          </cell>
          <cell r="F43">
            <v>10303</v>
          </cell>
        </row>
        <row r="44">
          <cell r="B44">
            <v>134750</v>
          </cell>
          <cell r="C44">
            <v>65686</v>
          </cell>
          <cell r="D44">
            <v>8767</v>
          </cell>
          <cell r="E44">
            <v>62741</v>
          </cell>
          <cell r="F44">
            <v>271944</v>
          </cell>
        </row>
        <row r="45">
          <cell r="B45">
            <v>133039</v>
          </cell>
          <cell r="C45">
            <v>65185</v>
          </cell>
          <cell r="D45">
            <v>9138</v>
          </cell>
          <cell r="E45">
            <v>49571</v>
          </cell>
          <cell r="F45">
            <v>256933</v>
          </cell>
        </row>
        <row r="46">
          <cell r="B46">
            <v>61346</v>
          </cell>
          <cell r="C46">
            <v>23490</v>
          </cell>
          <cell r="D46">
            <v>4474</v>
          </cell>
          <cell r="E46">
            <v>23920</v>
          </cell>
          <cell r="F46">
            <v>113230</v>
          </cell>
        </row>
        <row r="47">
          <cell r="B47">
            <v>448901</v>
          </cell>
          <cell r="C47">
            <v>412347</v>
          </cell>
          <cell r="D47">
            <v>30762</v>
          </cell>
          <cell r="E47">
            <v>388509</v>
          </cell>
          <cell r="F47">
            <v>1280519</v>
          </cell>
        </row>
        <row r="48">
          <cell r="B48">
            <v>24489</v>
          </cell>
          <cell r="C48">
            <v>14809</v>
          </cell>
          <cell r="D48">
            <v>1970</v>
          </cell>
          <cell r="E48">
            <v>12520</v>
          </cell>
          <cell r="F48">
            <v>53788</v>
          </cell>
        </row>
        <row r="49">
          <cell r="B49">
            <v>47828</v>
          </cell>
          <cell r="C49">
            <v>13326</v>
          </cell>
          <cell r="D49">
            <v>2880</v>
          </cell>
          <cell r="E49">
            <v>14725</v>
          </cell>
          <cell r="F49">
            <v>78759</v>
          </cell>
        </row>
        <row r="50">
          <cell r="B50">
            <v>84079</v>
          </cell>
          <cell r="C50">
            <v>23516</v>
          </cell>
          <cell r="D50">
            <v>4942</v>
          </cell>
          <cell r="E50">
            <v>30255</v>
          </cell>
          <cell r="F50">
            <v>142792</v>
          </cell>
        </row>
        <row r="51">
          <cell r="B51">
            <v>12040</v>
          </cell>
          <cell r="C51">
            <v>4294</v>
          </cell>
          <cell r="D51">
            <v>751</v>
          </cell>
          <cell r="E51">
            <v>3107</v>
          </cell>
          <cell r="F51">
            <v>20192</v>
          </cell>
        </row>
        <row r="52">
          <cell r="B52">
            <v>226319</v>
          </cell>
          <cell r="C52">
            <v>322507</v>
          </cell>
          <cell r="D52">
            <v>28005</v>
          </cell>
          <cell r="E52">
            <v>247118</v>
          </cell>
          <cell r="F52">
            <v>823949</v>
          </cell>
        </row>
        <row r="53">
          <cell r="B53">
            <v>66581</v>
          </cell>
          <cell r="C53">
            <v>79087</v>
          </cell>
          <cell r="D53">
            <v>8179</v>
          </cell>
          <cell r="E53">
            <v>68529</v>
          </cell>
          <cell r="F53">
            <v>222376</v>
          </cell>
        </row>
        <row r="54">
          <cell r="B54">
            <v>288834</v>
          </cell>
          <cell r="C54">
            <v>307307</v>
          </cell>
          <cell r="D54">
            <v>30400</v>
          </cell>
          <cell r="E54">
            <v>230718</v>
          </cell>
          <cell r="F54">
            <v>857259</v>
          </cell>
        </row>
        <row r="55">
          <cell r="B55">
            <v>174356</v>
          </cell>
          <cell r="C55">
            <v>96422</v>
          </cell>
          <cell r="D55">
            <v>15373</v>
          </cell>
          <cell r="E55">
            <v>98059</v>
          </cell>
          <cell r="F55">
            <v>384210</v>
          </cell>
        </row>
        <row r="56">
          <cell r="B56">
            <v>236063</v>
          </cell>
          <cell r="C56">
            <v>190882</v>
          </cell>
          <cell r="D56">
            <v>20043</v>
          </cell>
          <cell r="E56">
            <v>152986</v>
          </cell>
          <cell r="F56">
            <v>599974</v>
          </cell>
        </row>
        <row r="57">
          <cell r="B57">
            <v>184839</v>
          </cell>
          <cell r="C57">
            <v>126498</v>
          </cell>
          <cell r="D57">
            <v>15629</v>
          </cell>
          <cell r="E57">
            <v>104830</v>
          </cell>
          <cell r="F57">
            <v>431796</v>
          </cell>
        </row>
        <row r="58">
          <cell r="B58">
            <v>26381</v>
          </cell>
          <cell r="C58">
            <v>11734</v>
          </cell>
          <cell r="D58">
            <v>1314</v>
          </cell>
          <cell r="E58">
            <v>8012</v>
          </cell>
          <cell r="F58">
            <v>47441</v>
          </cell>
        </row>
        <row r="59">
          <cell r="B59">
            <v>87186</v>
          </cell>
          <cell r="C59">
            <v>19942</v>
          </cell>
          <cell r="D59">
            <v>4667</v>
          </cell>
          <cell r="E59">
            <v>24592</v>
          </cell>
          <cell r="F59">
            <v>136387</v>
          </cell>
        </row>
        <row r="60">
          <cell r="B60">
            <v>157023</v>
          </cell>
          <cell r="C60">
            <v>80367</v>
          </cell>
          <cell r="D60">
            <v>10147</v>
          </cell>
          <cell r="E60">
            <v>73212</v>
          </cell>
          <cell r="F60">
            <v>320749</v>
          </cell>
        </row>
        <row r="61">
          <cell r="B61">
            <v>122827</v>
          </cell>
          <cell r="C61">
            <v>111097</v>
          </cell>
          <cell r="D61">
            <v>12485</v>
          </cell>
          <cell r="E61">
            <v>103783</v>
          </cell>
          <cell r="F61">
            <v>350192</v>
          </cell>
        </row>
        <row r="62">
          <cell r="B62">
            <v>128794</v>
          </cell>
          <cell r="C62">
            <v>47101</v>
          </cell>
          <cell r="D62">
            <v>7054</v>
          </cell>
          <cell r="E62">
            <v>47124</v>
          </cell>
          <cell r="F62">
            <v>230073</v>
          </cell>
        </row>
        <row r="63">
          <cell r="B63">
            <v>90676</v>
          </cell>
          <cell r="C63">
            <v>77102</v>
          </cell>
          <cell r="D63">
            <v>9235</v>
          </cell>
          <cell r="E63">
            <v>55788</v>
          </cell>
          <cell r="F63">
            <v>232801</v>
          </cell>
        </row>
        <row r="64">
          <cell r="B64">
            <v>73525</v>
          </cell>
          <cell r="C64">
            <v>22538</v>
          </cell>
          <cell r="D64">
            <v>3059</v>
          </cell>
          <cell r="E64">
            <v>23110</v>
          </cell>
          <cell r="F64">
            <v>122232</v>
          </cell>
        </row>
        <row r="65">
          <cell r="B65">
            <v>16380</v>
          </cell>
          <cell r="C65">
            <v>5078</v>
          </cell>
          <cell r="D65">
            <v>792</v>
          </cell>
          <cell r="E65">
            <v>3357</v>
          </cell>
          <cell r="F65">
            <v>25607</v>
          </cell>
        </row>
        <row r="66">
          <cell r="B66">
            <v>7371</v>
          </cell>
          <cell r="C66">
            <v>2889</v>
          </cell>
          <cell r="D66">
            <v>234</v>
          </cell>
          <cell r="E66">
            <v>953</v>
          </cell>
          <cell r="F66">
            <v>11447</v>
          </cell>
        </row>
        <row r="67">
          <cell r="B67">
            <v>4840</v>
          </cell>
          <cell r="C67">
            <v>1534</v>
          </cell>
          <cell r="D67">
            <v>133</v>
          </cell>
          <cell r="E67">
            <v>632</v>
          </cell>
          <cell r="F67">
            <v>7139</v>
          </cell>
        </row>
        <row r="68">
          <cell r="B68">
            <v>169506</v>
          </cell>
          <cell r="C68">
            <v>107887</v>
          </cell>
          <cell r="D68">
            <v>15124</v>
          </cell>
          <cell r="E68">
            <v>104964</v>
          </cell>
          <cell r="F68">
            <v>397481</v>
          </cell>
        </row>
        <row r="69">
          <cell r="B69">
            <v>13587</v>
          </cell>
          <cell r="C69">
            <v>6280</v>
          </cell>
          <cell r="D69">
            <v>849</v>
          </cell>
          <cell r="E69">
            <v>4091</v>
          </cell>
          <cell r="F69">
            <v>24807</v>
          </cell>
        </row>
        <row r="70">
          <cell r="B70">
            <v>40465</v>
          </cell>
          <cell r="C70">
            <v>7415</v>
          </cell>
          <cell r="D70">
            <v>1966</v>
          </cell>
          <cell r="E70">
            <v>9542</v>
          </cell>
          <cell r="F70">
            <v>59388</v>
          </cell>
        </row>
        <row r="71">
          <cell r="B71">
            <v>10332</v>
          </cell>
          <cell r="C71">
            <v>2873</v>
          </cell>
          <cell r="D71">
            <v>334</v>
          </cell>
          <cell r="E71">
            <v>1930</v>
          </cell>
          <cell r="F71">
            <v>15469</v>
          </cell>
        </row>
      </sheetData>
      <sheetData sheetId="9">
        <row r="5">
          <cell r="B5">
            <v>49872</v>
          </cell>
          <cell r="C5">
            <v>77766</v>
          </cell>
          <cell r="D5">
            <v>5335</v>
          </cell>
          <cell r="E5">
            <v>41042</v>
          </cell>
          <cell r="F5">
            <v>174015</v>
          </cell>
        </row>
        <row r="6">
          <cell r="B6">
            <v>12267</v>
          </cell>
          <cell r="C6">
            <v>2859</v>
          </cell>
          <cell r="D6">
            <v>412</v>
          </cell>
          <cell r="E6">
            <v>1844</v>
          </cell>
          <cell r="F6">
            <v>17382</v>
          </cell>
        </row>
        <row r="7">
          <cell r="B7">
            <v>77391</v>
          </cell>
          <cell r="C7">
            <v>26288</v>
          </cell>
          <cell r="D7">
            <v>5049</v>
          </cell>
          <cell r="E7">
            <v>28265</v>
          </cell>
          <cell r="F7">
            <v>136993</v>
          </cell>
        </row>
        <row r="8">
          <cell r="B8">
            <v>10510</v>
          </cell>
          <cell r="C8">
            <v>3467</v>
          </cell>
          <cell r="D8">
            <v>426</v>
          </cell>
          <cell r="E8">
            <v>2033</v>
          </cell>
          <cell r="F8">
            <v>16436</v>
          </cell>
        </row>
        <row r="9">
          <cell r="B9">
            <v>199884</v>
          </cell>
          <cell r="C9">
            <v>109317</v>
          </cell>
          <cell r="D9">
            <v>16655</v>
          </cell>
          <cell r="E9">
            <v>103918</v>
          </cell>
          <cell r="F9">
            <v>429774</v>
          </cell>
        </row>
        <row r="10">
          <cell r="B10">
            <v>282973</v>
          </cell>
          <cell r="C10">
            <v>521878</v>
          </cell>
          <cell r="D10">
            <v>30634</v>
          </cell>
          <cell r="E10">
            <v>358404</v>
          </cell>
          <cell r="F10">
            <v>1193889</v>
          </cell>
        </row>
        <row r="11">
          <cell r="B11">
            <v>4739</v>
          </cell>
          <cell r="C11">
            <v>1943</v>
          </cell>
          <cell r="D11">
            <v>92</v>
          </cell>
          <cell r="E11">
            <v>749</v>
          </cell>
          <cell r="F11">
            <v>7523</v>
          </cell>
        </row>
        <row r="12">
          <cell r="B12">
            <v>78903</v>
          </cell>
          <cell r="C12">
            <v>28753</v>
          </cell>
          <cell r="D12">
            <v>5912</v>
          </cell>
          <cell r="E12">
            <v>32850</v>
          </cell>
          <cell r="F12">
            <v>146418</v>
          </cell>
        </row>
        <row r="13">
          <cell r="B13">
            <v>68111</v>
          </cell>
          <cell r="C13">
            <v>20569</v>
          </cell>
          <cell r="D13">
            <v>4373</v>
          </cell>
          <cell r="E13">
            <v>22375</v>
          </cell>
          <cell r="F13">
            <v>115428</v>
          </cell>
        </row>
        <row r="14">
          <cell r="B14">
            <v>86481</v>
          </cell>
          <cell r="C14">
            <v>29823</v>
          </cell>
          <cell r="D14">
            <v>5345</v>
          </cell>
          <cell r="E14">
            <v>29051</v>
          </cell>
          <cell r="F14">
            <v>150700</v>
          </cell>
        </row>
        <row r="15">
          <cell r="B15">
            <v>143703</v>
          </cell>
          <cell r="C15">
            <v>50197</v>
          </cell>
          <cell r="D15">
            <v>7690</v>
          </cell>
          <cell r="E15">
            <v>58378</v>
          </cell>
          <cell r="F15">
            <v>259968</v>
          </cell>
        </row>
        <row r="16">
          <cell r="B16">
            <v>23700</v>
          </cell>
          <cell r="C16">
            <v>9467</v>
          </cell>
          <cell r="D16">
            <v>1197</v>
          </cell>
          <cell r="E16">
            <v>6140</v>
          </cell>
          <cell r="F16">
            <v>40504</v>
          </cell>
        </row>
        <row r="17">
          <cell r="B17">
            <v>7862</v>
          </cell>
          <cell r="C17">
            <v>4049</v>
          </cell>
          <cell r="D17">
            <v>457</v>
          </cell>
          <cell r="E17">
            <v>2993</v>
          </cell>
          <cell r="F17">
            <v>15361</v>
          </cell>
        </row>
        <row r="18">
          <cell r="B18">
            <v>6684</v>
          </cell>
          <cell r="C18">
            <v>1641</v>
          </cell>
          <cell r="D18">
            <v>222</v>
          </cell>
          <cell r="E18">
            <v>1317</v>
          </cell>
          <cell r="F18">
            <v>9864</v>
          </cell>
        </row>
        <row r="19">
          <cell r="B19">
            <v>234985</v>
          </cell>
          <cell r="C19">
            <v>240150</v>
          </cell>
          <cell r="D19">
            <v>21617</v>
          </cell>
          <cell r="E19">
            <v>142060</v>
          </cell>
          <cell r="F19">
            <v>638812</v>
          </cell>
        </row>
        <row r="20">
          <cell r="B20">
            <v>99884</v>
          </cell>
          <cell r="C20">
            <v>61132</v>
          </cell>
          <cell r="D20">
            <v>6912</v>
          </cell>
          <cell r="E20">
            <v>42014</v>
          </cell>
          <cell r="F20">
            <v>209942</v>
          </cell>
        </row>
        <row r="21">
          <cell r="B21">
            <v>48371</v>
          </cell>
          <cell r="C21">
            <v>22824</v>
          </cell>
          <cell r="D21">
            <v>3701</v>
          </cell>
          <cell r="E21">
            <v>20241</v>
          </cell>
          <cell r="F21">
            <v>95137</v>
          </cell>
        </row>
        <row r="22">
          <cell r="B22">
            <v>4071</v>
          </cell>
          <cell r="C22">
            <v>2224</v>
          </cell>
          <cell r="D22">
            <v>282</v>
          </cell>
          <cell r="E22">
            <v>1106</v>
          </cell>
          <cell r="F22">
            <v>7683</v>
          </cell>
        </row>
        <row r="23">
          <cell r="B23">
            <v>5734</v>
          </cell>
          <cell r="C23">
            <v>17404</v>
          </cell>
          <cell r="D23">
            <v>450</v>
          </cell>
          <cell r="E23">
            <v>2752</v>
          </cell>
          <cell r="F23">
            <v>26340</v>
          </cell>
        </row>
        <row r="24">
          <cell r="B24">
            <v>8943</v>
          </cell>
          <cell r="C24">
            <v>1759</v>
          </cell>
          <cell r="D24">
            <v>450</v>
          </cell>
          <cell r="E24">
            <v>1558</v>
          </cell>
          <cell r="F24">
            <v>12710</v>
          </cell>
        </row>
        <row r="25">
          <cell r="B25">
            <v>3938</v>
          </cell>
          <cell r="C25">
            <v>1387</v>
          </cell>
          <cell r="D25">
            <v>198</v>
          </cell>
          <cell r="E25">
            <v>1046</v>
          </cell>
          <cell r="F25">
            <v>6569</v>
          </cell>
        </row>
        <row r="26">
          <cell r="B26">
            <v>6937</v>
          </cell>
          <cell r="C26">
            <v>2337</v>
          </cell>
          <cell r="D26">
            <v>348</v>
          </cell>
          <cell r="E26">
            <v>1266</v>
          </cell>
          <cell r="F26">
            <v>10888</v>
          </cell>
        </row>
        <row r="27">
          <cell r="B27">
            <v>3598</v>
          </cell>
          <cell r="C27">
            <v>2320</v>
          </cell>
          <cell r="D27">
            <v>176</v>
          </cell>
          <cell r="E27">
            <v>790</v>
          </cell>
          <cell r="F27">
            <v>6884</v>
          </cell>
        </row>
        <row r="28">
          <cell r="B28">
            <v>6797</v>
          </cell>
          <cell r="C28">
            <v>2712</v>
          </cell>
          <cell r="D28">
            <v>337</v>
          </cell>
          <cell r="E28">
            <v>2226</v>
          </cell>
          <cell r="F28">
            <v>12072</v>
          </cell>
        </row>
        <row r="29">
          <cell r="B29">
            <v>9074</v>
          </cell>
          <cell r="C29">
            <v>5227</v>
          </cell>
          <cell r="D29">
            <v>477</v>
          </cell>
          <cell r="E29">
            <v>3335</v>
          </cell>
          <cell r="F29">
            <v>18113</v>
          </cell>
        </row>
        <row r="30">
          <cell r="B30">
            <v>68301</v>
          </cell>
          <cell r="C30">
            <v>30032</v>
          </cell>
          <cell r="D30">
            <v>5171</v>
          </cell>
          <cell r="E30">
            <v>29291</v>
          </cell>
          <cell r="F30">
            <v>132795</v>
          </cell>
        </row>
        <row r="31">
          <cell r="B31">
            <v>34648</v>
          </cell>
          <cell r="C31">
            <v>13807</v>
          </cell>
          <cell r="D31">
            <v>2299</v>
          </cell>
          <cell r="E31">
            <v>12310</v>
          </cell>
          <cell r="F31">
            <v>63064</v>
          </cell>
        </row>
        <row r="32">
          <cell r="B32">
            <v>290747</v>
          </cell>
          <cell r="C32">
            <v>272309</v>
          </cell>
          <cell r="D32">
            <v>27514</v>
          </cell>
          <cell r="E32">
            <v>215780</v>
          </cell>
          <cell r="F32">
            <v>806350</v>
          </cell>
        </row>
        <row r="33">
          <cell r="B33">
            <v>8113</v>
          </cell>
          <cell r="C33">
            <v>1536</v>
          </cell>
          <cell r="D33">
            <v>252</v>
          </cell>
          <cell r="E33">
            <v>1176</v>
          </cell>
          <cell r="F33">
            <v>11077</v>
          </cell>
        </row>
        <row r="34">
          <cell r="B34">
            <v>61017</v>
          </cell>
          <cell r="C34">
            <v>25770</v>
          </cell>
          <cell r="D34">
            <v>4516</v>
          </cell>
          <cell r="E34">
            <v>24438</v>
          </cell>
          <cell r="F34">
            <v>115741</v>
          </cell>
        </row>
        <row r="35">
          <cell r="B35">
            <v>15508</v>
          </cell>
          <cell r="C35">
            <v>7847</v>
          </cell>
          <cell r="D35">
            <v>541</v>
          </cell>
          <cell r="E35">
            <v>2603</v>
          </cell>
          <cell r="F35">
            <v>26499</v>
          </cell>
        </row>
        <row r="36">
          <cell r="B36">
            <v>4600</v>
          </cell>
          <cell r="C36">
            <v>3823</v>
          </cell>
          <cell r="D36">
            <v>186</v>
          </cell>
          <cell r="E36">
            <v>1162</v>
          </cell>
          <cell r="F36">
            <v>9771</v>
          </cell>
        </row>
        <row r="37">
          <cell r="B37">
            <v>3276</v>
          </cell>
          <cell r="C37">
            <v>592</v>
          </cell>
          <cell r="D37">
            <v>69</v>
          </cell>
          <cell r="E37">
            <v>270</v>
          </cell>
          <cell r="F37">
            <v>4207</v>
          </cell>
        </row>
        <row r="38">
          <cell r="B38">
            <v>128860</v>
          </cell>
          <cell r="C38">
            <v>66703</v>
          </cell>
          <cell r="D38">
            <v>9230</v>
          </cell>
          <cell r="E38">
            <v>63721</v>
          </cell>
          <cell r="F38">
            <v>268514</v>
          </cell>
        </row>
        <row r="39">
          <cell r="B39">
            <v>244377</v>
          </cell>
          <cell r="C39">
            <v>111778</v>
          </cell>
          <cell r="D39">
            <v>16467</v>
          </cell>
          <cell r="E39">
            <v>136116</v>
          </cell>
          <cell r="F39">
            <v>508738</v>
          </cell>
        </row>
        <row r="40">
          <cell r="B40">
            <v>54354</v>
          </cell>
          <cell r="C40">
            <v>87572</v>
          </cell>
          <cell r="D40">
            <v>5421</v>
          </cell>
          <cell r="E40">
            <v>35668</v>
          </cell>
          <cell r="F40">
            <v>183015</v>
          </cell>
        </row>
        <row r="41">
          <cell r="B41">
            <v>18101</v>
          </cell>
          <cell r="C41">
            <v>6078</v>
          </cell>
          <cell r="D41">
            <v>1055</v>
          </cell>
          <cell r="E41">
            <v>4090</v>
          </cell>
          <cell r="F41">
            <v>29324</v>
          </cell>
        </row>
        <row r="42">
          <cell r="B42">
            <v>2795</v>
          </cell>
          <cell r="C42">
            <v>1203</v>
          </cell>
          <cell r="D42">
            <v>22</v>
          </cell>
          <cell r="E42">
            <v>452</v>
          </cell>
          <cell r="F42">
            <v>4472</v>
          </cell>
        </row>
        <row r="43">
          <cell r="B43">
            <v>5121</v>
          </cell>
          <cell r="C43">
            <v>3901</v>
          </cell>
          <cell r="D43">
            <v>126</v>
          </cell>
          <cell r="E43">
            <v>1175</v>
          </cell>
          <cell r="F43">
            <v>10323</v>
          </cell>
        </row>
        <row r="44">
          <cell r="B44">
            <v>135357</v>
          </cell>
          <cell r="C44">
            <v>65653</v>
          </cell>
          <cell r="D44">
            <v>8883</v>
          </cell>
          <cell r="E44">
            <v>62991</v>
          </cell>
          <cell r="F44">
            <v>272884</v>
          </cell>
        </row>
        <row r="45">
          <cell r="B45">
            <v>133692</v>
          </cell>
          <cell r="C45">
            <v>65271</v>
          </cell>
          <cell r="D45">
            <v>9285</v>
          </cell>
          <cell r="E45">
            <v>49803</v>
          </cell>
          <cell r="F45">
            <v>258051</v>
          </cell>
        </row>
        <row r="46">
          <cell r="B46">
            <v>61543</v>
          </cell>
          <cell r="C46">
            <v>23454</v>
          </cell>
          <cell r="D46">
            <v>4542</v>
          </cell>
          <cell r="E46">
            <v>23961</v>
          </cell>
          <cell r="F46">
            <v>113500</v>
          </cell>
        </row>
        <row r="47">
          <cell r="B47">
            <v>447323</v>
          </cell>
          <cell r="C47">
            <v>407801</v>
          </cell>
          <cell r="D47">
            <v>30966</v>
          </cell>
          <cell r="E47">
            <v>386526</v>
          </cell>
          <cell r="F47">
            <v>1272616</v>
          </cell>
        </row>
        <row r="48">
          <cell r="B48">
            <v>24502</v>
          </cell>
          <cell r="C48">
            <v>14752</v>
          </cell>
          <cell r="D48">
            <v>1984</v>
          </cell>
          <cell r="E48">
            <v>12491</v>
          </cell>
          <cell r="F48">
            <v>53729</v>
          </cell>
        </row>
        <row r="49">
          <cell r="B49">
            <v>47987</v>
          </cell>
          <cell r="C49">
            <v>13305</v>
          </cell>
          <cell r="D49">
            <v>2917</v>
          </cell>
          <cell r="E49">
            <v>14741</v>
          </cell>
          <cell r="F49">
            <v>78950</v>
          </cell>
        </row>
        <row r="50">
          <cell r="B50">
            <v>84413</v>
          </cell>
          <cell r="C50">
            <v>23537</v>
          </cell>
          <cell r="D50">
            <v>5029</v>
          </cell>
          <cell r="E50">
            <v>30322</v>
          </cell>
          <cell r="F50">
            <v>143301</v>
          </cell>
        </row>
        <row r="51">
          <cell r="B51">
            <v>12095</v>
          </cell>
          <cell r="C51">
            <v>4283</v>
          </cell>
          <cell r="D51">
            <v>763</v>
          </cell>
          <cell r="E51">
            <v>3119</v>
          </cell>
          <cell r="F51">
            <v>20260</v>
          </cell>
        </row>
        <row r="52">
          <cell r="B52">
            <v>226410</v>
          </cell>
          <cell r="C52">
            <v>317519</v>
          </cell>
          <cell r="D52">
            <v>28406</v>
          </cell>
          <cell r="E52">
            <v>246505</v>
          </cell>
          <cell r="F52">
            <v>818840</v>
          </cell>
        </row>
        <row r="53">
          <cell r="B53">
            <v>66944</v>
          </cell>
          <cell r="C53">
            <v>79144</v>
          </cell>
          <cell r="D53">
            <v>8291</v>
          </cell>
          <cell r="E53">
            <v>68701</v>
          </cell>
          <cell r="F53">
            <v>223080</v>
          </cell>
        </row>
        <row r="54">
          <cell r="B54">
            <v>290334</v>
          </cell>
          <cell r="C54">
            <v>307039</v>
          </cell>
          <cell r="D54">
            <v>30878</v>
          </cell>
          <cell r="E54">
            <v>231613</v>
          </cell>
          <cell r="F54">
            <v>859864</v>
          </cell>
        </row>
        <row r="55">
          <cell r="B55">
            <v>175137</v>
          </cell>
          <cell r="C55">
            <v>96528</v>
          </cell>
          <cell r="D55">
            <v>15637</v>
          </cell>
          <cell r="E55">
            <v>98546</v>
          </cell>
          <cell r="F55">
            <v>385848</v>
          </cell>
        </row>
        <row r="56">
          <cell r="B56">
            <v>236878</v>
          </cell>
          <cell r="C56">
            <v>190515</v>
          </cell>
          <cell r="D56">
            <v>20360</v>
          </cell>
          <cell r="E56">
            <v>153357</v>
          </cell>
          <cell r="F56">
            <v>601110</v>
          </cell>
        </row>
        <row r="57">
          <cell r="B57">
            <v>185985</v>
          </cell>
          <cell r="C57">
            <v>126968</v>
          </cell>
          <cell r="D57">
            <v>15974</v>
          </cell>
          <cell r="E57">
            <v>105738</v>
          </cell>
          <cell r="F57">
            <v>434665</v>
          </cell>
        </row>
        <row r="58">
          <cell r="B58">
            <v>26411</v>
          </cell>
          <cell r="C58">
            <v>11675</v>
          </cell>
          <cell r="D58">
            <v>1332</v>
          </cell>
          <cell r="E58">
            <v>8019</v>
          </cell>
          <cell r="F58">
            <v>47437</v>
          </cell>
        </row>
        <row r="59">
          <cell r="B59">
            <v>87661</v>
          </cell>
          <cell r="C59">
            <v>19972</v>
          </cell>
          <cell r="D59">
            <v>4762</v>
          </cell>
          <cell r="E59">
            <v>24734</v>
          </cell>
          <cell r="F59">
            <v>137129</v>
          </cell>
        </row>
        <row r="60">
          <cell r="B60">
            <v>157679</v>
          </cell>
          <cell r="C60">
            <v>80204</v>
          </cell>
          <cell r="D60">
            <v>10393</v>
          </cell>
          <cell r="E60">
            <v>73374</v>
          </cell>
          <cell r="F60">
            <v>321650</v>
          </cell>
        </row>
        <row r="61">
          <cell r="B61">
            <v>122031</v>
          </cell>
          <cell r="C61">
            <v>109360</v>
          </cell>
          <cell r="D61">
            <v>12533</v>
          </cell>
          <cell r="E61">
            <v>102213</v>
          </cell>
          <cell r="F61">
            <v>346137</v>
          </cell>
        </row>
        <row r="62">
          <cell r="B62">
            <v>129046</v>
          </cell>
          <cell r="C62">
            <v>46898</v>
          </cell>
          <cell r="D62">
            <v>7133</v>
          </cell>
          <cell r="E62">
            <v>47253</v>
          </cell>
          <cell r="F62">
            <v>230330</v>
          </cell>
        </row>
        <row r="63">
          <cell r="B63">
            <v>91128</v>
          </cell>
          <cell r="C63">
            <v>77297</v>
          </cell>
          <cell r="D63">
            <v>9371</v>
          </cell>
          <cell r="E63">
            <v>55975</v>
          </cell>
          <cell r="F63">
            <v>233771</v>
          </cell>
        </row>
        <row r="64">
          <cell r="B64">
            <v>73946</v>
          </cell>
          <cell r="C64">
            <v>22606</v>
          </cell>
          <cell r="D64">
            <v>3145</v>
          </cell>
          <cell r="E64">
            <v>23169</v>
          </cell>
          <cell r="F64">
            <v>122866</v>
          </cell>
        </row>
        <row r="65">
          <cell r="B65">
            <v>16476</v>
          </cell>
          <cell r="C65">
            <v>5057</v>
          </cell>
          <cell r="D65">
            <v>809</v>
          </cell>
          <cell r="E65">
            <v>3375</v>
          </cell>
          <cell r="F65">
            <v>25717</v>
          </cell>
        </row>
        <row r="66">
          <cell r="B66">
            <v>7396</v>
          </cell>
          <cell r="C66">
            <v>2867</v>
          </cell>
          <cell r="D66">
            <v>239</v>
          </cell>
          <cell r="E66">
            <v>955</v>
          </cell>
          <cell r="F66">
            <v>11457</v>
          </cell>
        </row>
        <row r="67">
          <cell r="B67">
            <v>4841</v>
          </cell>
          <cell r="C67">
            <v>1516</v>
          </cell>
          <cell r="D67">
            <v>136</v>
          </cell>
          <cell r="E67">
            <v>633</v>
          </cell>
          <cell r="F67">
            <v>7126</v>
          </cell>
        </row>
        <row r="68">
          <cell r="B68">
            <v>170203</v>
          </cell>
          <cell r="C68">
            <v>107657</v>
          </cell>
          <cell r="D68">
            <v>15404</v>
          </cell>
          <cell r="E68">
            <v>105133</v>
          </cell>
          <cell r="F68">
            <v>398397</v>
          </cell>
        </row>
        <row r="69">
          <cell r="B69">
            <v>13625</v>
          </cell>
          <cell r="C69">
            <v>6272</v>
          </cell>
          <cell r="D69">
            <v>857</v>
          </cell>
          <cell r="E69">
            <v>4102</v>
          </cell>
          <cell r="F69">
            <v>24856</v>
          </cell>
        </row>
        <row r="70">
          <cell r="B70">
            <v>40674</v>
          </cell>
          <cell r="C70">
            <v>7411</v>
          </cell>
          <cell r="D70">
            <v>1983</v>
          </cell>
          <cell r="E70">
            <v>9549</v>
          </cell>
          <cell r="F70">
            <v>59617</v>
          </cell>
        </row>
        <row r="71">
          <cell r="B71">
            <v>10379</v>
          </cell>
          <cell r="C71">
            <v>2866</v>
          </cell>
          <cell r="D71">
            <v>343</v>
          </cell>
          <cell r="E71">
            <v>1934</v>
          </cell>
          <cell r="F71">
            <v>15522</v>
          </cell>
        </row>
      </sheetData>
      <sheetData sheetId="10">
        <row r="5">
          <cell r="B5">
            <v>49948</v>
          </cell>
          <cell r="C5">
            <v>77819</v>
          </cell>
          <cell r="D5">
            <v>5400</v>
          </cell>
          <cell r="E5">
            <v>41221</v>
          </cell>
        </row>
        <row r="6">
          <cell r="B6">
            <v>12234</v>
          </cell>
          <cell r="C6">
            <v>2842</v>
          </cell>
          <cell r="D6">
            <v>407</v>
          </cell>
          <cell r="E6">
            <v>1836</v>
          </cell>
        </row>
        <row r="7">
          <cell r="B7">
            <v>72679</v>
          </cell>
          <cell r="C7">
            <v>23420</v>
          </cell>
          <cell r="D7">
            <v>4751</v>
          </cell>
          <cell r="E7">
            <v>23647</v>
          </cell>
        </row>
        <row r="8">
          <cell r="B8">
            <v>10521</v>
          </cell>
          <cell r="C8">
            <v>3467</v>
          </cell>
          <cell r="D8">
            <v>436</v>
          </cell>
          <cell r="E8">
            <v>2051</v>
          </cell>
        </row>
        <row r="9">
          <cell r="B9">
            <v>200678</v>
          </cell>
          <cell r="C9">
            <v>109514</v>
          </cell>
          <cell r="D9">
            <v>16912</v>
          </cell>
          <cell r="E9">
            <v>104498</v>
          </cell>
        </row>
        <row r="10">
          <cell r="B10">
            <v>283727</v>
          </cell>
          <cell r="C10">
            <v>521427</v>
          </cell>
          <cell r="D10">
            <v>31058</v>
          </cell>
          <cell r="E10">
            <v>358872</v>
          </cell>
        </row>
        <row r="11">
          <cell r="B11">
            <v>4749</v>
          </cell>
          <cell r="C11">
            <v>1940</v>
          </cell>
          <cell r="D11">
            <v>95</v>
          </cell>
          <cell r="E11">
            <v>753</v>
          </cell>
        </row>
        <row r="12">
          <cell r="B12">
            <v>79501</v>
          </cell>
          <cell r="C12">
            <v>28833</v>
          </cell>
          <cell r="D12">
            <v>6047</v>
          </cell>
          <cell r="E12">
            <v>32966</v>
          </cell>
        </row>
        <row r="13">
          <cell r="B13">
            <v>68484</v>
          </cell>
          <cell r="C13">
            <v>20548</v>
          </cell>
          <cell r="D13">
            <v>4457</v>
          </cell>
          <cell r="E13">
            <v>22418</v>
          </cell>
        </row>
        <row r="14">
          <cell r="B14">
            <v>86521</v>
          </cell>
          <cell r="C14">
            <v>29840</v>
          </cell>
          <cell r="D14">
            <v>5425</v>
          </cell>
          <cell r="E14">
            <v>29146</v>
          </cell>
        </row>
        <row r="15">
          <cell r="B15">
            <v>143987</v>
          </cell>
          <cell r="C15">
            <v>50214</v>
          </cell>
          <cell r="D15">
            <v>7780</v>
          </cell>
          <cell r="E15">
            <v>58475</v>
          </cell>
        </row>
        <row r="16">
          <cell r="B16">
            <v>23783</v>
          </cell>
          <cell r="C16">
            <v>9477</v>
          </cell>
          <cell r="D16">
            <v>1214</v>
          </cell>
          <cell r="E16">
            <v>6161</v>
          </cell>
        </row>
        <row r="17">
          <cell r="B17">
            <v>7919</v>
          </cell>
          <cell r="C17">
            <v>4033</v>
          </cell>
          <cell r="D17">
            <v>458</v>
          </cell>
          <cell r="E17">
            <v>3000</v>
          </cell>
        </row>
        <row r="18">
          <cell r="B18">
            <v>6694</v>
          </cell>
          <cell r="C18">
            <v>1638</v>
          </cell>
          <cell r="D18">
            <v>224</v>
          </cell>
          <cell r="E18">
            <v>1320</v>
          </cell>
        </row>
        <row r="19">
          <cell r="B19">
            <v>234357</v>
          </cell>
          <cell r="C19">
            <v>238971</v>
          </cell>
          <cell r="D19">
            <v>21789</v>
          </cell>
          <cell r="E19">
            <v>141329</v>
          </cell>
        </row>
        <row r="20">
          <cell r="B20">
            <v>100182</v>
          </cell>
          <cell r="C20">
            <v>61154</v>
          </cell>
          <cell r="D20">
            <v>7056</v>
          </cell>
          <cell r="E20">
            <v>42088</v>
          </cell>
        </row>
        <row r="21">
          <cell r="B21">
            <v>48652</v>
          </cell>
          <cell r="C21">
            <v>22890</v>
          </cell>
          <cell r="D21">
            <v>3763</v>
          </cell>
          <cell r="E21">
            <v>20338</v>
          </cell>
        </row>
        <row r="22">
          <cell r="B22">
            <v>4091</v>
          </cell>
          <cell r="C22">
            <v>2230</v>
          </cell>
          <cell r="D22">
            <v>283</v>
          </cell>
          <cell r="E22">
            <v>1111</v>
          </cell>
        </row>
        <row r="23">
          <cell r="B23">
            <v>5766</v>
          </cell>
          <cell r="C23">
            <v>17426</v>
          </cell>
          <cell r="D23">
            <v>458</v>
          </cell>
          <cell r="E23">
            <v>2760</v>
          </cell>
        </row>
        <row r="24">
          <cell r="B24">
            <v>8971</v>
          </cell>
          <cell r="C24">
            <v>1758</v>
          </cell>
          <cell r="D24">
            <v>452</v>
          </cell>
          <cell r="E24">
            <v>1564</v>
          </cell>
        </row>
        <row r="25">
          <cell r="B25">
            <v>3949</v>
          </cell>
          <cell r="C25">
            <v>1391</v>
          </cell>
          <cell r="D25">
            <v>201</v>
          </cell>
          <cell r="E25">
            <v>1053</v>
          </cell>
        </row>
        <row r="26">
          <cell r="B26">
            <v>6955</v>
          </cell>
          <cell r="C26">
            <v>2329</v>
          </cell>
          <cell r="D26">
            <v>356</v>
          </cell>
          <cell r="E26">
            <v>1280</v>
          </cell>
        </row>
        <row r="27">
          <cell r="B27">
            <v>3603</v>
          </cell>
          <cell r="C27">
            <v>2324</v>
          </cell>
          <cell r="D27">
            <v>183</v>
          </cell>
          <cell r="E27">
            <v>794</v>
          </cell>
        </row>
        <row r="28">
          <cell r="B28">
            <v>6794</v>
          </cell>
          <cell r="C28">
            <v>2717</v>
          </cell>
          <cell r="D28">
            <v>352</v>
          </cell>
          <cell r="E28">
            <v>2219</v>
          </cell>
        </row>
        <row r="29">
          <cell r="B29">
            <v>9127</v>
          </cell>
          <cell r="C29">
            <v>5243</v>
          </cell>
          <cell r="D29">
            <v>482</v>
          </cell>
          <cell r="E29">
            <v>3367</v>
          </cell>
        </row>
        <row r="30">
          <cell r="B30">
            <v>68557</v>
          </cell>
          <cell r="C30">
            <v>30059</v>
          </cell>
          <cell r="D30">
            <v>5243</v>
          </cell>
          <cell r="E30">
            <v>29378</v>
          </cell>
        </row>
        <row r="31">
          <cell r="B31">
            <v>34788</v>
          </cell>
          <cell r="C31">
            <v>13830</v>
          </cell>
          <cell r="D31">
            <v>2349</v>
          </cell>
          <cell r="E31">
            <v>12330</v>
          </cell>
        </row>
        <row r="32">
          <cell r="B32">
            <v>291297</v>
          </cell>
          <cell r="C32">
            <v>272181</v>
          </cell>
          <cell r="D32">
            <v>27879</v>
          </cell>
          <cell r="E32">
            <v>216415</v>
          </cell>
        </row>
        <row r="33">
          <cell r="B33">
            <v>8137</v>
          </cell>
          <cell r="C33">
            <v>1529</v>
          </cell>
          <cell r="D33">
            <v>258</v>
          </cell>
          <cell r="E33">
            <v>1176</v>
          </cell>
        </row>
        <row r="34">
          <cell r="B34">
            <v>61272</v>
          </cell>
          <cell r="C34">
            <v>25871</v>
          </cell>
          <cell r="D34">
            <v>4608</v>
          </cell>
          <cell r="E34">
            <v>24545</v>
          </cell>
        </row>
        <row r="35">
          <cell r="B35">
            <v>15603</v>
          </cell>
          <cell r="C35">
            <v>7845</v>
          </cell>
          <cell r="D35">
            <v>560</v>
          </cell>
          <cell r="E35">
            <v>2618</v>
          </cell>
        </row>
        <row r="36">
          <cell r="B36">
            <v>4629</v>
          </cell>
          <cell r="C36">
            <v>3827</v>
          </cell>
          <cell r="D36">
            <v>188</v>
          </cell>
          <cell r="E36">
            <v>1161</v>
          </cell>
        </row>
        <row r="37">
          <cell r="B37">
            <v>3283</v>
          </cell>
          <cell r="C37">
            <v>592</v>
          </cell>
          <cell r="D37">
            <v>70</v>
          </cell>
          <cell r="E37">
            <v>270</v>
          </cell>
        </row>
        <row r="38">
          <cell r="B38">
            <v>129407</v>
          </cell>
          <cell r="C38">
            <v>66909</v>
          </cell>
          <cell r="D38">
            <v>9393</v>
          </cell>
          <cell r="E38">
            <v>64147</v>
          </cell>
        </row>
        <row r="39">
          <cell r="B39">
            <v>237793</v>
          </cell>
          <cell r="C39">
            <v>103537</v>
          </cell>
          <cell r="D39">
            <v>16177</v>
          </cell>
          <cell r="E39">
            <v>124553</v>
          </cell>
        </row>
        <row r="40">
          <cell r="B40">
            <v>54437</v>
          </cell>
          <cell r="C40">
            <v>87667</v>
          </cell>
          <cell r="D40">
            <v>5488</v>
          </cell>
          <cell r="E40">
            <v>35864</v>
          </cell>
        </row>
        <row r="41">
          <cell r="B41">
            <v>18201</v>
          </cell>
          <cell r="C41">
            <v>6090</v>
          </cell>
          <cell r="D41">
            <v>1090</v>
          </cell>
          <cell r="E41">
            <v>4101</v>
          </cell>
        </row>
        <row r="42">
          <cell r="B42">
            <v>2803</v>
          </cell>
          <cell r="C42">
            <v>1203</v>
          </cell>
          <cell r="D42">
            <v>23</v>
          </cell>
          <cell r="E42">
            <v>451</v>
          </cell>
        </row>
        <row r="43">
          <cell r="B43">
            <v>5135</v>
          </cell>
          <cell r="C43">
            <v>3901</v>
          </cell>
          <cell r="D43">
            <v>128</v>
          </cell>
          <cell r="E43">
            <v>1183</v>
          </cell>
        </row>
        <row r="44">
          <cell r="B44">
            <v>135958</v>
          </cell>
          <cell r="C44">
            <v>65657</v>
          </cell>
          <cell r="D44">
            <v>9015</v>
          </cell>
          <cell r="E44">
            <v>63147</v>
          </cell>
        </row>
        <row r="45">
          <cell r="B45">
            <v>134356</v>
          </cell>
          <cell r="C45">
            <v>65467</v>
          </cell>
          <cell r="D45">
            <v>9464</v>
          </cell>
          <cell r="E45">
            <v>50116</v>
          </cell>
        </row>
        <row r="46">
          <cell r="B46">
            <v>61698</v>
          </cell>
          <cell r="C46">
            <v>23434</v>
          </cell>
          <cell r="D46">
            <v>4613</v>
          </cell>
          <cell r="E46">
            <v>24023</v>
          </cell>
        </row>
        <row r="47">
          <cell r="B47">
            <v>447934</v>
          </cell>
          <cell r="C47">
            <v>406964</v>
          </cell>
          <cell r="D47">
            <v>31353</v>
          </cell>
          <cell r="E47">
            <v>387164</v>
          </cell>
        </row>
        <row r="48">
          <cell r="B48">
            <v>24604</v>
          </cell>
          <cell r="C48">
            <v>14734</v>
          </cell>
          <cell r="D48">
            <v>1994</v>
          </cell>
          <cell r="E48">
            <v>12543</v>
          </cell>
        </row>
        <row r="49">
          <cell r="B49">
            <v>48150</v>
          </cell>
          <cell r="C49">
            <v>13325</v>
          </cell>
          <cell r="D49">
            <v>2954</v>
          </cell>
          <cell r="E49">
            <v>14791</v>
          </cell>
        </row>
        <row r="50">
          <cell r="B50">
            <v>84696</v>
          </cell>
          <cell r="C50">
            <v>23596</v>
          </cell>
          <cell r="D50">
            <v>5079</v>
          </cell>
          <cell r="E50">
            <v>30477</v>
          </cell>
        </row>
        <row r="51">
          <cell r="B51">
            <v>12001</v>
          </cell>
          <cell r="C51">
            <v>4253</v>
          </cell>
          <cell r="D51">
            <v>762</v>
          </cell>
          <cell r="E51">
            <v>3082</v>
          </cell>
        </row>
        <row r="52">
          <cell r="B52">
            <v>226457</v>
          </cell>
          <cell r="C52">
            <v>317412</v>
          </cell>
          <cell r="D52">
            <v>28876</v>
          </cell>
          <cell r="E52">
            <v>246209</v>
          </cell>
        </row>
        <row r="53">
          <cell r="B53">
            <v>67484</v>
          </cell>
          <cell r="C53">
            <v>79567</v>
          </cell>
          <cell r="D53">
            <v>8491</v>
          </cell>
          <cell r="E53">
            <v>69234</v>
          </cell>
        </row>
        <row r="54">
          <cell r="B54">
            <v>291830</v>
          </cell>
          <cell r="C54">
            <v>307504</v>
          </cell>
          <cell r="D54">
            <v>31378</v>
          </cell>
          <cell r="E54">
            <v>232612</v>
          </cell>
        </row>
        <row r="55">
          <cell r="B55">
            <v>175971</v>
          </cell>
          <cell r="C55">
            <v>96683</v>
          </cell>
          <cell r="D55">
            <v>15942</v>
          </cell>
          <cell r="E55">
            <v>98877</v>
          </cell>
        </row>
        <row r="56">
          <cell r="B56">
            <v>237789</v>
          </cell>
          <cell r="C56">
            <v>190906</v>
          </cell>
          <cell r="D56">
            <v>20738</v>
          </cell>
          <cell r="E56">
            <v>153912</v>
          </cell>
        </row>
        <row r="57">
          <cell r="B57">
            <v>187355</v>
          </cell>
          <cell r="C57">
            <v>127949</v>
          </cell>
          <cell r="D57">
            <v>16414</v>
          </cell>
          <cell r="E57">
            <v>106929</v>
          </cell>
        </row>
        <row r="58">
          <cell r="B58">
            <v>25326</v>
          </cell>
          <cell r="C58">
            <v>10573</v>
          </cell>
          <cell r="D58">
            <v>1269</v>
          </cell>
          <cell r="E58">
            <v>6886</v>
          </cell>
        </row>
        <row r="59">
          <cell r="B59">
            <v>88159</v>
          </cell>
          <cell r="C59">
            <v>20043</v>
          </cell>
          <cell r="D59">
            <v>4854</v>
          </cell>
          <cell r="E59">
            <v>24821</v>
          </cell>
        </row>
        <row r="60">
          <cell r="B60">
            <v>158396</v>
          </cell>
          <cell r="C60">
            <v>80212</v>
          </cell>
          <cell r="D60">
            <v>10602</v>
          </cell>
          <cell r="E60">
            <v>73609</v>
          </cell>
        </row>
        <row r="61">
          <cell r="B61">
            <v>120853</v>
          </cell>
          <cell r="C61">
            <v>107283</v>
          </cell>
          <cell r="D61">
            <v>12417</v>
          </cell>
          <cell r="E61">
            <v>100219</v>
          </cell>
        </row>
        <row r="62">
          <cell r="B62">
            <v>129799</v>
          </cell>
          <cell r="C62">
            <v>46856</v>
          </cell>
          <cell r="D62">
            <v>7167</v>
          </cell>
          <cell r="E62">
            <v>47715</v>
          </cell>
        </row>
        <row r="63">
          <cell r="B63">
            <v>91683</v>
          </cell>
          <cell r="C63">
            <v>77606</v>
          </cell>
          <cell r="D63">
            <v>9534</v>
          </cell>
          <cell r="E63">
            <v>56274</v>
          </cell>
        </row>
        <row r="64">
          <cell r="B64">
            <v>74557</v>
          </cell>
          <cell r="C64">
            <v>22746</v>
          </cell>
          <cell r="D64">
            <v>3263</v>
          </cell>
          <cell r="E64">
            <v>23272</v>
          </cell>
        </row>
        <row r="65">
          <cell r="B65">
            <v>16534</v>
          </cell>
          <cell r="C65">
            <v>5070</v>
          </cell>
          <cell r="D65">
            <v>828</v>
          </cell>
          <cell r="E65">
            <v>3400</v>
          </cell>
        </row>
        <row r="66">
          <cell r="B66">
            <v>7416</v>
          </cell>
          <cell r="C66">
            <v>2870</v>
          </cell>
          <cell r="D66">
            <v>244</v>
          </cell>
          <cell r="E66">
            <v>966</v>
          </cell>
        </row>
        <row r="67">
          <cell r="B67">
            <v>4849</v>
          </cell>
          <cell r="C67">
            <v>1504</v>
          </cell>
          <cell r="D67">
            <v>135</v>
          </cell>
          <cell r="E67">
            <v>632</v>
          </cell>
        </row>
        <row r="68">
          <cell r="B68">
            <v>170970</v>
          </cell>
          <cell r="C68">
            <v>107724</v>
          </cell>
          <cell r="D68">
            <v>15706</v>
          </cell>
          <cell r="E68">
            <v>105512</v>
          </cell>
        </row>
        <row r="69">
          <cell r="B69">
            <v>13682</v>
          </cell>
          <cell r="C69">
            <v>6269</v>
          </cell>
          <cell r="D69">
            <v>877</v>
          </cell>
          <cell r="E69">
            <v>4104</v>
          </cell>
        </row>
        <row r="70">
          <cell r="B70">
            <v>40974</v>
          </cell>
          <cell r="C70">
            <v>7432</v>
          </cell>
          <cell r="D70">
            <v>2033</v>
          </cell>
          <cell r="E70">
            <v>9567</v>
          </cell>
        </row>
        <row r="71">
          <cell r="B71">
            <v>10407</v>
          </cell>
          <cell r="C71">
            <v>2865</v>
          </cell>
          <cell r="D71">
            <v>354</v>
          </cell>
          <cell r="E71">
            <v>1938</v>
          </cell>
        </row>
      </sheetData>
      <sheetData sheetId="11">
        <row r="5">
          <cell r="B5">
            <v>50029</v>
          </cell>
          <cell r="C5">
            <v>77877</v>
          </cell>
          <cell r="D5">
            <v>5474</v>
          </cell>
          <cell r="E5">
            <v>41290</v>
          </cell>
        </row>
        <row r="6">
          <cell r="B6">
            <v>12282</v>
          </cell>
          <cell r="C6">
            <v>2847</v>
          </cell>
          <cell r="D6">
            <v>407</v>
          </cell>
          <cell r="E6">
            <v>1843</v>
          </cell>
        </row>
        <row r="7">
          <cell r="B7">
            <v>72949</v>
          </cell>
          <cell r="C7">
            <v>23492</v>
          </cell>
          <cell r="D7">
            <v>4822</v>
          </cell>
          <cell r="E7">
            <v>23717</v>
          </cell>
        </row>
        <row r="8">
          <cell r="B8">
            <v>10533</v>
          </cell>
          <cell r="C8">
            <v>3483</v>
          </cell>
          <cell r="D8">
            <v>453</v>
          </cell>
          <cell r="E8">
            <v>2050</v>
          </cell>
        </row>
        <row r="9">
          <cell r="B9">
            <v>201228</v>
          </cell>
          <cell r="C9">
            <v>109688</v>
          </cell>
          <cell r="D9">
            <v>17135</v>
          </cell>
          <cell r="E9">
            <v>104949</v>
          </cell>
        </row>
        <row r="10">
          <cell r="B10">
            <v>284190</v>
          </cell>
          <cell r="C10">
            <v>521401</v>
          </cell>
          <cell r="D10">
            <v>31270</v>
          </cell>
          <cell r="E10">
            <v>359449</v>
          </cell>
        </row>
        <row r="11">
          <cell r="B11">
            <v>4761</v>
          </cell>
          <cell r="C11">
            <v>1938</v>
          </cell>
          <cell r="D11">
            <v>98</v>
          </cell>
          <cell r="E11">
            <v>755</v>
          </cell>
        </row>
        <row r="12">
          <cell r="B12">
            <v>79974</v>
          </cell>
          <cell r="C12">
            <v>28913</v>
          </cell>
          <cell r="D12">
            <v>6199</v>
          </cell>
          <cell r="E12">
            <v>33071</v>
          </cell>
        </row>
        <row r="13">
          <cell r="B13">
            <v>68815</v>
          </cell>
          <cell r="C13">
            <v>20577</v>
          </cell>
          <cell r="D13">
            <v>4561</v>
          </cell>
          <cell r="E13">
            <v>22434</v>
          </cell>
        </row>
        <row r="14">
          <cell r="B14">
            <v>86739</v>
          </cell>
          <cell r="C14">
            <v>29911</v>
          </cell>
          <cell r="D14">
            <v>5494</v>
          </cell>
          <cell r="E14">
            <v>29209</v>
          </cell>
        </row>
        <row r="15">
          <cell r="B15">
            <v>144106</v>
          </cell>
          <cell r="C15">
            <v>50179</v>
          </cell>
          <cell r="D15">
            <v>7871</v>
          </cell>
          <cell r="E15">
            <v>58460</v>
          </cell>
        </row>
        <row r="16">
          <cell r="B16">
            <v>23810</v>
          </cell>
          <cell r="C16">
            <v>9495</v>
          </cell>
          <cell r="D16">
            <v>1233</v>
          </cell>
          <cell r="E16">
            <v>6182</v>
          </cell>
        </row>
        <row r="17">
          <cell r="B17">
            <v>7950</v>
          </cell>
          <cell r="C17">
            <v>4033</v>
          </cell>
          <cell r="D17">
            <v>465</v>
          </cell>
          <cell r="E17">
            <v>3010</v>
          </cell>
        </row>
        <row r="18">
          <cell r="B18">
            <v>6716</v>
          </cell>
          <cell r="C18">
            <v>1633</v>
          </cell>
          <cell r="D18">
            <v>227</v>
          </cell>
          <cell r="E18">
            <v>1323</v>
          </cell>
        </row>
        <row r="19">
          <cell r="B19">
            <v>234308</v>
          </cell>
          <cell r="C19">
            <v>238839</v>
          </cell>
          <cell r="D19">
            <v>21959</v>
          </cell>
          <cell r="E19">
            <v>141282</v>
          </cell>
        </row>
        <row r="20">
          <cell r="B20">
            <v>100433</v>
          </cell>
          <cell r="C20">
            <v>61248</v>
          </cell>
          <cell r="D20">
            <v>7166</v>
          </cell>
          <cell r="E20">
            <v>42210</v>
          </cell>
        </row>
        <row r="21">
          <cell r="B21">
            <v>48847</v>
          </cell>
          <cell r="C21">
            <v>22942</v>
          </cell>
          <cell r="D21">
            <v>3802</v>
          </cell>
          <cell r="E21">
            <v>20428</v>
          </cell>
        </row>
        <row r="22">
          <cell r="B22">
            <v>4096</v>
          </cell>
          <cell r="C22">
            <v>2221</v>
          </cell>
          <cell r="D22">
            <v>283</v>
          </cell>
          <cell r="E22">
            <v>1125</v>
          </cell>
        </row>
        <row r="23">
          <cell r="B23">
            <v>5784</v>
          </cell>
          <cell r="C23">
            <v>17442</v>
          </cell>
          <cell r="D23">
            <v>465</v>
          </cell>
          <cell r="E23">
            <v>2771</v>
          </cell>
        </row>
        <row r="24">
          <cell r="B24">
            <v>8986</v>
          </cell>
          <cell r="C24">
            <v>1761</v>
          </cell>
          <cell r="D24">
            <v>457</v>
          </cell>
          <cell r="E24">
            <v>1577</v>
          </cell>
        </row>
        <row r="25">
          <cell r="B25">
            <v>3964</v>
          </cell>
          <cell r="C25">
            <v>1396</v>
          </cell>
          <cell r="D25">
            <v>202</v>
          </cell>
          <cell r="E25">
            <v>1054</v>
          </cell>
        </row>
        <row r="26">
          <cell r="B26">
            <v>6989</v>
          </cell>
          <cell r="C26">
            <v>2326</v>
          </cell>
          <cell r="D26">
            <v>360</v>
          </cell>
          <cell r="E26">
            <v>1283</v>
          </cell>
        </row>
        <row r="27">
          <cell r="B27">
            <v>3623</v>
          </cell>
          <cell r="C27">
            <v>2322</v>
          </cell>
          <cell r="D27">
            <v>190</v>
          </cell>
          <cell r="E27">
            <v>803</v>
          </cell>
        </row>
        <row r="28">
          <cell r="B28">
            <v>6790</v>
          </cell>
          <cell r="C28">
            <v>2713</v>
          </cell>
          <cell r="D28">
            <v>360</v>
          </cell>
          <cell r="E28">
            <v>2219</v>
          </cell>
        </row>
        <row r="29">
          <cell r="B29">
            <v>9149</v>
          </cell>
          <cell r="C29">
            <v>5267</v>
          </cell>
          <cell r="D29">
            <v>495</v>
          </cell>
          <cell r="E29">
            <v>3398</v>
          </cell>
        </row>
        <row r="30">
          <cell r="B30">
            <v>68752</v>
          </cell>
          <cell r="C30">
            <v>30095</v>
          </cell>
          <cell r="D30">
            <v>5293</v>
          </cell>
          <cell r="E30">
            <v>29436</v>
          </cell>
        </row>
        <row r="31">
          <cell r="B31">
            <v>34931</v>
          </cell>
          <cell r="C31">
            <v>13845</v>
          </cell>
          <cell r="D31">
            <v>2389</v>
          </cell>
          <cell r="E31">
            <v>12322</v>
          </cell>
        </row>
        <row r="32">
          <cell r="B32">
            <v>292121</v>
          </cell>
          <cell r="C32">
            <v>272909</v>
          </cell>
          <cell r="D32">
            <v>28345</v>
          </cell>
          <cell r="E32">
            <v>217242</v>
          </cell>
        </row>
        <row r="33">
          <cell r="B33">
            <v>8168</v>
          </cell>
          <cell r="C33">
            <v>1519</v>
          </cell>
          <cell r="D33">
            <v>259</v>
          </cell>
          <cell r="E33">
            <v>1178</v>
          </cell>
        </row>
        <row r="34">
          <cell r="B34">
            <v>61466</v>
          </cell>
          <cell r="C34">
            <v>25925</v>
          </cell>
          <cell r="D34">
            <v>4688</v>
          </cell>
          <cell r="E34">
            <v>24581</v>
          </cell>
        </row>
        <row r="35">
          <cell r="B35">
            <v>15707</v>
          </cell>
          <cell r="C35">
            <v>7831</v>
          </cell>
          <cell r="D35">
            <v>565</v>
          </cell>
          <cell r="E35">
            <v>2634</v>
          </cell>
        </row>
        <row r="36">
          <cell r="B36">
            <v>4643</v>
          </cell>
          <cell r="C36">
            <v>3822</v>
          </cell>
          <cell r="D36">
            <v>195</v>
          </cell>
          <cell r="E36">
            <v>1164</v>
          </cell>
        </row>
        <row r="37">
          <cell r="B37">
            <v>3292</v>
          </cell>
          <cell r="C37">
            <v>592</v>
          </cell>
          <cell r="D37">
            <v>71</v>
          </cell>
          <cell r="E37">
            <v>267</v>
          </cell>
        </row>
        <row r="38">
          <cell r="B38">
            <v>129746</v>
          </cell>
          <cell r="C38">
            <v>67033</v>
          </cell>
          <cell r="D38">
            <v>9496</v>
          </cell>
          <cell r="E38">
            <v>64341</v>
          </cell>
        </row>
        <row r="39">
          <cell r="B39">
            <v>238718</v>
          </cell>
          <cell r="C39">
            <v>103749</v>
          </cell>
          <cell r="D39">
            <v>16466</v>
          </cell>
          <cell r="E39">
            <v>124900</v>
          </cell>
        </row>
        <row r="40">
          <cell r="B40">
            <v>54472</v>
          </cell>
          <cell r="C40">
            <v>87702</v>
          </cell>
          <cell r="D40">
            <v>5546</v>
          </cell>
          <cell r="E40">
            <v>35963</v>
          </cell>
        </row>
        <row r="41">
          <cell r="B41">
            <v>18253</v>
          </cell>
          <cell r="C41">
            <v>6092</v>
          </cell>
          <cell r="D41">
            <v>1116</v>
          </cell>
          <cell r="E41">
            <v>4098</v>
          </cell>
        </row>
        <row r="42">
          <cell r="B42">
            <v>2807</v>
          </cell>
          <cell r="C42">
            <v>1199</v>
          </cell>
          <cell r="D42">
            <v>23</v>
          </cell>
          <cell r="E42">
            <v>451</v>
          </cell>
        </row>
        <row r="43">
          <cell r="B43">
            <v>5144</v>
          </cell>
          <cell r="C43">
            <v>3896</v>
          </cell>
          <cell r="D43">
            <v>130</v>
          </cell>
          <cell r="E43">
            <v>1185</v>
          </cell>
        </row>
        <row r="44">
          <cell r="B44">
            <v>136404</v>
          </cell>
          <cell r="C44">
            <v>65825</v>
          </cell>
          <cell r="D44">
            <v>9153</v>
          </cell>
          <cell r="E44">
            <v>63347</v>
          </cell>
        </row>
        <row r="45">
          <cell r="B45">
            <v>134760</v>
          </cell>
          <cell r="C45">
            <v>65626</v>
          </cell>
          <cell r="D45">
            <v>9601</v>
          </cell>
          <cell r="E45">
            <v>50388</v>
          </cell>
        </row>
        <row r="46">
          <cell r="B46">
            <v>61872</v>
          </cell>
          <cell r="C46">
            <v>23437</v>
          </cell>
          <cell r="D46">
            <v>4665</v>
          </cell>
          <cell r="E46">
            <v>24042</v>
          </cell>
        </row>
        <row r="47">
          <cell r="B47">
            <v>448732</v>
          </cell>
          <cell r="C47">
            <v>407343</v>
          </cell>
          <cell r="D47">
            <v>31739</v>
          </cell>
          <cell r="E47">
            <v>388051</v>
          </cell>
        </row>
        <row r="48">
          <cell r="B48">
            <v>24671</v>
          </cell>
          <cell r="C48">
            <v>14719</v>
          </cell>
          <cell r="D48">
            <v>2031</v>
          </cell>
          <cell r="E48">
            <v>12545</v>
          </cell>
        </row>
        <row r="49">
          <cell r="B49">
            <v>48332</v>
          </cell>
          <cell r="C49">
            <v>13350</v>
          </cell>
          <cell r="D49">
            <v>2989</v>
          </cell>
          <cell r="E49">
            <v>14808</v>
          </cell>
        </row>
        <row r="50">
          <cell r="B50">
            <v>84855</v>
          </cell>
          <cell r="C50">
            <v>23640</v>
          </cell>
          <cell r="D50">
            <v>5152</v>
          </cell>
          <cell r="E50">
            <v>30546</v>
          </cell>
        </row>
        <row r="51">
          <cell r="B51">
            <v>12045</v>
          </cell>
          <cell r="C51">
            <v>4263</v>
          </cell>
          <cell r="D51">
            <v>775</v>
          </cell>
          <cell r="E51">
            <v>3082</v>
          </cell>
        </row>
        <row r="52">
          <cell r="B52">
            <v>226228</v>
          </cell>
          <cell r="C52">
            <v>317045</v>
          </cell>
          <cell r="D52">
            <v>29125</v>
          </cell>
          <cell r="E52">
            <v>245703</v>
          </cell>
        </row>
        <row r="53">
          <cell r="B53">
            <v>67904</v>
          </cell>
          <cell r="C53">
            <v>79973</v>
          </cell>
          <cell r="D53">
            <v>8655</v>
          </cell>
          <cell r="E53">
            <v>69618</v>
          </cell>
        </row>
        <row r="54">
          <cell r="B54">
            <v>293043</v>
          </cell>
          <cell r="C54">
            <v>308250</v>
          </cell>
          <cell r="D54">
            <v>31849</v>
          </cell>
          <cell r="E54">
            <v>233454</v>
          </cell>
        </row>
        <row r="55">
          <cell r="B55">
            <v>176606</v>
          </cell>
          <cell r="C55">
            <v>96958</v>
          </cell>
          <cell r="D55">
            <v>16196</v>
          </cell>
          <cell r="E55">
            <v>99226</v>
          </cell>
        </row>
        <row r="56">
          <cell r="B56">
            <v>237981</v>
          </cell>
          <cell r="C56">
            <v>190818</v>
          </cell>
          <cell r="D56">
            <v>20954</v>
          </cell>
          <cell r="E56">
            <v>154016</v>
          </cell>
        </row>
        <row r="57">
          <cell r="B57">
            <v>187738</v>
          </cell>
          <cell r="C57">
            <v>128172</v>
          </cell>
          <cell r="D57">
            <v>16636</v>
          </cell>
          <cell r="E57">
            <v>107272</v>
          </cell>
        </row>
        <row r="58">
          <cell r="B58">
            <v>25398</v>
          </cell>
          <cell r="C58">
            <v>10588</v>
          </cell>
          <cell r="D58">
            <v>1286</v>
          </cell>
          <cell r="E58">
            <v>6912</v>
          </cell>
        </row>
        <row r="59">
          <cell r="B59">
            <v>88543</v>
          </cell>
          <cell r="C59">
            <v>20109</v>
          </cell>
          <cell r="D59">
            <v>4930</v>
          </cell>
          <cell r="E59">
            <v>24891</v>
          </cell>
        </row>
        <row r="60">
          <cell r="B60">
            <v>158854</v>
          </cell>
          <cell r="C60">
            <v>80268</v>
          </cell>
          <cell r="D60">
            <v>10812</v>
          </cell>
          <cell r="E60">
            <v>73709</v>
          </cell>
        </row>
        <row r="61">
          <cell r="B61">
            <v>120765</v>
          </cell>
          <cell r="C61">
            <v>107079</v>
          </cell>
          <cell r="D61">
            <v>12516</v>
          </cell>
          <cell r="E61">
            <v>100059</v>
          </cell>
        </row>
        <row r="62">
          <cell r="B62">
            <v>130343</v>
          </cell>
          <cell r="C62">
            <v>46871</v>
          </cell>
          <cell r="D62">
            <v>7175</v>
          </cell>
          <cell r="E62">
            <v>48175</v>
          </cell>
        </row>
        <row r="63">
          <cell r="B63">
            <v>91881</v>
          </cell>
          <cell r="C63">
            <v>77566</v>
          </cell>
          <cell r="D63">
            <v>9622</v>
          </cell>
          <cell r="E63">
            <v>56311</v>
          </cell>
        </row>
        <row r="64">
          <cell r="B64">
            <v>75007</v>
          </cell>
          <cell r="C64">
            <v>22868</v>
          </cell>
          <cell r="D64">
            <v>3355</v>
          </cell>
          <cell r="E64">
            <v>23356</v>
          </cell>
        </row>
        <row r="65">
          <cell r="B65">
            <v>16578</v>
          </cell>
          <cell r="C65">
            <v>5067</v>
          </cell>
          <cell r="D65">
            <v>849</v>
          </cell>
          <cell r="E65">
            <v>3404</v>
          </cell>
        </row>
        <row r="66">
          <cell r="B66">
            <v>7431</v>
          </cell>
          <cell r="C66">
            <v>2881</v>
          </cell>
          <cell r="D66">
            <v>250</v>
          </cell>
          <cell r="E66">
            <v>975</v>
          </cell>
        </row>
        <row r="67">
          <cell r="B67">
            <v>4850</v>
          </cell>
          <cell r="C67">
            <v>1507</v>
          </cell>
          <cell r="D67">
            <v>138</v>
          </cell>
          <cell r="E67">
            <v>636</v>
          </cell>
        </row>
        <row r="68">
          <cell r="B68">
            <v>171519</v>
          </cell>
          <cell r="C68">
            <v>107965</v>
          </cell>
          <cell r="D68">
            <v>15942</v>
          </cell>
          <cell r="E68">
            <v>105656</v>
          </cell>
        </row>
        <row r="69">
          <cell r="B69">
            <v>13721</v>
          </cell>
          <cell r="C69">
            <v>6260</v>
          </cell>
          <cell r="D69">
            <v>891</v>
          </cell>
          <cell r="E69">
            <v>4108</v>
          </cell>
        </row>
        <row r="70">
          <cell r="B70">
            <v>41041</v>
          </cell>
          <cell r="C70">
            <v>7421</v>
          </cell>
          <cell r="D70">
            <v>2051</v>
          </cell>
          <cell r="E70">
            <v>9560</v>
          </cell>
        </row>
        <row r="71">
          <cell r="B71">
            <v>10460</v>
          </cell>
          <cell r="C71">
            <v>2862</v>
          </cell>
          <cell r="D71">
            <v>358</v>
          </cell>
          <cell r="E71">
            <v>1939</v>
          </cell>
        </row>
      </sheetData>
      <sheetData sheetId="12">
        <row r="5">
          <cell r="B5">
            <v>47605</v>
          </cell>
          <cell r="C5">
            <v>72535</v>
          </cell>
          <cell r="D5">
            <v>5243</v>
          </cell>
          <cell r="E5">
            <v>36647</v>
          </cell>
        </row>
        <row r="6">
          <cell r="B6">
            <v>12321</v>
          </cell>
          <cell r="C6">
            <v>2852</v>
          </cell>
          <cell r="D6">
            <v>420</v>
          </cell>
          <cell r="E6">
            <v>1862</v>
          </cell>
        </row>
        <row r="7">
          <cell r="B7">
            <v>73223</v>
          </cell>
          <cell r="C7">
            <v>23521</v>
          </cell>
          <cell r="D7">
            <v>4902</v>
          </cell>
          <cell r="E7">
            <v>23806</v>
          </cell>
        </row>
        <row r="8">
          <cell r="B8">
            <v>10568</v>
          </cell>
          <cell r="C8">
            <v>3484</v>
          </cell>
          <cell r="D8">
            <v>457</v>
          </cell>
          <cell r="E8">
            <v>2056</v>
          </cell>
        </row>
        <row r="9">
          <cell r="B9">
            <v>201713</v>
          </cell>
          <cell r="C9">
            <v>109847</v>
          </cell>
          <cell r="D9">
            <v>17337</v>
          </cell>
          <cell r="E9">
            <v>105365</v>
          </cell>
        </row>
        <row r="10">
          <cell r="B10">
            <v>263498</v>
          </cell>
          <cell r="C10">
            <v>461220</v>
          </cell>
          <cell r="D10">
            <v>28556</v>
          </cell>
          <cell r="E10">
            <v>308727</v>
          </cell>
        </row>
        <row r="11">
          <cell r="B11">
            <v>4770</v>
          </cell>
          <cell r="C11">
            <v>1931</v>
          </cell>
          <cell r="D11">
            <v>99</v>
          </cell>
          <cell r="E11">
            <v>760</v>
          </cell>
        </row>
        <row r="12">
          <cell r="B12">
            <v>80445</v>
          </cell>
          <cell r="C12">
            <v>29002</v>
          </cell>
          <cell r="D12">
            <v>6305</v>
          </cell>
          <cell r="E12">
            <v>33202</v>
          </cell>
        </row>
        <row r="13">
          <cell r="B13">
            <v>69057</v>
          </cell>
          <cell r="C13">
            <v>20566</v>
          </cell>
          <cell r="D13">
            <v>4656</v>
          </cell>
          <cell r="E13">
            <v>22444</v>
          </cell>
        </row>
        <row r="14">
          <cell r="B14">
            <v>86930</v>
          </cell>
          <cell r="C14">
            <v>30041</v>
          </cell>
          <cell r="D14">
            <v>5579</v>
          </cell>
          <cell r="E14">
            <v>29298</v>
          </cell>
        </row>
        <row r="15">
          <cell r="B15">
            <v>144768</v>
          </cell>
          <cell r="C15">
            <v>50327</v>
          </cell>
          <cell r="D15">
            <v>7993</v>
          </cell>
          <cell r="E15">
            <v>58660</v>
          </cell>
        </row>
        <row r="16">
          <cell r="B16">
            <v>23836</v>
          </cell>
          <cell r="C16">
            <v>9499</v>
          </cell>
          <cell r="D16">
            <v>1255</v>
          </cell>
          <cell r="E16">
            <v>6190</v>
          </cell>
        </row>
        <row r="17">
          <cell r="B17">
            <v>8007</v>
          </cell>
          <cell r="C17">
            <v>4040</v>
          </cell>
          <cell r="D17">
            <v>483</v>
          </cell>
          <cell r="E17">
            <v>3010</v>
          </cell>
        </row>
        <row r="18">
          <cell r="B18">
            <v>6719</v>
          </cell>
          <cell r="C18">
            <v>1629</v>
          </cell>
          <cell r="D18">
            <v>232</v>
          </cell>
          <cell r="E18">
            <v>1326</v>
          </cell>
        </row>
        <row r="19">
          <cell r="B19">
            <v>234274</v>
          </cell>
          <cell r="C19">
            <v>238810</v>
          </cell>
          <cell r="D19">
            <v>22168</v>
          </cell>
          <cell r="E19">
            <v>141279</v>
          </cell>
        </row>
        <row r="20">
          <cell r="B20">
            <v>100289</v>
          </cell>
          <cell r="C20">
            <v>61009</v>
          </cell>
          <cell r="D20">
            <v>7241</v>
          </cell>
          <cell r="E20">
            <v>42004</v>
          </cell>
        </row>
        <row r="21">
          <cell r="B21">
            <v>49093</v>
          </cell>
          <cell r="C21">
            <v>22983</v>
          </cell>
          <cell r="D21">
            <v>3844</v>
          </cell>
          <cell r="E21">
            <v>20449</v>
          </cell>
        </row>
        <row r="22">
          <cell r="B22">
            <v>4112</v>
          </cell>
          <cell r="C22">
            <v>2212</v>
          </cell>
          <cell r="D22">
            <v>285</v>
          </cell>
          <cell r="E22">
            <v>1137</v>
          </cell>
        </row>
        <row r="23">
          <cell r="B23">
            <v>5808</v>
          </cell>
          <cell r="C23">
            <v>17445</v>
          </cell>
          <cell r="D23">
            <v>474</v>
          </cell>
          <cell r="E23">
            <v>2789</v>
          </cell>
        </row>
        <row r="24">
          <cell r="B24">
            <v>9006</v>
          </cell>
          <cell r="C24">
            <v>1752</v>
          </cell>
          <cell r="D24">
            <v>459</v>
          </cell>
          <cell r="E24">
            <v>1574</v>
          </cell>
        </row>
        <row r="25">
          <cell r="B25">
            <v>3981</v>
          </cell>
          <cell r="C25">
            <v>1404</v>
          </cell>
          <cell r="D25">
            <v>204</v>
          </cell>
          <cell r="E25">
            <v>1064</v>
          </cell>
        </row>
        <row r="26">
          <cell r="B26">
            <v>7027</v>
          </cell>
          <cell r="C26">
            <v>2325</v>
          </cell>
          <cell r="D26">
            <v>368</v>
          </cell>
          <cell r="E26">
            <v>1290</v>
          </cell>
        </row>
        <row r="27">
          <cell r="B27">
            <v>3630</v>
          </cell>
          <cell r="C27">
            <v>2324</v>
          </cell>
          <cell r="D27">
            <v>195</v>
          </cell>
          <cell r="E27">
            <v>799</v>
          </cell>
        </row>
        <row r="28">
          <cell r="B28">
            <v>6803</v>
          </cell>
          <cell r="C28">
            <v>2718</v>
          </cell>
          <cell r="D28">
            <v>364</v>
          </cell>
          <cell r="E28">
            <v>2225</v>
          </cell>
        </row>
        <row r="29">
          <cell r="B29">
            <v>9216</v>
          </cell>
          <cell r="C29">
            <v>5324</v>
          </cell>
          <cell r="D29">
            <v>503</v>
          </cell>
          <cell r="E29">
            <v>3444</v>
          </cell>
        </row>
        <row r="30">
          <cell r="B30">
            <v>68961</v>
          </cell>
          <cell r="C30">
            <v>30172</v>
          </cell>
          <cell r="D30">
            <v>5361</v>
          </cell>
          <cell r="E30">
            <v>29531</v>
          </cell>
        </row>
        <row r="31">
          <cell r="B31">
            <v>35046</v>
          </cell>
          <cell r="C31">
            <v>13877</v>
          </cell>
          <cell r="D31">
            <v>2441</v>
          </cell>
          <cell r="E31">
            <v>12322</v>
          </cell>
        </row>
        <row r="32">
          <cell r="B32">
            <v>292783</v>
          </cell>
          <cell r="C32">
            <v>273402</v>
          </cell>
          <cell r="D32">
            <v>28824</v>
          </cell>
          <cell r="E32">
            <v>217941</v>
          </cell>
        </row>
        <row r="33">
          <cell r="B33">
            <v>8207</v>
          </cell>
          <cell r="C33">
            <v>1511</v>
          </cell>
          <cell r="D33">
            <v>263</v>
          </cell>
          <cell r="E33">
            <v>1181</v>
          </cell>
        </row>
        <row r="34">
          <cell r="B34">
            <v>61719</v>
          </cell>
          <cell r="C34">
            <v>26010</v>
          </cell>
          <cell r="D34">
            <v>4757</v>
          </cell>
          <cell r="E34">
            <v>24655</v>
          </cell>
        </row>
        <row r="35">
          <cell r="B35">
            <v>15758</v>
          </cell>
          <cell r="C35">
            <v>7843</v>
          </cell>
          <cell r="D35">
            <v>575</v>
          </cell>
          <cell r="E35">
            <v>2652</v>
          </cell>
        </row>
        <row r="36">
          <cell r="B36">
            <v>4654</v>
          </cell>
          <cell r="C36">
            <v>3803</v>
          </cell>
          <cell r="D36">
            <v>203</v>
          </cell>
          <cell r="E36">
            <v>1157</v>
          </cell>
        </row>
        <row r="37">
          <cell r="B37">
            <v>3290</v>
          </cell>
          <cell r="C37">
            <v>595</v>
          </cell>
          <cell r="D37">
            <v>71</v>
          </cell>
          <cell r="E37">
            <v>266</v>
          </cell>
        </row>
        <row r="38">
          <cell r="B38">
            <v>129315</v>
          </cell>
          <cell r="C38">
            <v>66578</v>
          </cell>
          <cell r="D38">
            <v>9500</v>
          </cell>
          <cell r="E38">
            <v>64027</v>
          </cell>
        </row>
        <row r="39">
          <cell r="B39">
            <v>239666</v>
          </cell>
          <cell r="C39">
            <v>104002</v>
          </cell>
          <cell r="D39">
            <v>16739</v>
          </cell>
          <cell r="E39">
            <v>125205</v>
          </cell>
        </row>
        <row r="40">
          <cell r="B40">
            <v>54470</v>
          </cell>
          <cell r="C40">
            <v>87637</v>
          </cell>
          <cell r="D40">
            <v>5607</v>
          </cell>
          <cell r="E40">
            <v>35968</v>
          </cell>
        </row>
        <row r="41">
          <cell r="B41">
            <v>18316</v>
          </cell>
          <cell r="C41">
            <v>6105</v>
          </cell>
          <cell r="D41">
            <v>1135</v>
          </cell>
          <cell r="E41">
            <v>4100</v>
          </cell>
        </row>
        <row r="42">
          <cell r="B42">
            <v>2813</v>
          </cell>
          <cell r="C42">
            <v>1198</v>
          </cell>
          <cell r="D42">
            <v>24</v>
          </cell>
          <cell r="E42">
            <v>450</v>
          </cell>
        </row>
        <row r="43">
          <cell r="B43">
            <v>5160</v>
          </cell>
          <cell r="C43">
            <v>3895</v>
          </cell>
          <cell r="D43">
            <v>134</v>
          </cell>
          <cell r="E43">
            <v>1188</v>
          </cell>
        </row>
        <row r="44">
          <cell r="B44">
            <v>137047</v>
          </cell>
          <cell r="C44">
            <v>66081</v>
          </cell>
          <cell r="D44">
            <v>9262</v>
          </cell>
          <cell r="E44">
            <v>63640</v>
          </cell>
        </row>
        <row r="45">
          <cell r="B45">
            <v>135306</v>
          </cell>
          <cell r="C45">
            <v>65933</v>
          </cell>
          <cell r="D45">
            <v>9783</v>
          </cell>
          <cell r="E45">
            <v>50753</v>
          </cell>
        </row>
        <row r="46">
          <cell r="B46">
            <v>62089</v>
          </cell>
          <cell r="C46">
            <v>23481</v>
          </cell>
          <cell r="D46">
            <v>4734</v>
          </cell>
          <cell r="E46">
            <v>24077</v>
          </cell>
        </row>
        <row r="47">
          <cell r="B47">
            <v>449428</v>
          </cell>
          <cell r="C47">
            <v>407810</v>
          </cell>
          <cell r="D47">
            <v>32118</v>
          </cell>
          <cell r="E47">
            <v>389080</v>
          </cell>
        </row>
        <row r="48">
          <cell r="B48">
            <v>24756</v>
          </cell>
          <cell r="C48">
            <v>14762</v>
          </cell>
          <cell r="D48">
            <v>2058</v>
          </cell>
          <cell r="E48">
            <v>12573</v>
          </cell>
        </row>
        <row r="49">
          <cell r="B49">
            <v>48402</v>
          </cell>
          <cell r="C49">
            <v>13370</v>
          </cell>
          <cell r="D49">
            <v>2988</v>
          </cell>
          <cell r="E49">
            <v>14808</v>
          </cell>
        </row>
        <row r="50">
          <cell r="B50">
            <v>85010</v>
          </cell>
          <cell r="C50">
            <v>23658</v>
          </cell>
          <cell r="D50">
            <v>5234</v>
          </cell>
          <cell r="E50">
            <v>30600</v>
          </cell>
        </row>
        <row r="51">
          <cell r="B51">
            <v>12092</v>
          </cell>
          <cell r="C51">
            <v>4281</v>
          </cell>
          <cell r="D51">
            <v>789</v>
          </cell>
          <cell r="E51">
            <v>3099</v>
          </cell>
        </row>
        <row r="52">
          <cell r="B52">
            <v>226534</v>
          </cell>
          <cell r="C52">
            <v>317412</v>
          </cell>
          <cell r="D52">
            <v>29590</v>
          </cell>
          <cell r="E52">
            <v>245814</v>
          </cell>
        </row>
        <row r="53">
          <cell r="B53">
            <v>68156</v>
          </cell>
          <cell r="C53">
            <v>80275</v>
          </cell>
          <cell r="D53">
            <v>8799</v>
          </cell>
          <cell r="E53">
            <v>69916</v>
          </cell>
        </row>
        <row r="54">
          <cell r="B54">
            <v>294233</v>
          </cell>
          <cell r="C54">
            <v>308936</v>
          </cell>
          <cell r="D54">
            <v>32150</v>
          </cell>
          <cell r="E54">
            <v>234385</v>
          </cell>
        </row>
        <row r="55">
          <cell r="B55">
            <v>176954</v>
          </cell>
          <cell r="C55">
            <v>97026</v>
          </cell>
          <cell r="D55">
            <v>16357</v>
          </cell>
          <cell r="E55">
            <v>99344</v>
          </cell>
        </row>
        <row r="56">
          <cell r="B56">
            <v>238556</v>
          </cell>
          <cell r="C56">
            <v>190967</v>
          </cell>
          <cell r="D56">
            <v>21254</v>
          </cell>
          <cell r="E56">
            <v>154388</v>
          </cell>
        </row>
        <row r="57">
          <cell r="B57">
            <v>188526</v>
          </cell>
          <cell r="C57">
            <v>128742</v>
          </cell>
          <cell r="D57">
            <v>16942</v>
          </cell>
          <cell r="E57">
            <v>108036</v>
          </cell>
        </row>
        <row r="58">
          <cell r="B58">
            <v>25459</v>
          </cell>
          <cell r="C58">
            <v>10606</v>
          </cell>
          <cell r="D58">
            <v>1306</v>
          </cell>
          <cell r="E58">
            <v>6941</v>
          </cell>
        </row>
        <row r="59">
          <cell r="B59">
            <v>88905</v>
          </cell>
          <cell r="C59">
            <v>20152</v>
          </cell>
          <cell r="D59">
            <v>4997</v>
          </cell>
          <cell r="E59">
            <v>25005</v>
          </cell>
        </row>
        <row r="60">
          <cell r="B60">
            <v>159603</v>
          </cell>
          <cell r="C60">
            <v>80398</v>
          </cell>
          <cell r="D60">
            <v>10984</v>
          </cell>
          <cell r="E60">
            <v>74009</v>
          </cell>
        </row>
        <row r="61">
          <cell r="B61">
            <v>120658</v>
          </cell>
          <cell r="C61">
            <v>106794</v>
          </cell>
          <cell r="D61">
            <v>12585</v>
          </cell>
          <cell r="E61">
            <v>99755</v>
          </cell>
        </row>
        <row r="62">
          <cell r="B62">
            <v>130673</v>
          </cell>
          <cell r="C62">
            <v>46784</v>
          </cell>
          <cell r="D62">
            <v>7178</v>
          </cell>
          <cell r="E62">
            <v>48419</v>
          </cell>
        </row>
        <row r="63">
          <cell r="B63">
            <v>92229</v>
          </cell>
          <cell r="C63">
            <v>77782</v>
          </cell>
          <cell r="D63">
            <v>9755</v>
          </cell>
          <cell r="E63">
            <v>56458</v>
          </cell>
        </row>
        <row r="64">
          <cell r="B64">
            <v>75623</v>
          </cell>
          <cell r="C64">
            <v>23027</v>
          </cell>
          <cell r="D64">
            <v>3476</v>
          </cell>
          <cell r="E64">
            <v>23476</v>
          </cell>
        </row>
        <row r="65">
          <cell r="B65">
            <v>16648</v>
          </cell>
          <cell r="C65">
            <v>5068</v>
          </cell>
          <cell r="D65">
            <v>876</v>
          </cell>
          <cell r="E65">
            <v>3414</v>
          </cell>
        </row>
        <row r="66">
          <cell r="B66">
            <v>7432</v>
          </cell>
          <cell r="C66">
            <v>2882</v>
          </cell>
          <cell r="D66">
            <v>256</v>
          </cell>
          <cell r="E66">
            <v>972</v>
          </cell>
        </row>
        <row r="67">
          <cell r="B67">
            <v>4848</v>
          </cell>
          <cell r="C67">
            <v>1506</v>
          </cell>
          <cell r="D67">
            <v>139</v>
          </cell>
          <cell r="E67">
            <v>639</v>
          </cell>
        </row>
        <row r="68">
          <cell r="B68">
            <v>167721</v>
          </cell>
          <cell r="C68">
            <v>104669</v>
          </cell>
          <cell r="D68">
            <v>15599</v>
          </cell>
          <cell r="E68">
            <v>102022</v>
          </cell>
        </row>
        <row r="69">
          <cell r="B69">
            <v>13803</v>
          </cell>
          <cell r="C69">
            <v>6262</v>
          </cell>
          <cell r="D69">
            <v>908</v>
          </cell>
          <cell r="E69">
            <v>4102</v>
          </cell>
        </row>
        <row r="70">
          <cell r="B70">
            <v>41294</v>
          </cell>
          <cell r="C70">
            <v>7435</v>
          </cell>
          <cell r="D70">
            <v>2100</v>
          </cell>
          <cell r="E70">
            <v>9598</v>
          </cell>
        </row>
        <row r="71">
          <cell r="B71">
            <v>10512</v>
          </cell>
          <cell r="C71">
            <v>2863</v>
          </cell>
          <cell r="D71">
            <v>368</v>
          </cell>
          <cell r="E71">
            <v>1956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workbookViewId="0">
      <selection sqref="A1:F1"/>
    </sheetView>
  </sheetViews>
  <sheetFormatPr defaultColWidth="9.14062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16384" width="9.140625" style="1"/>
  </cols>
  <sheetData>
    <row r="1" spans="1:6" ht="18.75" customHeight="1" x14ac:dyDescent="0.25">
      <c r="A1" s="17" t="s">
        <v>92</v>
      </c>
      <c r="B1" s="18"/>
      <c r="C1" s="18"/>
      <c r="D1" s="18"/>
      <c r="E1" s="18"/>
      <c r="F1" s="19"/>
    </row>
    <row r="2" spans="1:6" x14ac:dyDescent="0.25">
      <c r="A2" s="20" t="s">
        <v>168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49407</v>
      </c>
      <c r="C5">
        <v>78894</v>
      </c>
      <c r="D5">
        <v>5094</v>
      </c>
      <c r="E5">
        <v>40576</v>
      </c>
      <c r="F5">
        <v>173971</v>
      </c>
    </row>
    <row r="6" spans="1:6" x14ac:dyDescent="0.25">
      <c r="A6" t="s">
        <v>2</v>
      </c>
      <c r="B6">
        <v>12894</v>
      </c>
      <c r="C6">
        <v>3620</v>
      </c>
      <c r="D6">
        <v>423</v>
      </c>
      <c r="E6">
        <v>2397</v>
      </c>
      <c r="F6">
        <v>19334</v>
      </c>
    </row>
    <row r="7" spans="1:6" x14ac:dyDescent="0.25">
      <c r="A7" t="s">
        <v>3</v>
      </c>
      <c r="B7">
        <v>75354</v>
      </c>
      <c r="C7">
        <v>26297</v>
      </c>
      <c r="D7">
        <v>4619</v>
      </c>
      <c r="E7">
        <v>27878</v>
      </c>
      <c r="F7">
        <v>134148</v>
      </c>
    </row>
    <row r="8" spans="1:6" x14ac:dyDescent="0.25">
      <c r="A8" t="s">
        <v>4</v>
      </c>
      <c r="B8">
        <v>11188</v>
      </c>
      <c r="C8">
        <v>4342</v>
      </c>
      <c r="D8">
        <v>407</v>
      </c>
      <c r="E8">
        <v>2673</v>
      </c>
      <c r="F8">
        <v>18610</v>
      </c>
    </row>
    <row r="9" spans="1:6" x14ac:dyDescent="0.25">
      <c r="A9" t="s">
        <v>5</v>
      </c>
      <c r="B9">
        <v>204499</v>
      </c>
      <c r="C9">
        <v>118133</v>
      </c>
      <c r="D9">
        <v>16746</v>
      </c>
      <c r="E9">
        <v>113369</v>
      </c>
      <c r="F9">
        <v>452747</v>
      </c>
    </row>
    <row r="10" spans="1:6" x14ac:dyDescent="0.25">
      <c r="A10" t="s">
        <v>6</v>
      </c>
      <c r="B10">
        <v>276345</v>
      </c>
      <c r="C10">
        <v>523275</v>
      </c>
      <c r="D10">
        <v>28647</v>
      </c>
      <c r="E10">
        <v>346944</v>
      </c>
      <c r="F10">
        <v>1175211</v>
      </c>
    </row>
    <row r="11" spans="1:6" x14ac:dyDescent="0.25">
      <c r="A11" t="s">
        <v>7</v>
      </c>
      <c r="B11">
        <v>4917</v>
      </c>
      <c r="C11">
        <v>2390</v>
      </c>
      <c r="D11">
        <v>88</v>
      </c>
      <c r="E11">
        <v>920</v>
      </c>
      <c r="F11">
        <v>8315</v>
      </c>
    </row>
    <row r="12" spans="1:6" x14ac:dyDescent="0.25">
      <c r="A12" t="s">
        <v>8</v>
      </c>
      <c r="B12">
        <v>79782</v>
      </c>
      <c r="C12">
        <v>31486</v>
      </c>
      <c r="D12">
        <v>5911</v>
      </c>
      <c r="E12">
        <v>36972</v>
      </c>
      <c r="F12">
        <v>154151</v>
      </c>
    </row>
    <row r="13" spans="1:6" x14ac:dyDescent="0.25">
      <c r="A13" t="s">
        <v>9</v>
      </c>
      <c r="B13">
        <v>69816</v>
      </c>
      <c r="C13">
        <v>22519</v>
      </c>
      <c r="D13">
        <v>4144</v>
      </c>
      <c r="E13">
        <v>25310</v>
      </c>
      <c r="F13">
        <v>121789</v>
      </c>
    </row>
    <row r="14" spans="1:6" x14ac:dyDescent="0.25">
      <c r="A14" t="s">
        <v>10</v>
      </c>
      <c r="B14">
        <v>89376</v>
      </c>
      <c r="C14">
        <v>32309</v>
      </c>
      <c r="D14">
        <v>5359</v>
      </c>
      <c r="E14">
        <v>32962</v>
      </c>
      <c r="F14">
        <v>160006</v>
      </c>
    </row>
    <row r="15" spans="1:6" x14ac:dyDescent="0.25">
      <c r="A15" t="s">
        <v>11</v>
      </c>
      <c r="B15">
        <v>144243</v>
      </c>
      <c r="C15">
        <v>53712</v>
      </c>
      <c r="D15">
        <v>7259</v>
      </c>
      <c r="E15">
        <v>62199</v>
      </c>
      <c r="F15">
        <v>267413</v>
      </c>
    </row>
    <row r="16" spans="1:6" x14ac:dyDescent="0.25">
      <c r="A16" t="s">
        <v>12</v>
      </c>
      <c r="B16">
        <v>24468</v>
      </c>
      <c r="C16">
        <v>10405</v>
      </c>
      <c r="D16">
        <v>1208</v>
      </c>
      <c r="E16">
        <v>7014</v>
      </c>
      <c r="F16">
        <v>43095</v>
      </c>
    </row>
    <row r="17" spans="1:6" x14ac:dyDescent="0.25">
      <c r="A17" t="s">
        <v>13</v>
      </c>
      <c r="B17">
        <v>9063</v>
      </c>
      <c r="C17">
        <v>5700</v>
      </c>
      <c r="D17">
        <v>475</v>
      </c>
      <c r="E17">
        <v>4628</v>
      </c>
      <c r="F17">
        <v>19866</v>
      </c>
    </row>
    <row r="18" spans="1:6" x14ac:dyDescent="0.25">
      <c r="A18" t="s">
        <v>14</v>
      </c>
      <c r="B18">
        <v>7125</v>
      </c>
      <c r="C18">
        <v>2196</v>
      </c>
      <c r="D18">
        <v>239</v>
      </c>
      <c r="E18">
        <v>1761</v>
      </c>
      <c r="F18">
        <v>11321</v>
      </c>
    </row>
    <row r="19" spans="1:6" x14ac:dyDescent="0.25">
      <c r="A19" t="s">
        <v>15</v>
      </c>
      <c r="B19">
        <v>241529</v>
      </c>
      <c r="C19">
        <v>253450</v>
      </c>
      <c r="D19">
        <v>21494</v>
      </c>
      <c r="E19">
        <v>148804</v>
      </c>
      <c r="F19">
        <v>665277</v>
      </c>
    </row>
    <row r="20" spans="1:6" x14ac:dyDescent="0.25">
      <c r="A20" t="s">
        <v>16</v>
      </c>
      <c r="B20">
        <v>102269</v>
      </c>
      <c r="C20">
        <v>65787</v>
      </c>
      <c r="D20">
        <v>6747</v>
      </c>
      <c r="E20">
        <v>45320</v>
      </c>
      <c r="F20">
        <v>220123</v>
      </c>
    </row>
    <row r="21" spans="1:6" x14ac:dyDescent="0.25">
      <c r="A21" t="s">
        <v>17</v>
      </c>
      <c r="B21">
        <v>48641</v>
      </c>
      <c r="C21">
        <v>24304</v>
      </c>
      <c r="D21">
        <v>3507</v>
      </c>
      <c r="E21">
        <v>22356</v>
      </c>
      <c r="F21">
        <v>98808</v>
      </c>
    </row>
    <row r="22" spans="1:6" x14ac:dyDescent="0.25">
      <c r="A22" t="s">
        <v>18</v>
      </c>
      <c r="B22">
        <v>4023</v>
      </c>
      <c r="C22">
        <v>2301</v>
      </c>
      <c r="D22">
        <v>271</v>
      </c>
      <c r="E22">
        <v>1086</v>
      </c>
      <c r="F22">
        <v>7681</v>
      </c>
    </row>
    <row r="23" spans="1:6" x14ac:dyDescent="0.25">
      <c r="A23" t="s">
        <v>19</v>
      </c>
      <c r="B23">
        <v>5782</v>
      </c>
      <c r="C23">
        <v>18293</v>
      </c>
      <c r="D23">
        <v>435</v>
      </c>
      <c r="E23">
        <v>2856</v>
      </c>
      <c r="F23">
        <v>27366</v>
      </c>
    </row>
    <row r="24" spans="1:6" x14ac:dyDescent="0.25">
      <c r="A24" t="s">
        <v>20</v>
      </c>
      <c r="B24">
        <v>9152</v>
      </c>
      <c r="C24">
        <v>2021</v>
      </c>
      <c r="D24">
        <v>387</v>
      </c>
      <c r="E24">
        <v>1889</v>
      </c>
      <c r="F24">
        <v>13449</v>
      </c>
    </row>
    <row r="25" spans="1:6" x14ac:dyDescent="0.25">
      <c r="A25" t="s">
        <v>21</v>
      </c>
      <c r="B25">
        <v>4114</v>
      </c>
      <c r="C25">
        <v>1631</v>
      </c>
      <c r="D25">
        <v>205</v>
      </c>
      <c r="E25">
        <v>1245</v>
      </c>
      <c r="F25">
        <v>7195</v>
      </c>
    </row>
    <row r="26" spans="1:6" x14ac:dyDescent="0.25">
      <c r="A26" t="s">
        <v>22</v>
      </c>
      <c r="B26">
        <v>7030</v>
      </c>
      <c r="C26">
        <v>2608</v>
      </c>
      <c r="D26">
        <v>344</v>
      </c>
      <c r="E26">
        <v>1516</v>
      </c>
      <c r="F26">
        <v>11498</v>
      </c>
    </row>
    <row r="27" spans="1:6" x14ac:dyDescent="0.25">
      <c r="A27" t="s">
        <v>23</v>
      </c>
      <c r="B27">
        <v>3706</v>
      </c>
      <c r="C27">
        <v>2544</v>
      </c>
      <c r="D27">
        <v>184</v>
      </c>
      <c r="E27">
        <v>915</v>
      </c>
      <c r="F27">
        <v>7349</v>
      </c>
    </row>
    <row r="28" spans="1:6" x14ac:dyDescent="0.25">
      <c r="A28" t="s">
        <v>24</v>
      </c>
      <c r="B28">
        <v>7101</v>
      </c>
      <c r="C28">
        <v>3142</v>
      </c>
      <c r="D28">
        <v>296</v>
      </c>
      <c r="E28">
        <v>2639</v>
      </c>
      <c r="F28">
        <v>13178</v>
      </c>
    </row>
    <row r="29" spans="1:6" x14ac:dyDescent="0.25">
      <c r="A29" t="s">
        <v>25</v>
      </c>
      <c r="B29">
        <v>8925</v>
      </c>
      <c r="C29">
        <v>5347</v>
      </c>
      <c r="D29">
        <v>448</v>
      </c>
      <c r="E29">
        <v>3505</v>
      </c>
      <c r="F29">
        <v>18225</v>
      </c>
    </row>
    <row r="30" spans="1:6" x14ac:dyDescent="0.25">
      <c r="A30" t="s">
        <v>26</v>
      </c>
      <c r="B30">
        <v>71569</v>
      </c>
      <c r="C30">
        <v>34438</v>
      </c>
      <c r="D30">
        <v>5329</v>
      </c>
      <c r="E30">
        <v>34939</v>
      </c>
      <c r="F30">
        <v>146275</v>
      </c>
    </row>
    <row r="31" spans="1:6" x14ac:dyDescent="0.25">
      <c r="A31" t="s">
        <v>27</v>
      </c>
      <c r="B31">
        <v>35184</v>
      </c>
      <c r="C31">
        <v>15164</v>
      </c>
      <c r="D31">
        <v>2090</v>
      </c>
      <c r="E31">
        <v>13845</v>
      </c>
      <c r="F31">
        <v>66283</v>
      </c>
    </row>
    <row r="32" spans="1:6" x14ac:dyDescent="0.25">
      <c r="A32" t="s">
        <v>28</v>
      </c>
      <c r="B32">
        <v>302973</v>
      </c>
      <c r="C32">
        <v>305187</v>
      </c>
      <c r="D32">
        <v>27899</v>
      </c>
      <c r="E32">
        <v>249990</v>
      </c>
      <c r="F32">
        <v>886049</v>
      </c>
    </row>
    <row r="33" spans="1:6" x14ac:dyDescent="0.25">
      <c r="A33" t="s">
        <v>29</v>
      </c>
      <c r="B33">
        <v>8026</v>
      </c>
      <c r="C33">
        <v>1599</v>
      </c>
      <c r="D33">
        <v>243</v>
      </c>
      <c r="E33">
        <v>1215</v>
      </c>
      <c r="F33">
        <v>11083</v>
      </c>
    </row>
    <row r="34" spans="1:6" x14ac:dyDescent="0.25">
      <c r="A34" t="s">
        <v>30</v>
      </c>
      <c r="B34">
        <v>62157</v>
      </c>
      <c r="C34">
        <v>28034</v>
      </c>
      <c r="D34">
        <v>4309</v>
      </c>
      <c r="E34">
        <v>26733</v>
      </c>
      <c r="F34">
        <v>121233</v>
      </c>
    </row>
    <row r="35" spans="1:6" x14ac:dyDescent="0.25">
      <c r="A35" t="s">
        <v>31</v>
      </c>
      <c r="B35">
        <v>15871</v>
      </c>
      <c r="C35">
        <v>8684</v>
      </c>
      <c r="D35">
        <v>502</v>
      </c>
      <c r="E35">
        <v>2827</v>
      </c>
      <c r="F35">
        <v>27884</v>
      </c>
    </row>
    <row r="36" spans="1:6" x14ac:dyDescent="0.25">
      <c r="A36" t="s">
        <v>32</v>
      </c>
      <c r="B36">
        <v>4560</v>
      </c>
      <c r="C36">
        <v>4077</v>
      </c>
      <c r="D36">
        <v>165</v>
      </c>
      <c r="E36">
        <v>1191</v>
      </c>
      <c r="F36">
        <v>9993</v>
      </c>
    </row>
    <row r="37" spans="1:6" x14ac:dyDescent="0.25">
      <c r="A37" t="s">
        <v>33</v>
      </c>
      <c r="B37">
        <v>3390</v>
      </c>
      <c r="C37">
        <v>682</v>
      </c>
      <c r="D37">
        <v>69</v>
      </c>
      <c r="E37">
        <v>317</v>
      </c>
      <c r="F37">
        <v>4458</v>
      </c>
    </row>
    <row r="38" spans="1:6" x14ac:dyDescent="0.25">
      <c r="A38" t="s">
        <v>34</v>
      </c>
      <c r="B38">
        <v>129689</v>
      </c>
      <c r="C38">
        <v>69101</v>
      </c>
      <c r="D38">
        <v>8853</v>
      </c>
      <c r="E38">
        <v>67204</v>
      </c>
      <c r="F38">
        <v>274847</v>
      </c>
    </row>
    <row r="39" spans="1:6" x14ac:dyDescent="0.25">
      <c r="A39" t="s">
        <v>35</v>
      </c>
      <c r="B39">
        <v>240261</v>
      </c>
      <c r="C39">
        <v>112200</v>
      </c>
      <c r="D39">
        <v>15198</v>
      </c>
      <c r="E39">
        <v>134582</v>
      </c>
      <c r="F39">
        <v>502241</v>
      </c>
    </row>
    <row r="40" spans="1:6" x14ac:dyDescent="0.25">
      <c r="A40" t="s">
        <v>36</v>
      </c>
      <c r="B40">
        <v>57443</v>
      </c>
      <c r="C40">
        <v>99056</v>
      </c>
      <c r="D40">
        <v>5514</v>
      </c>
      <c r="E40">
        <v>41473</v>
      </c>
      <c r="F40">
        <v>203486</v>
      </c>
    </row>
    <row r="41" spans="1:6" x14ac:dyDescent="0.25">
      <c r="A41" t="s">
        <v>37</v>
      </c>
      <c r="B41">
        <v>18413</v>
      </c>
      <c r="C41">
        <v>6688</v>
      </c>
      <c r="D41">
        <v>997</v>
      </c>
      <c r="E41">
        <v>4582</v>
      </c>
      <c r="F41">
        <v>30680</v>
      </c>
    </row>
    <row r="42" spans="1:6" x14ac:dyDescent="0.25">
      <c r="A42" t="s">
        <v>38</v>
      </c>
      <c r="B42">
        <v>2742</v>
      </c>
      <c r="C42">
        <v>1426</v>
      </c>
      <c r="D42">
        <v>21</v>
      </c>
      <c r="E42">
        <v>454</v>
      </c>
      <c r="F42">
        <v>4643</v>
      </c>
    </row>
    <row r="43" spans="1:6" x14ac:dyDescent="0.25">
      <c r="A43" t="s">
        <v>39</v>
      </c>
      <c r="B43">
        <v>5560</v>
      </c>
      <c r="C43">
        <v>5062</v>
      </c>
      <c r="D43">
        <v>134</v>
      </c>
      <c r="E43">
        <v>1558</v>
      </c>
      <c r="F43">
        <v>12314</v>
      </c>
    </row>
    <row r="44" spans="1:6" x14ac:dyDescent="0.25">
      <c r="A44" t="s">
        <v>40</v>
      </c>
      <c r="B44">
        <v>137503</v>
      </c>
      <c r="C44">
        <v>71473</v>
      </c>
      <c r="D44">
        <v>8689</v>
      </c>
      <c r="E44">
        <v>68033</v>
      </c>
      <c r="F44">
        <v>285698</v>
      </c>
    </row>
    <row r="45" spans="1:6" x14ac:dyDescent="0.25">
      <c r="A45" t="s">
        <v>41</v>
      </c>
      <c r="B45">
        <v>137022</v>
      </c>
      <c r="C45">
        <v>71784</v>
      </c>
      <c r="D45">
        <v>8858</v>
      </c>
      <c r="E45">
        <v>56100</v>
      </c>
      <c r="F45">
        <v>273764</v>
      </c>
    </row>
    <row r="46" spans="1:6" x14ac:dyDescent="0.25">
      <c r="A46" t="s">
        <v>42</v>
      </c>
      <c r="B46">
        <v>62633</v>
      </c>
      <c r="C46">
        <v>25301</v>
      </c>
      <c r="D46">
        <v>4296</v>
      </c>
      <c r="E46">
        <v>25870</v>
      </c>
      <c r="F46">
        <v>118100</v>
      </c>
    </row>
    <row r="47" spans="1:6" x14ac:dyDescent="0.25">
      <c r="A47" t="s">
        <v>43</v>
      </c>
      <c r="B47">
        <v>497394</v>
      </c>
      <c r="C47">
        <v>523415</v>
      </c>
      <c r="D47">
        <v>33121</v>
      </c>
      <c r="E47">
        <v>494788</v>
      </c>
      <c r="F47">
        <v>1548718</v>
      </c>
    </row>
    <row r="48" spans="1:6" x14ac:dyDescent="0.25">
      <c r="A48" t="s">
        <v>44</v>
      </c>
      <c r="B48">
        <v>23794</v>
      </c>
      <c r="C48">
        <v>14981</v>
      </c>
      <c r="D48">
        <v>1822</v>
      </c>
      <c r="E48">
        <v>12414</v>
      </c>
      <c r="F48">
        <v>53011</v>
      </c>
    </row>
    <row r="49" spans="1:6" x14ac:dyDescent="0.25">
      <c r="A49" t="s">
        <v>45</v>
      </c>
      <c r="B49">
        <v>47677</v>
      </c>
      <c r="C49">
        <v>13615</v>
      </c>
      <c r="D49">
        <v>2774</v>
      </c>
      <c r="E49">
        <v>14977</v>
      </c>
      <c r="F49">
        <v>79043</v>
      </c>
    </row>
    <row r="50" spans="1:6" x14ac:dyDescent="0.25">
      <c r="A50" t="s">
        <v>46</v>
      </c>
      <c r="B50">
        <v>88395</v>
      </c>
      <c r="C50">
        <v>26105</v>
      </c>
      <c r="D50">
        <v>4912</v>
      </c>
      <c r="E50">
        <v>35351</v>
      </c>
      <c r="F50">
        <v>154763</v>
      </c>
    </row>
    <row r="51" spans="1:6" x14ac:dyDescent="0.25">
      <c r="A51" t="s">
        <v>47</v>
      </c>
      <c r="B51">
        <v>12317</v>
      </c>
      <c r="C51">
        <v>4724</v>
      </c>
      <c r="D51">
        <v>716</v>
      </c>
      <c r="E51">
        <v>3528</v>
      </c>
      <c r="F51">
        <v>21285</v>
      </c>
    </row>
    <row r="52" spans="1:6" x14ac:dyDescent="0.25">
      <c r="A52" t="s">
        <v>48</v>
      </c>
      <c r="B52">
        <v>227091</v>
      </c>
      <c r="C52">
        <v>330679</v>
      </c>
      <c r="D52">
        <v>27139</v>
      </c>
      <c r="E52">
        <v>252326</v>
      </c>
      <c r="F52">
        <v>837235</v>
      </c>
    </row>
    <row r="53" spans="1:6" x14ac:dyDescent="0.25">
      <c r="A53" t="s">
        <v>49</v>
      </c>
      <c r="B53">
        <v>67252</v>
      </c>
      <c r="C53">
        <v>87434</v>
      </c>
      <c r="D53">
        <v>6989</v>
      </c>
      <c r="E53">
        <v>81420</v>
      </c>
      <c r="F53">
        <v>243095</v>
      </c>
    </row>
    <row r="54" spans="1:6" x14ac:dyDescent="0.25">
      <c r="A54" t="s">
        <v>50</v>
      </c>
      <c r="B54">
        <v>298202</v>
      </c>
      <c r="C54">
        <v>337237</v>
      </c>
      <c r="D54">
        <v>30873</v>
      </c>
      <c r="E54">
        <v>255302</v>
      </c>
      <c r="F54">
        <v>921614</v>
      </c>
    </row>
    <row r="55" spans="1:6" x14ac:dyDescent="0.25">
      <c r="A55" t="s">
        <v>51</v>
      </c>
      <c r="B55">
        <v>180676</v>
      </c>
      <c r="C55">
        <v>105932</v>
      </c>
      <c r="D55">
        <v>15246</v>
      </c>
      <c r="E55">
        <v>110568</v>
      </c>
      <c r="F55">
        <v>412422</v>
      </c>
    </row>
    <row r="56" spans="1:6" x14ac:dyDescent="0.25">
      <c r="A56" t="s">
        <v>52</v>
      </c>
      <c r="B56">
        <v>247456</v>
      </c>
      <c r="C56">
        <v>209926</v>
      </c>
      <c r="D56">
        <v>20325</v>
      </c>
      <c r="E56">
        <v>172933</v>
      </c>
      <c r="F56">
        <v>650640</v>
      </c>
    </row>
    <row r="57" spans="1:6" x14ac:dyDescent="0.25">
      <c r="A57" t="s">
        <v>53</v>
      </c>
      <c r="B57">
        <v>192099</v>
      </c>
      <c r="C57">
        <v>140354</v>
      </c>
      <c r="D57">
        <v>14554</v>
      </c>
      <c r="E57">
        <v>122573</v>
      </c>
      <c r="F57">
        <v>469580</v>
      </c>
    </row>
    <row r="58" spans="1:6" x14ac:dyDescent="0.25">
      <c r="A58" t="s">
        <v>54</v>
      </c>
      <c r="B58">
        <v>25921</v>
      </c>
      <c r="C58">
        <v>11859</v>
      </c>
      <c r="D58">
        <v>1223</v>
      </c>
      <c r="E58">
        <v>7865</v>
      </c>
      <c r="F58">
        <v>46868</v>
      </c>
    </row>
    <row r="59" spans="1:6" x14ac:dyDescent="0.25">
      <c r="A59" t="s">
        <v>55</v>
      </c>
      <c r="B59">
        <v>91172</v>
      </c>
      <c r="C59">
        <v>22154</v>
      </c>
      <c r="D59">
        <v>4883</v>
      </c>
      <c r="E59">
        <v>28960</v>
      </c>
      <c r="F59">
        <v>147169</v>
      </c>
    </row>
    <row r="60" spans="1:6" x14ac:dyDescent="0.25">
      <c r="A60" t="s">
        <v>56</v>
      </c>
      <c r="B60">
        <v>161403</v>
      </c>
      <c r="C60">
        <v>87663</v>
      </c>
      <c r="D60">
        <v>10108</v>
      </c>
      <c r="E60">
        <v>80525</v>
      </c>
      <c r="F60">
        <v>339699</v>
      </c>
    </row>
    <row r="61" spans="1:6" x14ac:dyDescent="0.25">
      <c r="A61" t="s">
        <v>57</v>
      </c>
      <c r="B61">
        <v>122495</v>
      </c>
      <c r="C61">
        <v>112148</v>
      </c>
      <c r="D61">
        <v>11912</v>
      </c>
      <c r="E61">
        <v>103966</v>
      </c>
      <c r="F61">
        <v>350521</v>
      </c>
    </row>
    <row r="62" spans="1:6" x14ac:dyDescent="0.25">
      <c r="A62" t="s">
        <v>58</v>
      </c>
      <c r="B62">
        <v>129578</v>
      </c>
      <c r="C62">
        <v>49478</v>
      </c>
      <c r="D62">
        <v>6777</v>
      </c>
      <c r="E62">
        <v>50064</v>
      </c>
      <c r="F62">
        <v>235897</v>
      </c>
    </row>
    <row r="63" spans="1:6" x14ac:dyDescent="0.25">
      <c r="A63" t="s">
        <v>59</v>
      </c>
      <c r="B63">
        <v>91382</v>
      </c>
      <c r="C63">
        <v>83635</v>
      </c>
      <c r="D63">
        <v>8939</v>
      </c>
      <c r="E63">
        <v>61082</v>
      </c>
      <c r="F63">
        <v>245038</v>
      </c>
    </row>
    <row r="64" spans="1:6" x14ac:dyDescent="0.25">
      <c r="A64" t="s">
        <v>60</v>
      </c>
      <c r="B64">
        <v>74378</v>
      </c>
      <c r="C64">
        <v>24691</v>
      </c>
      <c r="D64">
        <v>2732</v>
      </c>
      <c r="E64">
        <v>25347</v>
      </c>
      <c r="F64">
        <v>127148</v>
      </c>
    </row>
    <row r="65" spans="1:6" x14ac:dyDescent="0.25">
      <c r="A65" t="s">
        <v>61</v>
      </c>
      <c r="B65">
        <v>17108</v>
      </c>
      <c r="C65">
        <v>5794</v>
      </c>
      <c r="D65">
        <v>760</v>
      </c>
      <c r="E65">
        <v>3972</v>
      </c>
      <c r="F65">
        <v>27634</v>
      </c>
    </row>
    <row r="66" spans="1:6" x14ac:dyDescent="0.25">
      <c r="A66" t="s">
        <v>62</v>
      </c>
      <c r="B66">
        <v>7504</v>
      </c>
      <c r="C66">
        <v>3051</v>
      </c>
      <c r="D66">
        <v>230</v>
      </c>
      <c r="E66">
        <v>1062</v>
      </c>
      <c r="F66">
        <v>11847</v>
      </c>
    </row>
    <row r="67" spans="1:6" x14ac:dyDescent="0.25">
      <c r="A67" t="s">
        <v>63</v>
      </c>
      <c r="B67">
        <v>5070</v>
      </c>
      <c r="C67">
        <v>1713</v>
      </c>
      <c r="D67">
        <v>150</v>
      </c>
      <c r="E67">
        <v>720</v>
      </c>
      <c r="F67">
        <v>7653</v>
      </c>
    </row>
    <row r="68" spans="1:6" x14ac:dyDescent="0.25">
      <c r="A68" t="s">
        <v>64</v>
      </c>
      <c r="B68">
        <v>167664</v>
      </c>
      <c r="C68">
        <v>109293</v>
      </c>
      <c r="D68">
        <v>14064</v>
      </c>
      <c r="E68">
        <v>105060</v>
      </c>
      <c r="F68">
        <v>396081</v>
      </c>
    </row>
    <row r="69" spans="1:6" x14ac:dyDescent="0.25">
      <c r="A69" t="s">
        <v>65</v>
      </c>
      <c r="B69">
        <v>13150</v>
      </c>
      <c r="C69">
        <v>6319</v>
      </c>
      <c r="D69">
        <v>735</v>
      </c>
      <c r="E69">
        <v>4045</v>
      </c>
      <c r="F69">
        <v>24249</v>
      </c>
    </row>
    <row r="70" spans="1:6" x14ac:dyDescent="0.25">
      <c r="A70" t="s">
        <v>66</v>
      </c>
      <c r="B70">
        <v>40962</v>
      </c>
      <c r="C70">
        <v>8069</v>
      </c>
      <c r="D70">
        <v>1987</v>
      </c>
      <c r="E70">
        <v>10679</v>
      </c>
      <c r="F70">
        <v>61697</v>
      </c>
    </row>
    <row r="71" spans="1:6" x14ac:dyDescent="0.25">
      <c r="A71" t="s">
        <v>67</v>
      </c>
      <c r="B71">
        <v>10017</v>
      </c>
      <c r="C71">
        <v>2889</v>
      </c>
      <c r="D71">
        <v>303</v>
      </c>
      <c r="E71">
        <v>1862</v>
      </c>
      <c r="F71">
        <v>15071</v>
      </c>
    </row>
    <row r="72" spans="1:6" x14ac:dyDescent="0.25">
      <c r="A72" s="11" t="s">
        <v>0</v>
      </c>
      <c r="B72">
        <v>5635902</v>
      </c>
      <c r="C72">
        <v>4479820</v>
      </c>
      <c r="D72">
        <v>431377</v>
      </c>
      <c r="E72">
        <v>3710036</v>
      </c>
      <c r="F72">
        <v>14257135</v>
      </c>
    </row>
  </sheetData>
  <mergeCells count="3">
    <mergeCell ref="A1:F1"/>
    <mergeCell ref="A2:F2"/>
    <mergeCell ref="A3:F3"/>
  </mergeCells>
  <pageMargins left="0.7" right="0.7" top="0.75" bottom="0.75" header="0.3" footer="0.3"/>
  <pageSetup scale="6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workbookViewId="0">
      <selection sqref="A1:F1"/>
    </sheetView>
  </sheetViews>
  <sheetFormatPr defaultColWidth="20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x14ac:dyDescent="0.25">
      <c r="A1" s="17" t="s">
        <v>70</v>
      </c>
      <c r="B1" s="18"/>
      <c r="C1" s="18"/>
      <c r="D1" s="18"/>
      <c r="E1" s="18"/>
      <c r="F1" s="19"/>
    </row>
    <row r="2" spans="1:6" ht="15" customHeight="1" x14ac:dyDescent="0.25">
      <c r="A2" s="20" t="s">
        <v>169</v>
      </c>
      <c r="B2" s="21"/>
      <c r="C2" s="21"/>
      <c r="D2" s="21"/>
      <c r="E2" s="21"/>
      <c r="F2" s="22"/>
    </row>
    <row r="3" spans="1:6" ht="15" customHeight="1" x14ac:dyDescent="0.25">
      <c r="A3" s="23" t="s">
        <v>68</v>
      </c>
      <c r="B3" s="24"/>
      <c r="C3" s="24"/>
      <c r="D3" s="24"/>
      <c r="E3" s="24"/>
      <c r="F3" s="25"/>
    </row>
    <row r="4" spans="1:6" s="1" customFormat="1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s="7" t="s">
        <v>1</v>
      </c>
      <c r="B5">
        <v>49464</v>
      </c>
      <c r="C5">
        <v>78637</v>
      </c>
      <c r="D5">
        <v>5165</v>
      </c>
      <c r="E5">
        <v>40586</v>
      </c>
      <c r="F5">
        <v>173852</v>
      </c>
    </row>
    <row r="6" spans="1:6" x14ac:dyDescent="0.25">
      <c r="A6" s="8" t="s">
        <v>2</v>
      </c>
      <c r="B6">
        <v>12948</v>
      </c>
      <c r="C6">
        <v>3609</v>
      </c>
      <c r="D6">
        <v>431</v>
      </c>
      <c r="E6">
        <v>2416</v>
      </c>
      <c r="F6">
        <v>19404</v>
      </c>
    </row>
    <row r="7" spans="1:6" x14ac:dyDescent="0.25">
      <c r="A7" s="8" t="s">
        <v>3</v>
      </c>
      <c r="B7">
        <v>75650</v>
      </c>
      <c r="C7">
        <v>26273</v>
      </c>
      <c r="D7">
        <v>4697</v>
      </c>
      <c r="E7">
        <v>27906</v>
      </c>
      <c r="F7">
        <v>134526</v>
      </c>
    </row>
    <row r="8" spans="1:6" x14ac:dyDescent="0.25">
      <c r="A8" s="8" t="s">
        <v>4</v>
      </c>
      <c r="B8">
        <v>11228</v>
      </c>
      <c r="C8">
        <v>4349</v>
      </c>
      <c r="D8">
        <v>401</v>
      </c>
      <c r="E8">
        <v>2686</v>
      </c>
      <c r="F8">
        <v>18664</v>
      </c>
    </row>
    <row r="9" spans="1:6" x14ac:dyDescent="0.25">
      <c r="A9" s="8" t="s">
        <v>5</v>
      </c>
      <c r="B9">
        <v>204082</v>
      </c>
      <c r="C9">
        <v>117216</v>
      </c>
      <c r="D9">
        <v>16785</v>
      </c>
      <c r="E9">
        <v>113010</v>
      </c>
      <c r="F9">
        <v>451093</v>
      </c>
    </row>
    <row r="10" spans="1:6" x14ac:dyDescent="0.25">
      <c r="A10" s="8" t="s">
        <v>6</v>
      </c>
      <c r="B10">
        <v>275998</v>
      </c>
      <c r="C10">
        <v>521104</v>
      </c>
      <c r="D10">
        <v>28717</v>
      </c>
      <c r="E10">
        <v>346232</v>
      </c>
      <c r="F10">
        <v>1172051</v>
      </c>
    </row>
    <row r="11" spans="1:6" x14ac:dyDescent="0.25">
      <c r="A11" s="8" t="s">
        <v>7</v>
      </c>
      <c r="B11">
        <v>4910</v>
      </c>
      <c r="C11">
        <v>2369</v>
      </c>
      <c r="D11">
        <v>89</v>
      </c>
      <c r="E11">
        <v>921</v>
      </c>
      <c r="F11">
        <v>8289</v>
      </c>
    </row>
    <row r="12" spans="1:6" x14ac:dyDescent="0.25">
      <c r="A12" s="8" t="s">
        <v>8</v>
      </c>
      <c r="B12">
        <v>78971</v>
      </c>
      <c r="C12">
        <v>30815</v>
      </c>
      <c r="D12">
        <v>5884</v>
      </c>
      <c r="E12">
        <v>36125</v>
      </c>
      <c r="F12">
        <v>151795</v>
      </c>
    </row>
    <row r="13" spans="1:6" x14ac:dyDescent="0.25">
      <c r="A13" s="8" t="s">
        <v>9</v>
      </c>
      <c r="B13">
        <v>70077</v>
      </c>
      <c r="C13">
        <v>22502</v>
      </c>
      <c r="D13">
        <v>4102</v>
      </c>
      <c r="E13">
        <v>25472</v>
      </c>
      <c r="F13">
        <v>122153</v>
      </c>
    </row>
    <row r="14" spans="1:6" x14ac:dyDescent="0.25">
      <c r="A14" s="8" t="s">
        <v>10</v>
      </c>
      <c r="B14">
        <v>89575</v>
      </c>
      <c r="C14">
        <v>32337</v>
      </c>
      <c r="D14">
        <v>5163</v>
      </c>
      <c r="E14">
        <v>33254</v>
      </c>
      <c r="F14">
        <v>160329</v>
      </c>
    </row>
    <row r="15" spans="1:6" x14ac:dyDescent="0.25">
      <c r="A15" s="8" t="s">
        <v>11</v>
      </c>
      <c r="B15">
        <v>144742</v>
      </c>
      <c r="C15">
        <v>53759</v>
      </c>
      <c r="D15">
        <v>7107</v>
      </c>
      <c r="E15">
        <v>62593</v>
      </c>
      <c r="F15">
        <v>268201</v>
      </c>
    </row>
    <row r="16" spans="1:6" x14ac:dyDescent="0.25">
      <c r="A16" s="8" t="s">
        <v>12</v>
      </c>
      <c r="B16">
        <v>24530</v>
      </c>
      <c r="C16">
        <v>10387</v>
      </c>
      <c r="D16">
        <v>1227</v>
      </c>
      <c r="E16">
        <v>7034</v>
      </c>
      <c r="F16">
        <v>43178</v>
      </c>
    </row>
    <row r="17" spans="1:6" x14ac:dyDescent="0.25">
      <c r="A17" s="8" t="s">
        <v>13</v>
      </c>
      <c r="B17">
        <v>9113</v>
      </c>
      <c r="C17">
        <v>5688</v>
      </c>
      <c r="D17">
        <v>486</v>
      </c>
      <c r="E17">
        <v>4626</v>
      </c>
      <c r="F17">
        <v>19913</v>
      </c>
    </row>
    <row r="18" spans="1:6" x14ac:dyDescent="0.25">
      <c r="A18" s="8" t="s">
        <v>14</v>
      </c>
      <c r="B18">
        <v>7148</v>
      </c>
      <c r="C18">
        <v>2190</v>
      </c>
      <c r="D18">
        <v>239</v>
      </c>
      <c r="E18">
        <v>1762</v>
      </c>
      <c r="F18">
        <v>11339</v>
      </c>
    </row>
    <row r="19" spans="1:6" x14ac:dyDescent="0.25">
      <c r="A19" s="8" t="s">
        <v>15</v>
      </c>
      <c r="B19">
        <v>241377</v>
      </c>
      <c r="C19">
        <v>253060</v>
      </c>
      <c r="D19">
        <v>21753</v>
      </c>
      <c r="E19">
        <v>148557</v>
      </c>
      <c r="F19">
        <v>664747</v>
      </c>
    </row>
    <row r="20" spans="1:6" x14ac:dyDescent="0.25">
      <c r="A20" s="8" t="s">
        <v>16</v>
      </c>
      <c r="B20">
        <v>102577</v>
      </c>
      <c r="C20">
        <v>65723</v>
      </c>
      <c r="D20">
        <v>6837</v>
      </c>
      <c r="E20">
        <v>45311</v>
      </c>
      <c r="F20">
        <v>220448</v>
      </c>
    </row>
    <row r="21" spans="1:6" x14ac:dyDescent="0.25">
      <c r="A21" s="8" t="s">
        <v>17</v>
      </c>
      <c r="B21">
        <v>48954</v>
      </c>
      <c r="C21">
        <v>24325</v>
      </c>
      <c r="D21">
        <v>3548</v>
      </c>
      <c r="E21">
        <v>22430</v>
      </c>
      <c r="F21">
        <v>99257</v>
      </c>
    </row>
    <row r="22" spans="1:6" x14ac:dyDescent="0.25">
      <c r="A22" s="8" t="s">
        <v>18</v>
      </c>
      <c r="B22">
        <v>4041</v>
      </c>
      <c r="C22">
        <v>2304</v>
      </c>
      <c r="D22">
        <v>275</v>
      </c>
      <c r="E22">
        <v>1094</v>
      </c>
      <c r="F22">
        <v>7714</v>
      </c>
    </row>
    <row r="23" spans="1:6" x14ac:dyDescent="0.25">
      <c r="A23" s="8" t="s">
        <v>19</v>
      </c>
      <c r="B23">
        <v>5793</v>
      </c>
      <c r="C23">
        <v>18286</v>
      </c>
      <c r="D23">
        <v>430</v>
      </c>
      <c r="E23">
        <v>2885</v>
      </c>
      <c r="F23">
        <v>27394</v>
      </c>
    </row>
    <row r="24" spans="1:6" x14ac:dyDescent="0.25">
      <c r="A24" s="8" t="s">
        <v>20</v>
      </c>
      <c r="B24">
        <v>9195</v>
      </c>
      <c r="C24">
        <v>2022</v>
      </c>
      <c r="D24">
        <v>394</v>
      </c>
      <c r="E24">
        <v>1893</v>
      </c>
      <c r="F24">
        <v>13504</v>
      </c>
    </row>
    <row r="25" spans="1:6" x14ac:dyDescent="0.25">
      <c r="A25" s="8" t="s">
        <v>21</v>
      </c>
      <c r="B25">
        <v>4142</v>
      </c>
      <c r="C25">
        <v>1630</v>
      </c>
      <c r="D25">
        <v>190</v>
      </c>
      <c r="E25">
        <v>1259</v>
      </c>
      <c r="F25">
        <v>7221</v>
      </c>
    </row>
    <row r="26" spans="1:6" x14ac:dyDescent="0.25">
      <c r="A26" s="8" t="s">
        <v>22</v>
      </c>
      <c r="B26">
        <v>7065</v>
      </c>
      <c r="C26">
        <v>2598</v>
      </c>
      <c r="D26">
        <v>342</v>
      </c>
      <c r="E26">
        <v>1516</v>
      </c>
      <c r="F26">
        <v>11521</v>
      </c>
    </row>
    <row r="27" spans="1:6" x14ac:dyDescent="0.25">
      <c r="A27" s="8" t="s">
        <v>23</v>
      </c>
      <c r="B27">
        <v>3720</v>
      </c>
      <c r="C27">
        <v>2543</v>
      </c>
      <c r="D27">
        <v>186</v>
      </c>
      <c r="E27">
        <v>911</v>
      </c>
      <c r="F27">
        <v>7360</v>
      </c>
    </row>
    <row r="28" spans="1:6" x14ac:dyDescent="0.25">
      <c r="A28" s="8" t="s">
        <v>24</v>
      </c>
      <c r="B28">
        <v>7139</v>
      </c>
      <c r="C28">
        <v>3129</v>
      </c>
      <c r="D28">
        <v>307</v>
      </c>
      <c r="E28">
        <v>2632</v>
      </c>
      <c r="F28">
        <v>13207</v>
      </c>
    </row>
    <row r="29" spans="1:6" x14ac:dyDescent="0.25">
      <c r="A29" s="8" t="s">
        <v>25</v>
      </c>
      <c r="B29">
        <v>8970</v>
      </c>
      <c r="C29">
        <v>5373</v>
      </c>
      <c r="D29">
        <v>411</v>
      </c>
      <c r="E29">
        <v>3604</v>
      </c>
      <c r="F29">
        <v>18358</v>
      </c>
    </row>
    <row r="30" spans="1:6" x14ac:dyDescent="0.25">
      <c r="A30" s="8" t="s">
        <v>26</v>
      </c>
      <c r="B30">
        <v>71508</v>
      </c>
      <c r="C30">
        <v>34269</v>
      </c>
      <c r="D30">
        <v>5382</v>
      </c>
      <c r="E30">
        <v>34795</v>
      </c>
      <c r="F30">
        <v>145954</v>
      </c>
    </row>
    <row r="31" spans="1:6" x14ac:dyDescent="0.25">
      <c r="A31" s="8" t="s">
        <v>27</v>
      </c>
      <c r="B31">
        <v>35306</v>
      </c>
      <c r="C31">
        <v>15172</v>
      </c>
      <c r="D31">
        <v>2146</v>
      </c>
      <c r="E31">
        <v>13841</v>
      </c>
      <c r="F31">
        <v>66465</v>
      </c>
    </row>
    <row r="32" spans="1:6" ht="15.75" customHeight="1" x14ac:dyDescent="0.25">
      <c r="A32" s="8" t="s">
        <v>28</v>
      </c>
      <c r="B32">
        <v>301940</v>
      </c>
      <c r="C32">
        <v>301019</v>
      </c>
      <c r="D32">
        <v>26593</v>
      </c>
      <c r="E32">
        <v>247649</v>
      </c>
      <c r="F32">
        <v>877201</v>
      </c>
    </row>
    <row r="33" spans="1:6" x14ac:dyDescent="0.25">
      <c r="A33" s="8" t="s">
        <v>29</v>
      </c>
      <c r="B33">
        <v>8036</v>
      </c>
      <c r="C33">
        <v>1594</v>
      </c>
      <c r="D33">
        <v>246</v>
      </c>
      <c r="E33">
        <v>1220</v>
      </c>
      <c r="F33">
        <v>11096</v>
      </c>
    </row>
    <row r="34" spans="1:6" x14ac:dyDescent="0.25">
      <c r="A34" s="8" t="s">
        <v>30</v>
      </c>
      <c r="B34">
        <v>62167</v>
      </c>
      <c r="C34">
        <v>27827</v>
      </c>
      <c r="D34">
        <v>4239</v>
      </c>
      <c r="E34">
        <v>26669</v>
      </c>
      <c r="F34">
        <v>120902</v>
      </c>
    </row>
    <row r="35" spans="1:6" x14ac:dyDescent="0.25">
      <c r="A35" s="8" t="s">
        <v>31</v>
      </c>
      <c r="B35">
        <v>15901</v>
      </c>
      <c r="C35">
        <v>8679</v>
      </c>
      <c r="D35">
        <v>498</v>
      </c>
      <c r="E35">
        <v>2846</v>
      </c>
      <c r="F35">
        <v>27924</v>
      </c>
    </row>
    <row r="36" spans="1:6" x14ac:dyDescent="0.25">
      <c r="A36" s="8" t="s">
        <v>32</v>
      </c>
      <c r="B36">
        <v>4558</v>
      </c>
      <c r="C36">
        <v>4028</v>
      </c>
      <c r="D36">
        <v>170</v>
      </c>
      <c r="E36">
        <v>1182</v>
      </c>
      <c r="F36">
        <v>9938</v>
      </c>
    </row>
    <row r="37" spans="1:6" x14ac:dyDescent="0.25">
      <c r="A37" s="8" t="s">
        <v>33</v>
      </c>
      <c r="B37">
        <v>3380</v>
      </c>
      <c r="C37">
        <v>678</v>
      </c>
      <c r="D37">
        <v>71</v>
      </c>
      <c r="E37">
        <v>316</v>
      </c>
      <c r="F37">
        <v>4445</v>
      </c>
    </row>
    <row r="38" spans="1:6" x14ac:dyDescent="0.25">
      <c r="A38" s="8" t="s">
        <v>34</v>
      </c>
      <c r="B38">
        <v>130239</v>
      </c>
      <c r="C38">
        <v>69192</v>
      </c>
      <c r="D38">
        <v>9046</v>
      </c>
      <c r="E38">
        <v>67432</v>
      </c>
      <c r="F38">
        <v>275909</v>
      </c>
    </row>
    <row r="39" spans="1:6" x14ac:dyDescent="0.25">
      <c r="A39" s="8" t="s">
        <v>35</v>
      </c>
      <c r="B39">
        <v>241033</v>
      </c>
      <c r="C39">
        <v>112075</v>
      </c>
      <c r="D39">
        <v>15420</v>
      </c>
      <c r="E39">
        <v>134877</v>
      </c>
      <c r="F39">
        <v>503405</v>
      </c>
    </row>
    <row r="40" spans="1:6" x14ac:dyDescent="0.25">
      <c r="A40" s="8" t="s">
        <v>36</v>
      </c>
      <c r="B40">
        <v>57406</v>
      </c>
      <c r="C40">
        <v>98747</v>
      </c>
      <c r="D40">
        <v>5372</v>
      </c>
      <c r="E40">
        <v>41721</v>
      </c>
      <c r="F40">
        <v>203246</v>
      </c>
    </row>
    <row r="41" spans="1:6" x14ac:dyDescent="0.25">
      <c r="A41" s="8" t="s">
        <v>37</v>
      </c>
      <c r="B41">
        <v>18400</v>
      </c>
      <c r="C41">
        <v>6655</v>
      </c>
      <c r="D41">
        <v>1007</v>
      </c>
      <c r="E41">
        <v>4568</v>
      </c>
      <c r="F41">
        <v>30630</v>
      </c>
    </row>
    <row r="42" spans="1:6" x14ac:dyDescent="0.25">
      <c r="A42" s="8" t="s">
        <v>38</v>
      </c>
      <c r="B42">
        <v>2743</v>
      </c>
      <c r="C42">
        <v>1420</v>
      </c>
      <c r="D42">
        <v>19</v>
      </c>
      <c r="E42">
        <v>456</v>
      </c>
      <c r="F42">
        <v>4638</v>
      </c>
    </row>
    <row r="43" spans="1:6" x14ac:dyDescent="0.25">
      <c r="A43" s="8" t="s">
        <v>39</v>
      </c>
      <c r="B43">
        <v>5574</v>
      </c>
      <c r="C43">
        <v>5050</v>
      </c>
      <c r="D43">
        <v>141</v>
      </c>
      <c r="E43">
        <v>1560</v>
      </c>
      <c r="F43">
        <v>12325</v>
      </c>
    </row>
    <row r="44" spans="1:6" x14ac:dyDescent="0.25">
      <c r="A44" s="8" t="s">
        <v>40</v>
      </c>
      <c r="B44">
        <v>137305</v>
      </c>
      <c r="C44">
        <v>70930</v>
      </c>
      <c r="D44">
        <v>8708</v>
      </c>
      <c r="E44">
        <v>67797</v>
      </c>
      <c r="F44">
        <v>284740</v>
      </c>
    </row>
    <row r="45" spans="1:6" x14ac:dyDescent="0.25">
      <c r="A45" s="8" t="s">
        <v>41</v>
      </c>
      <c r="B45">
        <v>137758</v>
      </c>
      <c r="C45">
        <v>71859</v>
      </c>
      <c r="D45">
        <v>8676</v>
      </c>
      <c r="E45">
        <v>56682</v>
      </c>
      <c r="F45">
        <v>274975</v>
      </c>
    </row>
    <row r="46" spans="1:6" x14ac:dyDescent="0.25">
      <c r="A46" s="8" t="s">
        <v>42</v>
      </c>
      <c r="B46">
        <v>62730</v>
      </c>
      <c r="C46">
        <v>25261</v>
      </c>
      <c r="D46">
        <v>4367</v>
      </c>
      <c r="E46">
        <v>25863</v>
      </c>
      <c r="F46">
        <v>118221</v>
      </c>
    </row>
    <row r="47" spans="1:6" x14ac:dyDescent="0.25">
      <c r="A47" s="8" t="s">
        <v>43</v>
      </c>
      <c r="B47">
        <v>497640</v>
      </c>
      <c r="C47">
        <v>521461</v>
      </c>
      <c r="D47">
        <v>33416</v>
      </c>
      <c r="E47">
        <v>494353</v>
      </c>
      <c r="F47">
        <v>1546870</v>
      </c>
    </row>
    <row r="48" spans="1:6" x14ac:dyDescent="0.25">
      <c r="A48" s="8" t="s">
        <v>44</v>
      </c>
      <c r="B48">
        <v>24004</v>
      </c>
      <c r="C48">
        <v>14984</v>
      </c>
      <c r="D48">
        <v>1854</v>
      </c>
      <c r="E48">
        <v>12459</v>
      </c>
      <c r="F48">
        <v>53301</v>
      </c>
    </row>
    <row r="49" spans="1:6" x14ac:dyDescent="0.25">
      <c r="A49" s="8" t="s">
        <v>45</v>
      </c>
      <c r="B49">
        <v>47556</v>
      </c>
      <c r="C49">
        <v>13520</v>
      </c>
      <c r="D49">
        <v>2687</v>
      </c>
      <c r="E49">
        <v>14951</v>
      </c>
      <c r="F49">
        <v>78714</v>
      </c>
    </row>
    <row r="50" spans="1:6" x14ac:dyDescent="0.25">
      <c r="A50" s="8" t="s">
        <v>46</v>
      </c>
      <c r="B50">
        <v>88440</v>
      </c>
      <c r="C50">
        <v>26002</v>
      </c>
      <c r="D50">
        <v>4953</v>
      </c>
      <c r="E50">
        <v>35189</v>
      </c>
      <c r="F50">
        <v>154584</v>
      </c>
    </row>
    <row r="51" spans="1:6" x14ac:dyDescent="0.25">
      <c r="A51" s="8" t="s">
        <v>47</v>
      </c>
      <c r="B51">
        <v>12359</v>
      </c>
      <c r="C51">
        <v>4728</v>
      </c>
      <c r="D51">
        <v>740</v>
      </c>
      <c r="E51">
        <v>3542</v>
      </c>
      <c r="F51">
        <v>21369</v>
      </c>
    </row>
    <row r="52" spans="1:6" x14ac:dyDescent="0.25">
      <c r="A52" s="8" t="s">
        <v>48</v>
      </c>
      <c r="B52">
        <v>226814</v>
      </c>
      <c r="C52">
        <v>328725</v>
      </c>
      <c r="D52">
        <v>25897</v>
      </c>
      <c r="E52">
        <v>252400</v>
      </c>
      <c r="F52">
        <v>833836</v>
      </c>
    </row>
    <row r="53" spans="1:6" x14ac:dyDescent="0.25">
      <c r="A53" s="8" t="s">
        <v>49</v>
      </c>
      <c r="B53">
        <v>68171</v>
      </c>
      <c r="C53">
        <v>87958</v>
      </c>
      <c r="D53">
        <v>7380</v>
      </c>
      <c r="E53">
        <v>81991</v>
      </c>
      <c r="F53">
        <v>245500</v>
      </c>
    </row>
    <row r="54" spans="1:6" x14ac:dyDescent="0.25">
      <c r="A54" s="8" t="s">
        <v>50</v>
      </c>
      <c r="B54">
        <v>299370</v>
      </c>
      <c r="C54">
        <v>337230</v>
      </c>
      <c r="D54">
        <v>31261</v>
      </c>
      <c r="E54">
        <v>256132</v>
      </c>
      <c r="F54">
        <v>923993</v>
      </c>
    </row>
    <row r="55" spans="1:6" x14ac:dyDescent="0.25">
      <c r="A55" s="8" t="s">
        <v>51</v>
      </c>
      <c r="B55">
        <v>181446</v>
      </c>
      <c r="C55">
        <v>105859</v>
      </c>
      <c r="D55">
        <v>15545</v>
      </c>
      <c r="E55">
        <v>110830</v>
      </c>
      <c r="F55">
        <v>413680</v>
      </c>
    </row>
    <row r="56" spans="1:6" x14ac:dyDescent="0.25">
      <c r="A56" s="8" t="s">
        <v>52</v>
      </c>
      <c r="B56">
        <v>246493</v>
      </c>
      <c r="C56">
        <v>207966</v>
      </c>
      <c r="D56">
        <v>20342</v>
      </c>
      <c r="E56">
        <v>171903</v>
      </c>
      <c r="F56">
        <v>646704</v>
      </c>
    </row>
    <row r="57" spans="1:6" x14ac:dyDescent="0.25">
      <c r="A57" s="8" t="s">
        <v>53</v>
      </c>
      <c r="B57">
        <v>192794</v>
      </c>
      <c r="C57">
        <v>140583</v>
      </c>
      <c r="D57">
        <v>14837</v>
      </c>
      <c r="E57">
        <v>123187</v>
      </c>
      <c r="F57">
        <v>471401</v>
      </c>
    </row>
    <row r="58" spans="1:6" x14ac:dyDescent="0.25">
      <c r="A58" s="8" t="s">
        <v>54</v>
      </c>
      <c r="B58">
        <v>26041</v>
      </c>
      <c r="C58">
        <v>11853</v>
      </c>
      <c r="D58">
        <v>1209</v>
      </c>
      <c r="E58">
        <v>7920</v>
      </c>
      <c r="F58">
        <v>47023</v>
      </c>
    </row>
    <row r="59" spans="1:6" x14ac:dyDescent="0.25">
      <c r="A59" s="8" t="s">
        <v>55</v>
      </c>
      <c r="B59">
        <v>91642</v>
      </c>
      <c r="C59">
        <v>22197</v>
      </c>
      <c r="D59">
        <v>4926</v>
      </c>
      <c r="E59">
        <v>28998</v>
      </c>
      <c r="F59">
        <v>147763</v>
      </c>
    </row>
    <row r="60" spans="1:6" x14ac:dyDescent="0.25">
      <c r="A60" s="8" t="s">
        <v>56</v>
      </c>
      <c r="B60">
        <v>160820</v>
      </c>
      <c r="C60">
        <v>86777</v>
      </c>
      <c r="D60">
        <v>10151</v>
      </c>
      <c r="E60">
        <v>79964</v>
      </c>
      <c r="F60">
        <v>337712</v>
      </c>
    </row>
    <row r="61" spans="1:6" x14ac:dyDescent="0.25">
      <c r="A61" s="8" t="s">
        <v>57</v>
      </c>
      <c r="B61">
        <v>122537</v>
      </c>
      <c r="C61">
        <v>111939</v>
      </c>
      <c r="D61">
        <v>12079</v>
      </c>
      <c r="E61">
        <v>103866</v>
      </c>
      <c r="F61">
        <v>350421</v>
      </c>
    </row>
    <row r="62" spans="1:6" x14ac:dyDescent="0.25">
      <c r="A62" s="8" t="s">
        <v>58</v>
      </c>
      <c r="B62">
        <v>130390</v>
      </c>
      <c r="C62">
        <v>49585</v>
      </c>
      <c r="D62">
        <v>6896</v>
      </c>
      <c r="E62">
        <v>50441</v>
      </c>
      <c r="F62">
        <v>237312</v>
      </c>
    </row>
    <row r="63" spans="1:6" x14ac:dyDescent="0.25">
      <c r="A63" s="8" t="s">
        <v>59</v>
      </c>
      <c r="B63">
        <v>91878</v>
      </c>
      <c r="C63">
        <v>83832</v>
      </c>
      <c r="D63">
        <v>9113</v>
      </c>
      <c r="E63">
        <v>61358</v>
      </c>
      <c r="F63">
        <v>246181</v>
      </c>
    </row>
    <row r="64" spans="1:6" x14ac:dyDescent="0.25">
      <c r="A64" s="8" t="s">
        <v>60</v>
      </c>
      <c r="B64">
        <v>74562</v>
      </c>
      <c r="C64">
        <v>24606</v>
      </c>
      <c r="D64">
        <v>2771</v>
      </c>
      <c r="E64">
        <v>25395</v>
      </c>
      <c r="F64">
        <v>127334</v>
      </c>
    </row>
    <row r="65" spans="1:6" x14ac:dyDescent="0.25">
      <c r="A65" s="8" t="s">
        <v>61</v>
      </c>
      <c r="B65">
        <v>17179</v>
      </c>
      <c r="C65">
        <v>5788</v>
      </c>
      <c r="D65">
        <v>783</v>
      </c>
      <c r="E65">
        <v>3980</v>
      </c>
      <c r="F65">
        <v>27730</v>
      </c>
    </row>
    <row r="66" spans="1:6" x14ac:dyDescent="0.25">
      <c r="A66" s="8" t="s">
        <v>62</v>
      </c>
      <c r="B66">
        <v>7455</v>
      </c>
      <c r="C66">
        <v>3011</v>
      </c>
      <c r="D66">
        <v>217</v>
      </c>
      <c r="E66">
        <v>1063</v>
      </c>
      <c r="F66">
        <v>11746</v>
      </c>
    </row>
    <row r="67" spans="1:6" x14ac:dyDescent="0.25">
      <c r="A67" s="8" t="s">
        <v>63</v>
      </c>
      <c r="B67">
        <v>5065</v>
      </c>
      <c r="C67">
        <v>1700</v>
      </c>
      <c r="D67">
        <v>151</v>
      </c>
      <c r="E67">
        <v>721</v>
      </c>
      <c r="F67">
        <v>7637</v>
      </c>
    </row>
    <row r="68" spans="1:6" x14ac:dyDescent="0.25">
      <c r="A68" s="8" t="s">
        <v>64</v>
      </c>
      <c r="B68">
        <v>168510</v>
      </c>
      <c r="C68">
        <v>109350</v>
      </c>
      <c r="D68">
        <v>13799</v>
      </c>
      <c r="E68">
        <v>105932</v>
      </c>
      <c r="F68">
        <v>397591</v>
      </c>
    </row>
    <row r="69" spans="1:6" x14ac:dyDescent="0.25">
      <c r="A69" s="8" t="s">
        <v>65</v>
      </c>
      <c r="B69">
        <v>13243</v>
      </c>
      <c r="C69">
        <v>6329</v>
      </c>
      <c r="D69">
        <v>762</v>
      </c>
      <c r="E69">
        <v>4067</v>
      </c>
      <c r="F69">
        <v>24401</v>
      </c>
    </row>
    <row r="70" spans="1:6" x14ac:dyDescent="0.25">
      <c r="A70" s="8" t="s">
        <v>66</v>
      </c>
      <c r="B70">
        <v>41207</v>
      </c>
      <c r="C70">
        <v>8044</v>
      </c>
      <c r="D70">
        <v>1923</v>
      </c>
      <c r="E70">
        <v>10758</v>
      </c>
      <c r="F70">
        <v>61932</v>
      </c>
    </row>
    <row r="71" spans="1:6" x14ac:dyDescent="0.25">
      <c r="A71" s="8" t="s">
        <v>67</v>
      </c>
      <c r="B71">
        <v>10091</v>
      </c>
      <c r="C71">
        <v>2882</v>
      </c>
      <c r="D71">
        <v>310</v>
      </c>
      <c r="E71">
        <v>1873</v>
      </c>
      <c r="F71">
        <v>15156</v>
      </c>
    </row>
    <row r="72" spans="1:6" x14ac:dyDescent="0.25">
      <c r="A72" s="12" t="s">
        <v>0</v>
      </c>
      <c r="B72">
        <v>5643100</v>
      </c>
      <c r="C72">
        <v>4463592</v>
      </c>
      <c r="D72">
        <v>431269</v>
      </c>
      <c r="E72">
        <v>3709462</v>
      </c>
      <c r="F72">
        <v>14247423</v>
      </c>
    </row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"/>
  <sheetViews>
    <sheetView workbookViewId="0">
      <selection sqref="A1:F1"/>
    </sheetView>
  </sheetViews>
  <sheetFormatPr defaultColWidth="9.14062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16384" width="9.140625" style="1"/>
  </cols>
  <sheetData>
    <row r="1" spans="1:6" x14ac:dyDescent="0.25">
      <c r="A1" s="17" t="s">
        <v>71</v>
      </c>
      <c r="B1" s="18"/>
      <c r="C1" s="18"/>
      <c r="D1" s="18"/>
      <c r="E1" s="18"/>
      <c r="F1" s="19"/>
    </row>
    <row r="2" spans="1:6" x14ac:dyDescent="0.25">
      <c r="A2" s="20" t="s">
        <v>170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49402</v>
      </c>
      <c r="C5">
        <v>78192</v>
      </c>
      <c r="D5">
        <v>4980</v>
      </c>
      <c r="E5">
        <v>40698</v>
      </c>
      <c r="F5">
        <v>173272</v>
      </c>
    </row>
    <row r="6" spans="1:6" x14ac:dyDescent="0.25">
      <c r="A6" t="s">
        <v>2</v>
      </c>
      <c r="B6">
        <v>12979</v>
      </c>
      <c r="C6">
        <v>3605</v>
      </c>
      <c r="D6">
        <v>418</v>
      </c>
      <c r="E6">
        <v>2434</v>
      </c>
      <c r="F6">
        <v>19436</v>
      </c>
    </row>
    <row r="7" spans="1:6" x14ac:dyDescent="0.25">
      <c r="A7" t="s">
        <v>3</v>
      </c>
      <c r="B7">
        <v>75871</v>
      </c>
      <c r="C7">
        <v>26260</v>
      </c>
      <c r="D7">
        <v>4529</v>
      </c>
      <c r="E7">
        <v>28170</v>
      </c>
      <c r="F7">
        <v>134830</v>
      </c>
    </row>
    <row r="8" spans="1:6" x14ac:dyDescent="0.25">
      <c r="A8" t="s">
        <v>4</v>
      </c>
      <c r="B8">
        <v>11253</v>
      </c>
      <c r="C8">
        <v>4345</v>
      </c>
      <c r="D8">
        <v>411</v>
      </c>
      <c r="E8">
        <v>2683</v>
      </c>
      <c r="F8">
        <v>18692</v>
      </c>
    </row>
    <row r="9" spans="1:6" x14ac:dyDescent="0.25">
      <c r="A9" t="s">
        <v>5</v>
      </c>
      <c r="B9">
        <v>204406</v>
      </c>
      <c r="C9">
        <v>117070</v>
      </c>
      <c r="D9">
        <v>16339</v>
      </c>
      <c r="E9">
        <v>113783</v>
      </c>
      <c r="F9">
        <v>451598</v>
      </c>
    </row>
    <row r="10" spans="1:6" x14ac:dyDescent="0.25">
      <c r="A10" t="s">
        <v>6</v>
      </c>
      <c r="B10">
        <v>277596</v>
      </c>
      <c r="C10">
        <v>521867</v>
      </c>
      <c r="D10">
        <v>28112</v>
      </c>
      <c r="E10">
        <v>349418</v>
      </c>
      <c r="F10">
        <v>1176993</v>
      </c>
    </row>
    <row r="11" spans="1:6" x14ac:dyDescent="0.25">
      <c r="A11" t="s">
        <v>7</v>
      </c>
      <c r="B11">
        <v>4673</v>
      </c>
      <c r="C11">
        <v>1975</v>
      </c>
      <c r="D11">
        <v>84</v>
      </c>
      <c r="E11">
        <v>711</v>
      </c>
      <c r="F11">
        <v>7443</v>
      </c>
    </row>
    <row r="12" spans="1:6" x14ac:dyDescent="0.25">
      <c r="A12" t="s">
        <v>8</v>
      </c>
      <c r="B12">
        <v>79456</v>
      </c>
      <c r="C12">
        <v>30832</v>
      </c>
      <c r="D12">
        <v>5732</v>
      </c>
      <c r="E12">
        <v>36433</v>
      </c>
      <c r="F12">
        <v>152453</v>
      </c>
    </row>
    <row r="13" spans="1:6" x14ac:dyDescent="0.25">
      <c r="A13" t="s">
        <v>9</v>
      </c>
      <c r="B13">
        <v>66959</v>
      </c>
      <c r="C13">
        <v>20739</v>
      </c>
      <c r="D13">
        <v>3965</v>
      </c>
      <c r="E13">
        <v>22323</v>
      </c>
      <c r="F13">
        <v>113986</v>
      </c>
    </row>
    <row r="14" spans="1:6" x14ac:dyDescent="0.25">
      <c r="A14" t="s">
        <v>10</v>
      </c>
      <c r="B14">
        <v>89336</v>
      </c>
      <c r="C14">
        <v>32115</v>
      </c>
      <c r="D14">
        <v>5189</v>
      </c>
      <c r="E14">
        <v>32976</v>
      </c>
      <c r="F14">
        <v>159616</v>
      </c>
    </row>
    <row r="15" spans="1:6" x14ac:dyDescent="0.25">
      <c r="A15" t="s">
        <v>11</v>
      </c>
      <c r="B15">
        <v>145228</v>
      </c>
      <c r="C15">
        <v>53803</v>
      </c>
      <c r="D15">
        <v>7227</v>
      </c>
      <c r="E15">
        <v>62648</v>
      </c>
      <c r="F15">
        <v>268906</v>
      </c>
    </row>
    <row r="16" spans="1:6" x14ac:dyDescent="0.25">
      <c r="A16" t="s">
        <v>12</v>
      </c>
      <c r="B16">
        <v>24595</v>
      </c>
      <c r="C16">
        <v>10383</v>
      </c>
      <c r="D16">
        <v>1242</v>
      </c>
      <c r="E16">
        <v>7023</v>
      </c>
      <c r="F16">
        <v>43243</v>
      </c>
    </row>
    <row r="17" spans="1:6" x14ac:dyDescent="0.25">
      <c r="A17" t="s">
        <v>13</v>
      </c>
      <c r="B17">
        <v>9134</v>
      </c>
      <c r="C17">
        <v>5676</v>
      </c>
      <c r="D17">
        <v>464</v>
      </c>
      <c r="E17">
        <v>4648</v>
      </c>
      <c r="F17">
        <v>19922</v>
      </c>
    </row>
    <row r="18" spans="1:6" x14ac:dyDescent="0.25">
      <c r="A18" t="s">
        <v>14</v>
      </c>
      <c r="B18">
        <v>7147</v>
      </c>
      <c r="C18">
        <v>2182</v>
      </c>
      <c r="D18">
        <v>232</v>
      </c>
      <c r="E18">
        <v>1768</v>
      </c>
      <c r="F18">
        <v>11329</v>
      </c>
    </row>
    <row r="19" spans="1:6" x14ac:dyDescent="0.25">
      <c r="A19" t="s">
        <v>15</v>
      </c>
      <c r="B19">
        <v>239189</v>
      </c>
      <c r="C19">
        <v>249770</v>
      </c>
      <c r="D19">
        <v>20701</v>
      </c>
      <c r="E19">
        <v>146907</v>
      </c>
      <c r="F19">
        <v>656567</v>
      </c>
    </row>
    <row r="20" spans="1:6" x14ac:dyDescent="0.25">
      <c r="A20" t="s">
        <v>16</v>
      </c>
      <c r="B20">
        <v>102964</v>
      </c>
      <c r="C20">
        <v>65763</v>
      </c>
      <c r="D20">
        <v>6604</v>
      </c>
      <c r="E20">
        <v>45788</v>
      </c>
      <c r="F20">
        <v>221119</v>
      </c>
    </row>
    <row r="21" spans="1:6" x14ac:dyDescent="0.25">
      <c r="A21" t="s">
        <v>17</v>
      </c>
      <c r="B21">
        <v>49221</v>
      </c>
      <c r="C21">
        <v>24374</v>
      </c>
      <c r="D21">
        <v>3499</v>
      </c>
      <c r="E21">
        <v>22603</v>
      </c>
      <c r="F21">
        <v>99697</v>
      </c>
    </row>
    <row r="22" spans="1:6" x14ac:dyDescent="0.25">
      <c r="A22" t="s">
        <v>18</v>
      </c>
      <c r="B22">
        <v>4050</v>
      </c>
      <c r="C22">
        <v>2306</v>
      </c>
      <c r="D22">
        <v>264</v>
      </c>
      <c r="E22">
        <v>1114</v>
      </c>
      <c r="F22">
        <v>7734</v>
      </c>
    </row>
    <row r="23" spans="1:6" x14ac:dyDescent="0.25">
      <c r="A23" t="s">
        <v>19</v>
      </c>
      <c r="B23">
        <v>5815</v>
      </c>
      <c r="C23">
        <v>18274</v>
      </c>
      <c r="D23">
        <v>436</v>
      </c>
      <c r="E23">
        <v>2892</v>
      </c>
      <c r="F23">
        <v>27417</v>
      </c>
    </row>
    <row r="24" spans="1:6" x14ac:dyDescent="0.25">
      <c r="A24" t="s">
        <v>20</v>
      </c>
      <c r="B24">
        <v>9196</v>
      </c>
      <c r="C24">
        <v>2006</v>
      </c>
      <c r="D24">
        <v>380</v>
      </c>
      <c r="E24">
        <v>1888</v>
      </c>
      <c r="F24">
        <v>13470</v>
      </c>
    </row>
    <row r="25" spans="1:6" x14ac:dyDescent="0.25">
      <c r="A25" t="s">
        <v>21</v>
      </c>
      <c r="B25">
        <v>4148</v>
      </c>
      <c r="C25">
        <v>1629</v>
      </c>
      <c r="D25">
        <v>194</v>
      </c>
      <c r="E25">
        <v>1264</v>
      </c>
      <c r="F25">
        <v>7235</v>
      </c>
    </row>
    <row r="26" spans="1:6" x14ac:dyDescent="0.25">
      <c r="A26" t="s">
        <v>22</v>
      </c>
      <c r="B26">
        <v>7104</v>
      </c>
      <c r="C26">
        <v>2594</v>
      </c>
      <c r="D26">
        <v>335</v>
      </c>
      <c r="E26">
        <v>1519</v>
      </c>
      <c r="F26">
        <v>11552</v>
      </c>
    </row>
    <row r="27" spans="1:6" x14ac:dyDescent="0.25">
      <c r="A27" t="s">
        <v>23</v>
      </c>
      <c r="B27">
        <v>3707</v>
      </c>
      <c r="C27">
        <v>2549</v>
      </c>
      <c r="D27">
        <v>175</v>
      </c>
      <c r="E27">
        <v>924</v>
      </c>
      <c r="F27">
        <v>7355</v>
      </c>
    </row>
    <row r="28" spans="1:6" x14ac:dyDescent="0.25">
      <c r="A28" t="s">
        <v>24</v>
      </c>
      <c r="B28">
        <v>7168</v>
      </c>
      <c r="C28">
        <v>3127</v>
      </c>
      <c r="D28">
        <v>291</v>
      </c>
      <c r="E28">
        <v>2649</v>
      </c>
      <c r="F28">
        <v>13235</v>
      </c>
    </row>
    <row r="29" spans="1:6" x14ac:dyDescent="0.25">
      <c r="A29" t="s">
        <v>25</v>
      </c>
      <c r="B29">
        <v>8989</v>
      </c>
      <c r="C29">
        <v>5372</v>
      </c>
      <c r="D29">
        <v>419</v>
      </c>
      <c r="E29">
        <v>3607</v>
      </c>
      <c r="F29">
        <v>18387</v>
      </c>
    </row>
    <row r="30" spans="1:6" x14ac:dyDescent="0.25">
      <c r="A30" t="s">
        <v>26</v>
      </c>
      <c r="B30">
        <v>71723</v>
      </c>
      <c r="C30">
        <v>34264</v>
      </c>
      <c r="D30">
        <v>5253</v>
      </c>
      <c r="E30">
        <v>35004</v>
      </c>
      <c r="F30">
        <v>146244</v>
      </c>
    </row>
    <row r="31" spans="1:6" x14ac:dyDescent="0.25">
      <c r="A31" t="s">
        <v>27</v>
      </c>
      <c r="B31">
        <v>35445</v>
      </c>
      <c r="C31">
        <v>15193</v>
      </c>
      <c r="D31">
        <v>2084</v>
      </c>
      <c r="E31">
        <v>13974</v>
      </c>
      <c r="F31">
        <v>66696</v>
      </c>
    </row>
    <row r="32" spans="1:6" ht="15" customHeight="1" x14ac:dyDescent="0.25">
      <c r="A32" t="s">
        <v>28</v>
      </c>
      <c r="B32">
        <v>301636</v>
      </c>
      <c r="C32">
        <v>299127</v>
      </c>
      <c r="D32">
        <v>26713</v>
      </c>
      <c r="E32">
        <v>246390</v>
      </c>
      <c r="F32">
        <v>873866</v>
      </c>
    </row>
    <row r="33" spans="1:6" x14ac:dyDescent="0.25">
      <c r="A33" t="s">
        <v>29</v>
      </c>
      <c r="B33">
        <v>8056</v>
      </c>
      <c r="C33">
        <v>1590</v>
      </c>
      <c r="D33">
        <v>240</v>
      </c>
      <c r="E33">
        <v>1237</v>
      </c>
      <c r="F33">
        <v>11123</v>
      </c>
    </row>
    <row r="34" spans="1:6" x14ac:dyDescent="0.25">
      <c r="A34" t="s">
        <v>30</v>
      </c>
      <c r="B34">
        <v>59944</v>
      </c>
      <c r="C34">
        <v>25532</v>
      </c>
      <c r="D34">
        <v>4079</v>
      </c>
      <c r="E34">
        <v>23875</v>
      </c>
      <c r="F34">
        <v>113430</v>
      </c>
    </row>
    <row r="35" spans="1:6" x14ac:dyDescent="0.25">
      <c r="A35" t="s">
        <v>31</v>
      </c>
      <c r="B35">
        <v>15277</v>
      </c>
      <c r="C35">
        <v>7914</v>
      </c>
      <c r="D35">
        <v>487</v>
      </c>
      <c r="E35">
        <v>2526</v>
      </c>
      <c r="F35">
        <v>26204</v>
      </c>
    </row>
    <row r="36" spans="1:6" x14ac:dyDescent="0.25">
      <c r="A36" t="s">
        <v>32</v>
      </c>
      <c r="B36">
        <v>4509</v>
      </c>
      <c r="C36">
        <v>3836</v>
      </c>
      <c r="D36">
        <v>165</v>
      </c>
      <c r="E36">
        <v>1123</v>
      </c>
      <c r="F36">
        <v>9633</v>
      </c>
    </row>
    <row r="37" spans="1:6" x14ac:dyDescent="0.25">
      <c r="A37" t="s">
        <v>33</v>
      </c>
      <c r="B37">
        <v>3379</v>
      </c>
      <c r="C37">
        <v>671</v>
      </c>
      <c r="D37">
        <v>70</v>
      </c>
      <c r="E37">
        <v>312</v>
      </c>
      <c r="F37">
        <v>4432</v>
      </c>
    </row>
    <row r="38" spans="1:6" x14ac:dyDescent="0.25">
      <c r="A38" t="s">
        <v>34</v>
      </c>
      <c r="B38">
        <v>130688</v>
      </c>
      <c r="C38">
        <v>69275</v>
      </c>
      <c r="D38">
        <v>8715</v>
      </c>
      <c r="E38">
        <v>68164</v>
      </c>
      <c r="F38">
        <v>276842</v>
      </c>
    </row>
    <row r="39" spans="1:6" x14ac:dyDescent="0.25">
      <c r="A39" t="s">
        <v>35</v>
      </c>
      <c r="B39">
        <v>242053</v>
      </c>
      <c r="C39">
        <v>112243</v>
      </c>
      <c r="D39">
        <v>15641</v>
      </c>
      <c r="E39">
        <v>135295</v>
      </c>
      <c r="F39">
        <v>505232</v>
      </c>
    </row>
    <row r="40" spans="1:6" x14ac:dyDescent="0.25">
      <c r="A40" t="s">
        <v>36</v>
      </c>
      <c r="B40">
        <v>57457</v>
      </c>
      <c r="C40">
        <v>98569</v>
      </c>
      <c r="D40">
        <v>5456</v>
      </c>
      <c r="E40">
        <v>41805</v>
      </c>
      <c r="F40">
        <v>203287</v>
      </c>
    </row>
    <row r="41" spans="1:6" x14ac:dyDescent="0.25">
      <c r="A41" t="s">
        <v>37</v>
      </c>
      <c r="B41">
        <v>17559</v>
      </c>
      <c r="C41">
        <v>6028</v>
      </c>
      <c r="D41">
        <v>922</v>
      </c>
      <c r="E41">
        <v>3933</v>
      </c>
      <c r="F41">
        <v>28442</v>
      </c>
    </row>
    <row r="42" spans="1:6" x14ac:dyDescent="0.25">
      <c r="A42" t="s">
        <v>38</v>
      </c>
      <c r="B42">
        <v>2749</v>
      </c>
      <c r="C42">
        <v>1366</v>
      </c>
      <c r="D42">
        <v>20</v>
      </c>
      <c r="E42">
        <v>453</v>
      </c>
      <c r="F42">
        <v>4588</v>
      </c>
    </row>
    <row r="43" spans="1:6" x14ac:dyDescent="0.25">
      <c r="A43" t="s">
        <v>39</v>
      </c>
      <c r="B43">
        <v>5589</v>
      </c>
      <c r="C43">
        <v>5035</v>
      </c>
      <c r="D43">
        <v>137</v>
      </c>
      <c r="E43">
        <v>1571</v>
      </c>
      <c r="F43">
        <v>12332</v>
      </c>
    </row>
    <row r="44" spans="1:6" x14ac:dyDescent="0.25">
      <c r="A44" t="s">
        <v>40</v>
      </c>
      <c r="B44">
        <v>137436</v>
      </c>
      <c r="C44">
        <v>70755</v>
      </c>
      <c r="D44">
        <v>8499</v>
      </c>
      <c r="E44">
        <v>68190</v>
      </c>
      <c r="F44">
        <v>284880</v>
      </c>
    </row>
    <row r="45" spans="1:6" x14ac:dyDescent="0.25">
      <c r="A45" t="s">
        <v>41</v>
      </c>
      <c r="B45">
        <v>138472</v>
      </c>
      <c r="C45">
        <v>71973</v>
      </c>
      <c r="D45">
        <v>8849</v>
      </c>
      <c r="E45">
        <v>56951</v>
      </c>
      <c r="F45">
        <v>276245</v>
      </c>
    </row>
    <row r="46" spans="1:6" x14ac:dyDescent="0.25">
      <c r="A46" t="s">
        <v>42</v>
      </c>
      <c r="B46">
        <v>62861</v>
      </c>
      <c r="C46">
        <v>25208</v>
      </c>
      <c r="D46">
        <v>4318</v>
      </c>
      <c r="E46">
        <v>25936</v>
      </c>
      <c r="F46">
        <v>118323</v>
      </c>
    </row>
    <row r="47" spans="1:6" ht="15.75" customHeight="1" x14ac:dyDescent="0.25">
      <c r="A47" t="s">
        <v>43</v>
      </c>
      <c r="B47">
        <v>496859</v>
      </c>
      <c r="C47">
        <v>518190</v>
      </c>
      <c r="D47">
        <v>32559</v>
      </c>
      <c r="E47">
        <v>493329</v>
      </c>
      <c r="F47">
        <v>1540937</v>
      </c>
    </row>
    <row r="48" spans="1:6" x14ac:dyDescent="0.25">
      <c r="A48" t="s">
        <v>44</v>
      </c>
      <c r="B48">
        <v>24147</v>
      </c>
      <c r="C48">
        <v>14968</v>
      </c>
      <c r="D48">
        <v>1802</v>
      </c>
      <c r="E48">
        <v>12576</v>
      </c>
      <c r="F48">
        <v>53493</v>
      </c>
    </row>
    <row r="49" spans="1:6" x14ac:dyDescent="0.25">
      <c r="A49" t="s">
        <v>45</v>
      </c>
      <c r="B49">
        <v>47703</v>
      </c>
      <c r="C49">
        <v>13518</v>
      </c>
      <c r="D49">
        <v>2720</v>
      </c>
      <c r="E49">
        <v>14985</v>
      </c>
      <c r="F49">
        <v>78926</v>
      </c>
    </row>
    <row r="50" spans="1:6" x14ac:dyDescent="0.25">
      <c r="A50" t="s">
        <v>46</v>
      </c>
      <c r="B50">
        <v>88654</v>
      </c>
      <c r="C50">
        <v>26040</v>
      </c>
      <c r="D50">
        <v>5033</v>
      </c>
      <c r="E50">
        <v>35216</v>
      </c>
      <c r="F50">
        <v>154943</v>
      </c>
    </row>
    <row r="51" spans="1:6" ht="15" customHeight="1" x14ac:dyDescent="0.25">
      <c r="A51" t="s">
        <v>47</v>
      </c>
      <c r="B51">
        <v>12346</v>
      </c>
      <c r="C51">
        <v>4707</v>
      </c>
      <c r="D51">
        <v>715</v>
      </c>
      <c r="E51">
        <v>3532</v>
      </c>
      <c r="F51">
        <v>21300</v>
      </c>
    </row>
    <row r="52" spans="1:6" x14ac:dyDescent="0.25">
      <c r="A52" t="s">
        <v>48</v>
      </c>
      <c r="B52">
        <v>227418</v>
      </c>
      <c r="C52">
        <v>328725</v>
      </c>
      <c r="D52">
        <v>26272</v>
      </c>
      <c r="E52">
        <v>252505</v>
      </c>
      <c r="F52">
        <v>834920</v>
      </c>
    </row>
    <row r="53" spans="1:6" x14ac:dyDescent="0.25">
      <c r="A53" t="s">
        <v>49</v>
      </c>
      <c r="B53">
        <v>68075</v>
      </c>
      <c r="C53">
        <v>87439</v>
      </c>
      <c r="D53">
        <v>7428</v>
      </c>
      <c r="E53">
        <v>81395</v>
      </c>
      <c r="F53">
        <v>244337</v>
      </c>
    </row>
    <row r="54" spans="1:6" x14ac:dyDescent="0.25">
      <c r="A54" t="s">
        <v>50</v>
      </c>
      <c r="B54">
        <v>299591</v>
      </c>
      <c r="C54">
        <v>336392</v>
      </c>
      <c r="D54">
        <v>30567</v>
      </c>
      <c r="E54">
        <v>257293</v>
      </c>
      <c r="F54">
        <v>923843</v>
      </c>
    </row>
    <row r="55" spans="1:6" x14ac:dyDescent="0.25">
      <c r="A55" t="s">
        <v>51</v>
      </c>
      <c r="B55">
        <v>171861</v>
      </c>
      <c r="C55">
        <v>95892</v>
      </c>
      <c r="D55">
        <v>14088</v>
      </c>
      <c r="E55">
        <v>96556</v>
      </c>
      <c r="F55">
        <v>378397</v>
      </c>
    </row>
    <row r="56" spans="1:6" x14ac:dyDescent="0.25">
      <c r="A56" t="s">
        <v>52</v>
      </c>
      <c r="B56">
        <v>246827</v>
      </c>
      <c r="C56">
        <v>207534</v>
      </c>
      <c r="D56">
        <v>19952</v>
      </c>
      <c r="E56">
        <v>172530</v>
      </c>
      <c r="F56">
        <v>646843</v>
      </c>
    </row>
    <row r="57" spans="1:6" x14ac:dyDescent="0.25">
      <c r="A57" t="s">
        <v>53</v>
      </c>
      <c r="B57">
        <v>193649</v>
      </c>
      <c r="C57">
        <v>140962</v>
      </c>
      <c r="D57">
        <v>15160</v>
      </c>
      <c r="E57">
        <v>123856</v>
      </c>
      <c r="F57">
        <v>473627</v>
      </c>
    </row>
    <row r="58" spans="1:6" x14ac:dyDescent="0.25">
      <c r="A58" t="s">
        <v>54</v>
      </c>
      <c r="B58">
        <v>26166</v>
      </c>
      <c r="C58">
        <v>11852</v>
      </c>
      <c r="D58">
        <v>1236</v>
      </c>
      <c r="E58">
        <v>7954</v>
      </c>
      <c r="F58">
        <v>47208</v>
      </c>
    </row>
    <row r="59" spans="1:6" x14ac:dyDescent="0.25">
      <c r="A59" t="s">
        <v>55</v>
      </c>
      <c r="B59">
        <v>92020</v>
      </c>
      <c r="C59">
        <v>22226</v>
      </c>
      <c r="D59">
        <v>4741</v>
      </c>
      <c r="E59">
        <v>29337</v>
      </c>
      <c r="F59">
        <v>148324</v>
      </c>
    </row>
    <row r="60" spans="1:6" x14ac:dyDescent="0.25">
      <c r="A60" t="s">
        <v>56</v>
      </c>
      <c r="B60">
        <v>160954</v>
      </c>
      <c r="C60">
        <v>86423</v>
      </c>
      <c r="D60">
        <v>9843</v>
      </c>
      <c r="E60">
        <v>80405</v>
      </c>
      <c r="F60">
        <v>337625</v>
      </c>
    </row>
    <row r="61" spans="1:6" x14ac:dyDescent="0.25">
      <c r="A61" t="s">
        <v>57</v>
      </c>
      <c r="B61">
        <v>122852</v>
      </c>
      <c r="C61">
        <v>112142</v>
      </c>
      <c r="D61">
        <v>11765</v>
      </c>
      <c r="E61">
        <v>104765</v>
      </c>
      <c r="F61">
        <v>351524</v>
      </c>
    </row>
    <row r="62" spans="1:6" x14ac:dyDescent="0.25">
      <c r="A62" t="s">
        <v>58</v>
      </c>
      <c r="B62">
        <v>130998</v>
      </c>
      <c r="C62">
        <v>49684</v>
      </c>
      <c r="D62">
        <v>6786</v>
      </c>
      <c r="E62">
        <v>50898</v>
      </c>
      <c r="F62">
        <v>238366</v>
      </c>
    </row>
    <row r="63" spans="1:6" x14ac:dyDescent="0.25">
      <c r="A63" t="s">
        <v>59</v>
      </c>
      <c r="B63">
        <v>92417</v>
      </c>
      <c r="C63">
        <v>84111</v>
      </c>
      <c r="D63">
        <v>9248</v>
      </c>
      <c r="E63">
        <v>61645</v>
      </c>
      <c r="F63">
        <v>247421</v>
      </c>
    </row>
    <row r="64" spans="1:6" x14ac:dyDescent="0.25">
      <c r="A64" t="s">
        <v>60</v>
      </c>
      <c r="B64">
        <v>74893</v>
      </c>
      <c r="C64">
        <v>24581</v>
      </c>
      <c r="D64">
        <v>2825</v>
      </c>
      <c r="E64">
        <v>25526</v>
      </c>
      <c r="F64">
        <v>127825</v>
      </c>
    </row>
    <row r="65" spans="1:6" x14ac:dyDescent="0.25">
      <c r="A65" t="s">
        <v>61</v>
      </c>
      <c r="B65">
        <v>17230</v>
      </c>
      <c r="C65">
        <v>5789</v>
      </c>
      <c r="D65">
        <v>804</v>
      </c>
      <c r="E65">
        <v>3982</v>
      </c>
      <c r="F65">
        <v>27805</v>
      </c>
    </row>
    <row r="66" spans="1:6" x14ac:dyDescent="0.25">
      <c r="A66" t="s">
        <v>62</v>
      </c>
      <c r="B66">
        <v>7483</v>
      </c>
      <c r="C66">
        <v>3008</v>
      </c>
      <c r="D66">
        <v>219</v>
      </c>
      <c r="E66">
        <v>1056</v>
      </c>
      <c r="F66">
        <v>11766</v>
      </c>
    </row>
    <row r="67" spans="1:6" x14ac:dyDescent="0.25">
      <c r="A67" t="s">
        <v>63</v>
      </c>
      <c r="B67">
        <v>5068</v>
      </c>
      <c r="C67">
        <v>1697</v>
      </c>
      <c r="D67">
        <v>147</v>
      </c>
      <c r="E67">
        <v>726</v>
      </c>
      <c r="F67">
        <v>7638</v>
      </c>
    </row>
    <row r="68" spans="1:6" x14ac:dyDescent="0.25">
      <c r="A68" t="s">
        <v>64</v>
      </c>
      <c r="B68">
        <v>169240</v>
      </c>
      <c r="C68">
        <v>109379</v>
      </c>
      <c r="D68">
        <v>14010</v>
      </c>
      <c r="E68">
        <v>106184</v>
      </c>
      <c r="F68">
        <v>398813</v>
      </c>
    </row>
    <row r="69" spans="1:6" x14ac:dyDescent="0.25">
      <c r="A69" t="s">
        <v>65</v>
      </c>
      <c r="B69">
        <v>13278</v>
      </c>
      <c r="C69">
        <v>6305</v>
      </c>
      <c r="D69">
        <v>749</v>
      </c>
      <c r="E69">
        <v>4068</v>
      </c>
      <c r="F69">
        <v>24400</v>
      </c>
    </row>
    <row r="70" spans="1:6" x14ac:dyDescent="0.25">
      <c r="A70" t="s">
        <v>66</v>
      </c>
      <c r="B70">
        <v>41444</v>
      </c>
      <c r="C70">
        <v>8040</v>
      </c>
      <c r="D70">
        <v>1959</v>
      </c>
      <c r="E70">
        <v>10795</v>
      </c>
      <c r="F70">
        <v>62238</v>
      </c>
    </row>
    <row r="71" spans="1:6" x14ac:dyDescent="0.25">
      <c r="A71" t="s">
        <v>67</v>
      </c>
      <c r="B71">
        <v>10151</v>
      </c>
      <c r="C71">
        <v>2893</v>
      </c>
      <c r="D71">
        <v>311</v>
      </c>
      <c r="E71">
        <v>1897</v>
      </c>
      <c r="F71">
        <v>15252</v>
      </c>
    </row>
    <row r="72" spans="1:6" x14ac:dyDescent="0.25">
      <c r="A72" s="11" t="s">
        <v>0</v>
      </c>
      <c r="B72">
        <v>5635743</v>
      </c>
      <c r="C72">
        <v>4437884</v>
      </c>
      <c r="D72">
        <v>424809</v>
      </c>
      <c r="E72">
        <v>3696621</v>
      </c>
      <c r="F72">
        <v>14195057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2"/>
  <sheetViews>
    <sheetView zoomScaleNormal="100" workbookViewId="0">
      <selection sqref="A1:F1"/>
    </sheetView>
  </sheetViews>
  <sheetFormatPr defaultColWidth="15.710937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167</v>
      </c>
      <c r="B1" s="27"/>
      <c r="C1" s="27"/>
      <c r="D1" s="27"/>
      <c r="E1" s="27"/>
      <c r="F1" s="28"/>
    </row>
    <row r="2" spans="1:6" ht="15" customHeight="1" x14ac:dyDescent="0.25">
      <c r="A2" s="20" t="s">
        <v>171</v>
      </c>
      <c r="B2" s="21"/>
      <c r="C2" s="21"/>
      <c r="D2" s="21"/>
      <c r="E2" s="21"/>
      <c r="F2" s="22"/>
    </row>
    <row r="3" spans="1:6" ht="15" customHeight="1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49447</v>
      </c>
      <c r="C5">
        <v>78106</v>
      </c>
      <c r="D5">
        <v>5057</v>
      </c>
      <c r="E5">
        <v>40793</v>
      </c>
      <c r="F5">
        <v>173403</v>
      </c>
    </row>
    <row r="6" spans="1:6" x14ac:dyDescent="0.25">
      <c r="A6" t="s">
        <v>2</v>
      </c>
      <c r="B6">
        <v>12971</v>
      </c>
      <c r="C6">
        <v>3583</v>
      </c>
      <c r="D6">
        <v>415</v>
      </c>
      <c r="E6">
        <v>2420</v>
      </c>
      <c r="F6">
        <v>19389</v>
      </c>
    </row>
    <row r="7" spans="1:6" x14ac:dyDescent="0.25">
      <c r="A7" t="s">
        <v>3</v>
      </c>
      <c r="B7">
        <v>76182</v>
      </c>
      <c r="C7">
        <v>26314</v>
      </c>
      <c r="D7">
        <v>4636</v>
      </c>
      <c r="E7">
        <v>28224</v>
      </c>
      <c r="F7">
        <v>135356</v>
      </c>
    </row>
    <row r="8" spans="1:6" x14ac:dyDescent="0.25">
      <c r="A8" t="s">
        <v>4</v>
      </c>
      <c r="B8">
        <v>11193</v>
      </c>
      <c r="C8">
        <v>4296</v>
      </c>
      <c r="D8">
        <v>408</v>
      </c>
      <c r="E8">
        <v>2655</v>
      </c>
      <c r="F8">
        <v>18552</v>
      </c>
    </row>
    <row r="9" spans="1:6" x14ac:dyDescent="0.25">
      <c r="A9" t="s">
        <v>5</v>
      </c>
      <c r="B9">
        <v>204125</v>
      </c>
      <c r="C9">
        <v>116416</v>
      </c>
      <c r="D9">
        <v>16390</v>
      </c>
      <c r="E9">
        <v>113184</v>
      </c>
      <c r="F9">
        <v>450115</v>
      </c>
    </row>
    <row r="10" spans="1:6" x14ac:dyDescent="0.25">
      <c r="A10" t="s">
        <v>6</v>
      </c>
      <c r="B10">
        <v>278448</v>
      </c>
      <c r="C10">
        <v>521756</v>
      </c>
      <c r="D10">
        <v>28491</v>
      </c>
      <c r="E10">
        <v>350699</v>
      </c>
      <c r="F10">
        <v>1179394</v>
      </c>
    </row>
    <row r="11" spans="1:6" x14ac:dyDescent="0.25">
      <c r="A11" t="s">
        <v>7</v>
      </c>
      <c r="B11">
        <v>4680</v>
      </c>
      <c r="C11">
        <v>1964</v>
      </c>
      <c r="D11">
        <v>84</v>
      </c>
      <c r="E11">
        <v>719</v>
      </c>
      <c r="F11">
        <v>7447</v>
      </c>
    </row>
    <row r="12" spans="1:6" x14ac:dyDescent="0.25">
      <c r="A12" t="s">
        <v>8</v>
      </c>
      <c r="B12">
        <v>79829</v>
      </c>
      <c r="C12">
        <v>30844</v>
      </c>
      <c r="D12">
        <v>5805</v>
      </c>
      <c r="E12">
        <v>36546</v>
      </c>
      <c r="F12">
        <v>153024</v>
      </c>
    </row>
    <row r="13" spans="1:6" x14ac:dyDescent="0.25">
      <c r="A13" t="s">
        <v>9</v>
      </c>
      <c r="B13">
        <v>66869</v>
      </c>
      <c r="C13">
        <v>20596</v>
      </c>
      <c r="D13">
        <v>4012</v>
      </c>
      <c r="E13">
        <v>22261</v>
      </c>
      <c r="F13">
        <v>113738</v>
      </c>
    </row>
    <row r="14" spans="1:6" x14ac:dyDescent="0.25">
      <c r="A14" t="s">
        <v>10</v>
      </c>
      <c r="B14">
        <v>89566</v>
      </c>
      <c r="C14">
        <v>32221</v>
      </c>
      <c r="D14">
        <v>5283</v>
      </c>
      <c r="E14">
        <v>33046</v>
      </c>
      <c r="F14">
        <v>160116</v>
      </c>
    </row>
    <row r="15" spans="1:6" x14ac:dyDescent="0.25">
      <c r="A15" t="s">
        <v>11</v>
      </c>
      <c r="B15">
        <v>145398</v>
      </c>
      <c r="C15">
        <v>53659</v>
      </c>
      <c r="D15">
        <v>7348</v>
      </c>
      <c r="E15">
        <v>62590</v>
      </c>
      <c r="F15">
        <v>268995</v>
      </c>
    </row>
    <row r="16" spans="1:6" x14ac:dyDescent="0.25">
      <c r="A16" t="s">
        <v>12</v>
      </c>
      <c r="B16">
        <v>24680</v>
      </c>
      <c r="C16">
        <v>10386</v>
      </c>
      <c r="D16">
        <v>1192</v>
      </c>
      <c r="E16">
        <v>7146</v>
      </c>
      <c r="F16">
        <v>43404</v>
      </c>
    </row>
    <row r="17" spans="1:6" x14ac:dyDescent="0.25">
      <c r="A17" t="s">
        <v>13</v>
      </c>
      <c r="B17">
        <v>9164</v>
      </c>
      <c r="C17">
        <v>5670</v>
      </c>
      <c r="D17">
        <v>477</v>
      </c>
      <c r="E17">
        <v>4663</v>
      </c>
      <c r="F17">
        <v>19974</v>
      </c>
    </row>
    <row r="18" spans="1:6" x14ac:dyDescent="0.25">
      <c r="A18" t="s">
        <v>14</v>
      </c>
      <c r="B18">
        <v>7154</v>
      </c>
      <c r="C18">
        <v>2169</v>
      </c>
      <c r="D18">
        <v>236</v>
      </c>
      <c r="E18">
        <v>1771</v>
      </c>
      <c r="F18">
        <v>11330</v>
      </c>
    </row>
    <row r="19" spans="1:6" x14ac:dyDescent="0.25">
      <c r="A19" t="s">
        <v>15</v>
      </c>
      <c r="B19">
        <v>239429</v>
      </c>
      <c r="C19">
        <v>249856</v>
      </c>
      <c r="D19">
        <v>20999</v>
      </c>
      <c r="E19">
        <v>147129</v>
      </c>
      <c r="F19">
        <v>657413</v>
      </c>
    </row>
    <row r="20" spans="1:6" x14ac:dyDescent="0.25">
      <c r="A20" t="s">
        <v>16</v>
      </c>
      <c r="B20">
        <v>103305</v>
      </c>
      <c r="C20">
        <v>65891</v>
      </c>
      <c r="D20">
        <v>6714</v>
      </c>
      <c r="E20">
        <v>45963</v>
      </c>
      <c r="F20">
        <v>221873</v>
      </c>
    </row>
    <row r="21" spans="1:6" x14ac:dyDescent="0.25">
      <c r="A21" t="s">
        <v>17</v>
      </c>
      <c r="B21">
        <v>49398</v>
      </c>
      <c r="C21">
        <v>24418</v>
      </c>
      <c r="D21">
        <v>3559</v>
      </c>
      <c r="E21">
        <v>22640</v>
      </c>
      <c r="F21">
        <v>100015</v>
      </c>
    </row>
    <row r="22" spans="1:6" x14ac:dyDescent="0.25">
      <c r="A22" t="s">
        <v>18</v>
      </c>
      <c r="B22">
        <v>4015</v>
      </c>
      <c r="C22">
        <v>2284</v>
      </c>
      <c r="D22">
        <v>264</v>
      </c>
      <c r="E22">
        <v>1103</v>
      </c>
      <c r="F22">
        <v>7666</v>
      </c>
    </row>
    <row r="23" spans="1:6" x14ac:dyDescent="0.25">
      <c r="A23" t="s">
        <v>19</v>
      </c>
      <c r="B23">
        <v>5822</v>
      </c>
      <c r="C23">
        <v>18261</v>
      </c>
      <c r="D23">
        <v>440</v>
      </c>
      <c r="E23">
        <v>2898</v>
      </c>
      <c r="F23">
        <v>27421</v>
      </c>
    </row>
    <row r="24" spans="1:6" x14ac:dyDescent="0.25">
      <c r="A24" t="s">
        <v>20</v>
      </c>
      <c r="B24">
        <v>8760</v>
      </c>
      <c r="C24">
        <v>1784</v>
      </c>
      <c r="D24">
        <v>363</v>
      </c>
      <c r="E24">
        <v>1556</v>
      </c>
      <c r="F24">
        <v>12463</v>
      </c>
    </row>
    <row r="25" spans="1:6" x14ac:dyDescent="0.25">
      <c r="A25" t="s">
        <v>21</v>
      </c>
      <c r="B25">
        <v>4157</v>
      </c>
      <c r="C25">
        <v>1634</v>
      </c>
      <c r="D25">
        <v>195</v>
      </c>
      <c r="E25">
        <v>1270</v>
      </c>
      <c r="F25">
        <v>7256</v>
      </c>
    </row>
    <row r="26" spans="1:6" x14ac:dyDescent="0.25">
      <c r="A26" t="s">
        <v>22</v>
      </c>
      <c r="B26">
        <v>6757</v>
      </c>
      <c r="C26">
        <v>2360</v>
      </c>
      <c r="D26">
        <v>313</v>
      </c>
      <c r="E26">
        <v>1254</v>
      </c>
      <c r="F26">
        <v>10684</v>
      </c>
    </row>
    <row r="27" spans="1:6" x14ac:dyDescent="0.25">
      <c r="A27" t="s">
        <v>23</v>
      </c>
      <c r="B27">
        <v>3713</v>
      </c>
      <c r="C27">
        <v>2548</v>
      </c>
      <c r="D27">
        <v>180</v>
      </c>
      <c r="E27">
        <v>924</v>
      </c>
      <c r="F27">
        <v>7365</v>
      </c>
    </row>
    <row r="28" spans="1:6" x14ac:dyDescent="0.25">
      <c r="A28" t="s">
        <v>24</v>
      </c>
      <c r="B28">
        <v>7159</v>
      </c>
      <c r="C28">
        <v>3122</v>
      </c>
      <c r="D28">
        <v>297</v>
      </c>
      <c r="E28">
        <v>2632</v>
      </c>
      <c r="F28">
        <v>13210</v>
      </c>
    </row>
    <row r="29" spans="1:6" x14ac:dyDescent="0.25">
      <c r="A29" t="s">
        <v>25</v>
      </c>
      <c r="B29">
        <v>9080</v>
      </c>
      <c r="C29">
        <v>5375</v>
      </c>
      <c r="D29">
        <v>440</v>
      </c>
      <c r="E29">
        <v>3646</v>
      </c>
      <c r="F29">
        <v>18541</v>
      </c>
    </row>
    <row r="30" spans="1:6" x14ac:dyDescent="0.25">
      <c r="A30" t="s">
        <v>26</v>
      </c>
      <c r="B30">
        <v>67503</v>
      </c>
      <c r="C30">
        <v>30326</v>
      </c>
      <c r="D30">
        <v>4860</v>
      </c>
      <c r="E30">
        <v>29138</v>
      </c>
      <c r="F30">
        <v>131827</v>
      </c>
    </row>
    <row r="31" spans="1:6" x14ac:dyDescent="0.25">
      <c r="A31" t="s">
        <v>27</v>
      </c>
      <c r="B31">
        <v>35538</v>
      </c>
      <c r="C31">
        <v>15195</v>
      </c>
      <c r="D31">
        <v>2127</v>
      </c>
      <c r="E31">
        <v>13982</v>
      </c>
      <c r="F31">
        <v>66842</v>
      </c>
    </row>
    <row r="32" spans="1:6" x14ac:dyDescent="0.25">
      <c r="A32" t="s">
        <v>28</v>
      </c>
      <c r="B32">
        <v>301313</v>
      </c>
      <c r="C32">
        <v>298179</v>
      </c>
      <c r="D32">
        <v>26942</v>
      </c>
      <c r="E32">
        <v>245591</v>
      </c>
      <c r="F32">
        <v>872025</v>
      </c>
    </row>
    <row r="33" spans="1:6" x14ac:dyDescent="0.25">
      <c r="A33" t="s">
        <v>29</v>
      </c>
      <c r="B33">
        <v>8079</v>
      </c>
      <c r="C33">
        <v>1585</v>
      </c>
      <c r="D33">
        <v>246</v>
      </c>
      <c r="E33">
        <v>1242</v>
      </c>
      <c r="F33">
        <v>11152</v>
      </c>
    </row>
    <row r="34" spans="1:6" x14ac:dyDescent="0.25">
      <c r="A34" t="s">
        <v>30</v>
      </c>
      <c r="B34">
        <v>59966</v>
      </c>
      <c r="C34">
        <v>25501</v>
      </c>
      <c r="D34">
        <v>4134</v>
      </c>
      <c r="E34">
        <v>23919</v>
      </c>
      <c r="F34">
        <v>113520</v>
      </c>
    </row>
    <row r="35" spans="1:6" x14ac:dyDescent="0.25">
      <c r="A35" t="s">
        <v>31</v>
      </c>
      <c r="B35">
        <v>15366</v>
      </c>
      <c r="C35">
        <v>7908</v>
      </c>
      <c r="D35">
        <v>501</v>
      </c>
      <c r="E35">
        <v>2542</v>
      </c>
      <c r="F35">
        <v>26317</v>
      </c>
    </row>
    <row r="36" spans="1:6" x14ac:dyDescent="0.25">
      <c r="A36" t="s">
        <v>32</v>
      </c>
      <c r="B36">
        <v>4528</v>
      </c>
      <c r="C36">
        <v>3836</v>
      </c>
      <c r="D36">
        <v>171</v>
      </c>
      <c r="E36">
        <v>1116</v>
      </c>
      <c r="F36">
        <v>9651</v>
      </c>
    </row>
    <row r="37" spans="1:6" x14ac:dyDescent="0.25">
      <c r="A37" t="s">
        <v>33</v>
      </c>
      <c r="B37">
        <v>3385</v>
      </c>
      <c r="C37">
        <v>673</v>
      </c>
      <c r="D37">
        <v>72</v>
      </c>
      <c r="E37">
        <v>311</v>
      </c>
      <c r="F37">
        <v>4441</v>
      </c>
    </row>
    <row r="38" spans="1:6" x14ac:dyDescent="0.25">
      <c r="A38" t="s">
        <v>34</v>
      </c>
      <c r="B38">
        <v>131558</v>
      </c>
      <c r="C38">
        <v>69742</v>
      </c>
      <c r="D38">
        <v>8898</v>
      </c>
      <c r="E38">
        <v>68802</v>
      </c>
      <c r="F38">
        <v>279000</v>
      </c>
    </row>
    <row r="39" spans="1:6" x14ac:dyDescent="0.25">
      <c r="A39" t="s">
        <v>35</v>
      </c>
      <c r="B39">
        <v>242207</v>
      </c>
      <c r="C39">
        <v>112081</v>
      </c>
      <c r="D39">
        <v>15196</v>
      </c>
      <c r="E39">
        <v>135822</v>
      </c>
      <c r="F39">
        <v>505306</v>
      </c>
    </row>
    <row r="40" spans="1:6" x14ac:dyDescent="0.25">
      <c r="A40" t="s">
        <v>36</v>
      </c>
      <c r="B40">
        <v>57399</v>
      </c>
      <c r="C40">
        <v>98139</v>
      </c>
      <c r="D40">
        <v>5510</v>
      </c>
      <c r="E40">
        <v>41738</v>
      </c>
      <c r="F40">
        <v>202786</v>
      </c>
    </row>
    <row r="41" spans="1:6" x14ac:dyDescent="0.25">
      <c r="A41" t="s">
        <v>37</v>
      </c>
      <c r="B41">
        <v>17624</v>
      </c>
      <c r="C41">
        <v>6040</v>
      </c>
      <c r="D41">
        <v>942</v>
      </c>
      <c r="E41">
        <v>3961</v>
      </c>
      <c r="F41">
        <v>28567</v>
      </c>
    </row>
    <row r="42" spans="1:6" x14ac:dyDescent="0.25">
      <c r="A42" t="s">
        <v>38</v>
      </c>
      <c r="B42">
        <v>2762</v>
      </c>
      <c r="C42">
        <v>1360</v>
      </c>
      <c r="D42">
        <v>20</v>
      </c>
      <c r="E42">
        <v>453</v>
      </c>
      <c r="F42">
        <v>4595</v>
      </c>
    </row>
    <row r="43" spans="1:6" x14ac:dyDescent="0.25">
      <c r="A43" t="s">
        <v>39</v>
      </c>
      <c r="B43">
        <v>5043</v>
      </c>
      <c r="C43">
        <v>3878</v>
      </c>
      <c r="D43">
        <v>124</v>
      </c>
      <c r="E43">
        <v>1141</v>
      </c>
      <c r="F43">
        <v>10186</v>
      </c>
    </row>
    <row r="44" spans="1:6" x14ac:dyDescent="0.25">
      <c r="A44" t="s">
        <v>40</v>
      </c>
      <c r="B44">
        <v>137343</v>
      </c>
      <c r="C44">
        <v>70529</v>
      </c>
      <c r="D44">
        <v>8594</v>
      </c>
      <c r="E44">
        <v>68038</v>
      </c>
      <c r="F44">
        <v>284504</v>
      </c>
    </row>
    <row r="45" spans="1:6" x14ac:dyDescent="0.25">
      <c r="A45" t="s">
        <v>41</v>
      </c>
      <c r="B45">
        <v>138634</v>
      </c>
      <c r="C45">
        <v>71898</v>
      </c>
      <c r="D45">
        <v>8974</v>
      </c>
      <c r="E45">
        <v>57007</v>
      </c>
      <c r="F45">
        <v>276513</v>
      </c>
    </row>
    <row r="46" spans="1:6" x14ac:dyDescent="0.25">
      <c r="A46" t="s">
        <v>42</v>
      </c>
      <c r="B46">
        <v>61184</v>
      </c>
      <c r="C46">
        <v>23821</v>
      </c>
      <c r="D46">
        <v>4226</v>
      </c>
      <c r="E46">
        <v>24060</v>
      </c>
      <c r="F46">
        <v>113291</v>
      </c>
    </row>
    <row r="47" spans="1:6" x14ac:dyDescent="0.25">
      <c r="A47" t="s">
        <v>43</v>
      </c>
      <c r="B47">
        <v>496241</v>
      </c>
      <c r="C47">
        <v>515761</v>
      </c>
      <c r="D47">
        <v>32719</v>
      </c>
      <c r="E47">
        <v>492317</v>
      </c>
      <c r="F47">
        <v>1537038</v>
      </c>
    </row>
    <row r="48" spans="1:6" x14ac:dyDescent="0.25">
      <c r="A48" t="s">
        <v>44</v>
      </c>
      <c r="B48">
        <v>24275</v>
      </c>
      <c r="C48">
        <v>14971</v>
      </c>
      <c r="D48">
        <v>1845</v>
      </c>
      <c r="E48">
        <v>12584</v>
      </c>
      <c r="F48">
        <v>53675</v>
      </c>
    </row>
    <row r="49" spans="1:6" x14ac:dyDescent="0.25">
      <c r="A49" t="s">
        <v>45</v>
      </c>
      <c r="B49">
        <v>47837</v>
      </c>
      <c r="C49">
        <v>13499</v>
      </c>
      <c r="D49">
        <v>2747</v>
      </c>
      <c r="E49">
        <v>14971</v>
      </c>
      <c r="F49">
        <v>79054</v>
      </c>
    </row>
    <row r="50" spans="1:6" x14ac:dyDescent="0.25">
      <c r="A50" t="s">
        <v>46</v>
      </c>
      <c r="B50">
        <v>88956</v>
      </c>
      <c r="C50">
        <v>26124</v>
      </c>
      <c r="D50">
        <v>5123</v>
      </c>
      <c r="E50">
        <v>35331</v>
      </c>
      <c r="F50">
        <v>155534</v>
      </c>
    </row>
    <row r="51" spans="1:6" x14ac:dyDescent="0.25">
      <c r="A51" t="s">
        <v>47</v>
      </c>
      <c r="B51">
        <v>12400</v>
      </c>
      <c r="C51">
        <v>4702</v>
      </c>
      <c r="D51">
        <v>729</v>
      </c>
      <c r="E51">
        <v>3525</v>
      </c>
      <c r="F51">
        <v>21356</v>
      </c>
    </row>
    <row r="52" spans="1:6" x14ac:dyDescent="0.25">
      <c r="A52" t="s">
        <v>48</v>
      </c>
      <c r="B52">
        <v>227118</v>
      </c>
      <c r="C52">
        <v>327750</v>
      </c>
      <c r="D52">
        <v>26611</v>
      </c>
      <c r="E52">
        <v>251899</v>
      </c>
      <c r="F52">
        <v>833378</v>
      </c>
    </row>
    <row r="53" spans="1:6" x14ac:dyDescent="0.25">
      <c r="A53" t="s">
        <v>49</v>
      </c>
      <c r="B53">
        <v>68477</v>
      </c>
      <c r="C53">
        <v>87737</v>
      </c>
      <c r="D53">
        <v>7612</v>
      </c>
      <c r="E53">
        <v>81741</v>
      </c>
      <c r="F53">
        <v>245567</v>
      </c>
    </row>
    <row r="54" spans="1:6" x14ac:dyDescent="0.25">
      <c r="A54" t="s">
        <v>50</v>
      </c>
      <c r="B54">
        <v>300471</v>
      </c>
      <c r="C54">
        <v>336179</v>
      </c>
      <c r="D54">
        <v>30963</v>
      </c>
      <c r="E54">
        <v>257821</v>
      </c>
      <c r="F54">
        <v>925434</v>
      </c>
    </row>
    <row r="55" spans="1:6" x14ac:dyDescent="0.25">
      <c r="A55" t="s">
        <v>51</v>
      </c>
      <c r="B55">
        <v>172481</v>
      </c>
      <c r="C55">
        <v>96228</v>
      </c>
      <c r="D55">
        <v>14363</v>
      </c>
      <c r="E55">
        <v>97423</v>
      </c>
      <c r="F55">
        <v>380495</v>
      </c>
    </row>
    <row r="56" spans="1:6" x14ac:dyDescent="0.25">
      <c r="A56" t="s">
        <v>52</v>
      </c>
      <c r="B56">
        <v>246189</v>
      </c>
      <c r="C56">
        <v>206438</v>
      </c>
      <c r="D56">
        <v>20160</v>
      </c>
      <c r="E56">
        <v>171899</v>
      </c>
      <c r="F56">
        <v>644686</v>
      </c>
    </row>
    <row r="57" spans="1:6" x14ac:dyDescent="0.25">
      <c r="A57" t="s">
        <v>53</v>
      </c>
      <c r="B57">
        <v>194524</v>
      </c>
      <c r="C57">
        <v>141551</v>
      </c>
      <c r="D57">
        <v>15512</v>
      </c>
      <c r="E57">
        <v>124655</v>
      </c>
      <c r="F57">
        <v>476242</v>
      </c>
    </row>
    <row r="58" spans="1:6" x14ac:dyDescent="0.25">
      <c r="A58" t="s">
        <v>54</v>
      </c>
      <c r="B58">
        <v>26309</v>
      </c>
      <c r="C58">
        <v>11846</v>
      </c>
      <c r="D58">
        <v>1261</v>
      </c>
      <c r="E58">
        <v>7995</v>
      </c>
      <c r="F58">
        <v>47411</v>
      </c>
    </row>
    <row r="59" spans="1:6" x14ac:dyDescent="0.25">
      <c r="A59" t="s">
        <v>55</v>
      </c>
      <c r="B59">
        <v>92396</v>
      </c>
      <c r="C59">
        <v>22288</v>
      </c>
      <c r="D59">
        <v>4824</v>
      </c>
      <c r="E59">
        <v>29388</v>
      </c>
      <c r="F59">
        <v>148896</v>
      </c>
    </row>
    <row r="60" spans="1:6" x14ac:dyDescent="0.25">
      <c r="A60" t="s">
        <v>56</v>
      </c>
      <c r="B60">
        <v>160485</v>
      </c>
      <c r="C60">
        <v>85682</v>
      </c>
      <c r="D60">
        <v>9897</v>
      </c>
      <c r="E60">
        <v>79885</v>
      </c>
      <c r="F60">
        <v>335949</v>
      </c>
    </row>
    <row r="61" spans="1:6" x14ac:dyDescent="0.25">
      <c r="A61" t="s">
        <v>57</v>
      </c>
      <c r="B61">
        <v>123363</v>
      </c>
      <c r="C61">
        <v>112465</v>
      </c>
      <c r="D61">
        <v>11965</v>
      </c>
      <c r="E61">
        <v>105081</v>
      </c>
      <c r="F61">
        <v>352874</v>
      </c>
    </row>
    <row r="62" spans="1:6" x14ac:dyDescent="0.25">
      <c r="A62" t="s">
        <v>58</v>
      </c>
      <c r="B62">
        <v>131555</v>
      </c>
      <c r="C62">
        <v>49812</v>
      </c>
      <c r="D62">
        <v>6878</v>
      </c>
      <c r="E62">
        <v>51177</v>
      </c>
      <c r="F62">
        <v>239422</v>
      </c>
    </row>
    <row r="63" spans="1:6" x14ac:dyDescent="0.25">
      <c r="A63" t="s">
        <v>59</v>
      </c>
      <c r="B63">
        <v>92827</v>
      </c>
      <c r="C63">
        <v>84232</v>
      </c>
      <c r="D63">
        <v>9404</v>
      </c>
      <c r="E63">
        <v>61842</v>
      </c>
      <c r="F63">
        <v>248305</v>
      </c>
    </row>
    <row r="64" spans="1:6" x14ac:dyDescent="0.25">
      <c r="A64" t="s">
        <v>60</v>
      </c>
      <c r="B64">
        <v>75042</v>
      </c>
      <c r="C64">
        <v>24531</v>
      </c>
      <c r="D64">
        <v>2880</v>
      </c>
      <c r="E64">
        <v>25746</v>
      </c>
      <c r="F64">
        <v>128199</v>
      </c>
    </row>
    <row r="65" spans="1:6" x14ac:dyDescent="0.25">
      <c r="A65" t="s">
        <v>61</v>
      </c>
      <c r="B65">
        <v>17193</v>
      </c>
      <c r="C65">
        <v>5752</v>
      </c>
      <c r="D65">
        <v>776</v>
      </c>
      <c r="E65">
        <v>4008</v>
      </c>
      <c r="F65">
        <v>27729</v>
      </c>
    </row>
    <row r="66" spans="1:6" x14ac:dyDescent="0.25">
      <c r="A66" t="s">
        <v>62</v>
      </c>
      <c r="B66">
        <v>7328</v>
      </c>
      <c r="C66">
        <v>2902</v>
      </c>
      <c r="D66">
        <v>218</v>
      </c>
      <c r="E66">
        <v>935</v>
      </c>
      <c r="F66">
        <v>11383</v>
      </c>
    </row>
    <row r="67" spans="1:6" x14ac:dyDescent="0.25">
      <c r="A67" t="s">
        <v>63</v>
      </c>
      <c r="B67">
        <v>4822</v>
      </c>
      <c r="C67">
        <v>1531</v>
      </c>
      <c r="D67">
        <v>129</v>
      </c>
      <c r="E67">
        <v>617</v>
      </c>
      <c r="F67">
        <v>7099</v>
      </c>
    </row>
    <row r="68" spans="1:6" x14ac:dyDescent="0.25">
      <c r="A68" t="s">
        <v>64</v>
      </c>
      <c r="B68">
        <v>169819</v>
      </c>
      <c r="C68">
        <v>109563</v>
      </c>
      <c r="D68">
        <v>14266</v>
      </c>
      <c r="E68">
        <v>106399</v>
      </c>
      <c r="F68">
        <v>400047</v>
      </c>
    </row>
    <row r="69" spans="1:6" x14ac:dyDescent="0.25">
      <c r="A69" t="s">
        <v>65</v>
      </c>
      <c r="B69">
        <v>13342</v>
      </c>
      <c r="C69">
        <v>6288</v>
      </c>
      <c r="D69">
        <v>765</v>
      </c>
      <c r="E69">
        <v>4077</v>
      </c>
      <c r="F69">
        <v>24472</v>
      </c>
    </row>
    <row r="70" spans="1:6" x14ac:dyDescent="0.25">
      <c r="A70" t="s">
        <v>66</v>
      </c>
      <c r="B70">
        <v>41385</v>
      </c>
      <c r="C70">
        <v>7968</v>
      </c>
      <c r="D70">
        <v>1970</v>
      </c>
      <c r="E70">
        <v>10717</v>
      </c>
      <c r="F70">
        <v>62040</v>
      </c>
    </row>
    <row r="71" spans="1:6" x14ac:dyDescent="0.25">
      <c r="A71" t="s">
        <v>67</v>
      </c>
      <c r="B71">
        <v>10203</v>
      </c>
      <c r="C71">
        <v>2884</v>
      </c>
      <c r="D71">
        <v>316</v>
      </c>
      <c r="E71">
        <v>1909</v>
      </c>
      <c r="F71">
        <v>15312</v>
      </c>
    </row>
    <row r="72" spans="1:6" x14ac:dyDescent="0.25">
      <c r="A72" s="11" t="s">
        <v>0</v>
      </c>
      <c r="B72">
        <v>5635771</v>
      </c>
      <c r="C72">
        <v>4424888</v>
      </c>
      <c r="D72">
        <v>429068</v>
      </c>
      <c r="E72">
        <v>3690537</v>
      </c>
      <c r="F72">
        <v>14180264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2"/>
  <sheetViews>
    <sheetView zoomScaleNormal="100" workbookViewId="0">
      <selection sqref="A1:F1"/>
    </sheetView>
  </sheetViews>
  <sheetFormatPr defaultColWidth="15.7109375"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72</v>
      </c>
      <c r="B1" s="27"/>
      <c r="C1" s="27"/>
      <c r="D1" s="27"/>
      <c r="E1" s="27"/>
      <c r="F1" s="28"/>
    </row>
    <row r="2" spans="1:6" ht="15" customHeight="1" x14ac:dyDescent="0.25">
      <c r="A2" s="20" t="s">
        <v>172</v>
      </c>
      <c r="B2" s="21"/>
      <c r="C2" s="21"/>
      <c r="D2" s="21"/>
      <c r="E2" s="21"/>
      <c r="F2" s="22"/>
    </row>
    <row r="3" spans="1:6" ht="15" customHeight="1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49572</v>
      </c>
      <c r="C5">
        <v>78146</v>
      </c>
      <c r="D5">
        <v>5104</v>
      </c>
      <c r="E5">
        <v>40941</v>
      </c>
      <c r="F5">
        <v>173763</v>
      </c>
    </row>
    <row r="6" spans="1:6" ht="15" customHeight="1" x14ac:dyDescent="0.25">
      <c r="A6" t="s">
        <v>2</v>
      </c>
      <c r="B6">
        <v>13004</v>
      </c>
      <c r="C6">
        <v>3573</v>
      </c>
      <c r="D6">
        <v>419</v>
      </c>
      <c r="E6">
        <v>2419</v>
      </c>
      <c r="F6">
        <v>19415</v>
      </c>
    </row>
    <row r="7" spans="1:6" ht="15" customHeight="1" x14ac:dyDescent="0.25">
      <c r="A7" t="s">
        <v>3</v>
      </c>
      <c r="B7">
        <v>76522</v>
      </c>
      <c r="C7">
        <v>26345</v>
      </c>
      <c r="D7">
        <v>4703</v>
      </c>
      <c r="E7">
        <v>28309</v>
      </c>
      <c r="F7">
        <v>135879</v>
      </c>
    </row>
    <row r="8" spans="1:6" ht="15" customHeight="1" x14ac:dyDescent="0.25">
      <c r="A8" t="s">
        <v>4</v>
      </c>
      <c r="B8">
        <v>11174</v>
      </c>
      <c r="C8">
        <v>4239</v>
      </c>
      <c r="D8">
        <v>405</v>
      </c>
      <c r="E8">
        <v>2633</v>
      </c>
      <c r="F8">
        <v>18451</v>
      </c>
    </row>
    <row r="9" spans="1:6" ht="15" customHeight="1" x14ac:dyDescent="0.25">
      <c r="A9" t="s">
        <v>5</v>
      </c>
      <c r="B9">
        <v>204555</v>
      </c>
      <c r="C9">
        <v>116395</v>
      </c>
      <c r="D9">
        <v>16558</v>
      </c>
      <c r="E9">
        <v>113427</v>
      </c>
      <c r="F9">
        <v>450935</v>
      </c>
    </row>
    <row r="10" spans="1:6" ht="15" customHeight="1" x14ac:dyDescent="0.25">
      <c r="A10" t="s">
        <v>6</v>
      </c>
      <c r="B10">
        <v>279154</v>
      </c>
      <c r="C10">
        <v>521669</v>
      </c>
      <c r="D10">
        <v>28741</v>
      </c>
      <c r="E10">
        <v>352237</v>
      </c>
      <c r="F10">
        <v>1181801</v>
      </c>
    </row>
    <row r="11" spans="1:6" ht="15" customHeight="1" x14ac:dyDescent="0.25">
      <c r="A11" t="s">
        <v>7</v>
      </c>
      <c r="B11">
        <v>4697</v>
      </c>
      <c r="C11">
        <v>1967</v>
      </c>
      <c r="D11">
        <v>85</v>
      </c>
      <c r="E11">
        <v>731</v>
      </c>
      <c r="F11">
        <v>7480</v>
      </c>
    </row>
    <row r="12" spans="1:6" ht="15" customHeight="1" x14ac:dyDescent="0.25">
      <c r="A12" t="s">
        <v>8</v>
      </c>
      <c r="B12">
        <v>76657</v>
      </c>
      <c r="C12">
        <v>28530</v>
      </c>
      <c r="D12">
        <v>5498</v>
      </c>
      <c r="E12">
        <v>32450</v>
      </c>
      <c r="F12">
        <v>143135</v>
      </c>
    </row>
    <row r="13" spans="1:6" ht="15" customHeight="1" x14ac:dyDescent="0.25">
      <c r="A13" t="s">
        <v>9</v>
      </c>
      <c r="B13">
        <v>67100</v>
      </c>
      <c r="C13">
        <v>20639</v>
      </c>
      <c r="D13">
        <v>4085</v>
      </c>
      <c r="E13">
        <v>22339</v>
      </c>
      <c r="F13">
        <v>114163</v>
      </c>
    </row>
    <row r="14" spans="1:6" ht="15" customHeight="1" x14ac:dyDescent="0.25">
      <c r="A14" t="s">
        <v>10</v>
      </c>
      <c r="B14">
        <v>89360</v>
      </c>
      <c r="C14">
        <v>32154</v>
      </c>
      <c r="D14">
        <v>5281</v>
      </c>
      <c r="E14">
        <v>32852</v>
      </c>
      <c r="F14">
        <v>159647</v>
      </c>
    </row>
    <row r="15" spans="1:6" ht="15" customHeight="1" x14ac:dyDescent="0.25">
      <c r="A15" t="s">
        <v>11</v>
      </c>
      <c r="B15">
        <v>141751</v>
      </c>
      <c r="C15">
        <v>49910</v>
      </c>
      <c r="D15">
        <v>7188</v>
      </c>
      <c r="E15">
        <v>57783</v>
      </c>
      <c r="F15">
        <v>256632</v>
      </c>
    </row>
    <row r="16" spans="1:6" ht="15" customHeight="1" x14ac:dyDescent="0.25">
      <c r="A16" t="s">
        <v>12</v>
      </c>
      <c r="B16">
        <v>24765</v>
      </c>
      <c r="C16">
        <v>10410</v>
      </c>
      <c r="D16">
        <v>1205</v>
      </c>
      <c r="E16">
        <v>7170</v>
      </c>
      <c r="F16">
        <v>43550</v>
      </c>
    </row>
    <row r="17" spans="1:6" ht="15" customHeight="1" x14ac:dyDescent="0.25">
      <c r="A17" t="s">
        <v>13</v>
      </c>
      <c r="B17">
        <v>9174</v>
      </c>
      <c r="C17">
        <v>5636</v>
      </c>
      <c r="D17">
        <v>478</v>
      </c>
      <c r="E17">
        <v>4646</v>
      </c>
      <c r="F17">
        <v>19934</v>
      </c>
    </row>
    <row r="18" spans="1:6" ht="15" customHeight="1" x14ac:dyDescent="0.25">
      <c r="A18" t="s">
        <v>14</v>
      </c>
      <c r="B18">
        <v>7166</v>
      </c>
      <c r="C18">
        <v>2160</v>
      </c>
      <c r="D18">
        <v>244</v>
      </c>
      <c r="E18">
        <v>1765</v>
      </c>
      <c r="F18">
        <v>11335</v>
      </c>
    </row>
    <row r="19" spans="1:6" ht="15" customHeight="1" x14ac:dyDescent="0.25">
      <c r="A19" t="s">
        <v>15</v>
      </c>
      <c r="B19">
        <v>239335</v>
      </c>
      <c r="C19">
        <v>249544</v>
      </c>
      <c r="D19">
        <v>21195</v>
      </c>
      <c r="E19">
        <v>147071</v>
      </c>
      <c r="F19">
        <v>657145</v>
      </c>
    </row>
    <row r="20" spans="1:6" ht="15" customHeight="1" x14ac:dyDescent="0.25">
      <c r="A20" t="s">
        <v>16</v>
      </c>
      <c r="B20">
        <v>103680</v>
      </c>
      <c r="C20">
        <v>66040</v>
      </c>
      <c r="D20">
        <v>6791</v>
      </c>
      <c r="E20">
        <v>46168</v>
      </c>
      <c r="F20">
        <v>222679</v>
      </c>
    </row>
    <row r="21" spans="1:6" ht="15" customHeight="1" x14ac:dyDescent="0.25">
      <c r="A21" t="s">
        <v>17</v>
      </c>
      <c r="B21">
        <v>49478</v>
      </c>
      <c r="C21">
        <v>24392</v>
      </c>
      <c r="D21">
        <v>3624</v>
      </c>
      <c r="E21">
        <v>22635</v>
      </c>
      <c r="F21">
        <v>100129</v>
      </c>
    </row>
    <row r="22" spans="1:6" ht="15" customHeight="1" x14ac:dyDescent="0.25">
      <c r="A22" t="s">
        <v>18</v>
      </c>
      <c r="B22">
        <v>4014</v>
      </c>
      <c r="C22">
        <v>2258</v>
      </c>
      <c r="D22">
        <v>264</v>
      </c>
      <c r="E22">
        <v>1087</v>
      </c>
      <c r="F22">
        <v>7623</v>
      </c>
    </row>
    <row r="23" spans="1:6" ht="15" customHeight="1" x14ac:dyDescent="0.25">
      <c r="A23" t="s">
        <v>19</v>
      </c>
      <c r="B23">
        <v>5654</v>
      </c>
      <c r="C23">
        <v>17439</v>
      </c>
      <c r="D23">
        <v>414</v>
      </c>
      <c r="E23">
        <v>2682</v>
      </c>
      <c r="F23">
        <v>26189</v>
      </c>
    </row>
    <row r="24" spans="1:6" ht="15" customHeight="1" x14ac:dyDescent="0.25">
      <c r="A24" t="s">
        <v>20</v>
      </c>
      <c r="B24">
        <v>8793</v>
      </c>
      <c r="C24">
        <v>1777</v>
      </c>
      <c r="D24">
        <v>388</v>
      </c>
      <c r="E24">
        <v>1562</v>
      </c>
      <c r="F24">
        <v>12520</v>
      </c>
    </row>
    <row r="25" spans="1:6" ht="15" customHeight="1" x14ac:dyDescent="0.25">
      <c r="A25" t="s">
        <v>21</v>
      </c>
      <c r="B25">
        <v>3876</v>
      </c>
      <c r="C25">
        <v>1385</v>
      </c>
      <c r="D25">
        <v>176</v>
      </c>
      <c r="E25">
        <v>1026</v>
      </c>
      <c r="F25">
        <v>6463</v>
      </c>
    </row>
    <row r="26" spans="1:6" ht="15" customHeight="1" x14ac:dyDescent="0.25">
      <c r="A26" t="s">
        <v>22</v>
      </c>
      <c r="B26">
        <v>6784</v>
      </c>
      <c r="C26">
        <v>2363</v>
      </c>
      <c r="D26">
        <v>321</v>
      </c>
      <c r="E26">
        <v>1257</v>
      </c>
      <c r="F26">
        <v>10725</v>
      </c>
    </row>
    <row r="27" spans="1:6" ht="15" customHeight="1" x14ac:dyDescent="0.25">
      <c r="A27" t="s">
        <v>23</v>
      </c>
      <c r="B27">
        <v>3548</v>
      </c>
      <c r="C27">
        <v>2306</v>
      </c>
      <c r="D27">
        <v>166</v>
      </c>
      <c r="E27">
        <v>754</v>
      </c>
      <c r="F27">
        <v>6774</v>
      </c>
    </row>
    <row r="28" spans="1:6" ht="15" customHeight="1" x14ac:dyDescent="0.25">
      <c r="A28" t="s">
        <v>24</v>
      </c>
      <c r="B28">
        <v>6953</v>
      </c>
      <c r="C28">
        <v>2915</v>
      </c>
      <c r="D28">
        <v>304</v>
      </c>
      <c r="E28">
        <v>2405</v>
      </c>
      <c r="F28">
        <v>12577</v>
      </c>
    </row>
    <row r="29" spans="1:6" ht="15" customHeight="1" x14ac:dyDescent="0.25">
      <c r="A29" t="s">
        <v>25</v>
      </c>
      <c r="B29">
        <v>9143</v>
      </c>
      <c r="C29">
        <v>5389</v>
      </c>
      <c r="D29">
        <v>444</v>
      </c>
      <c r="E29">
        <v>3679</v>
      </c>
      <c r="F29">
        <v>18655</v>
      </c>
    </row>
    <row r="30" spans="1:6" ht="15" customHeight="1" x14ac:dyDescent="0.25">
      <c r="A30" t="s">
        <v>26</v>
      </c>
      <c r="B30">
        <v>67756</v>
      </c>
      <c r="C30">
        <v>30295</v>
      </c>
      <c r="D30">
        <v>4914</v>
      </c>
      <c r="E30">
        <v>29193</v>
      </c>
      <c r="F30">
        <v>132158</v>
      </c>
    </row>
    <row r="31" spans="1:6" ht="15" customHeight="1" x14ac:dyDescent="0.25">
      <c r="A31" t="s">
        <v>27</v>
      </c>
      <c r="B31">
        <v>35404</v>
      </c>
      <c r="C31">
        <v>14995</v>
      </c>
      <c r="D31">
        <v>2167</v>
      </c>
      <c r="E31">
        <v>13815</v>
      </c>
      <c r="F31">
        <v>66381</v>
      </c>
    </row>
    <row r="32" spans="1:6" ht="15" customHeight="1" x14ac:dyDescent="0.25">
      <c r="A32" t="s">
        <v>28</v>
      </c>
      <c r="B32">
        <v>285929</v>
      </c>
      <c r="C32">
        <v>268826</v>
      </c>
      <c r="D32">
        <v>25307</v>
      </c>
      <c r="E32">
        <v>210801</v>
      </c>
      <c r="F32">
        <v>790863</v>
      </c>
    </row>
    <row r="33" spans="1:6" ht="15" customHeight="1" x14ac:dyDescent="0.25">
      <c r="A33" t="s">
        <v>29</v>
      </c>
      <c r="B33">
        <v>7971</v>
      </c>
      <c r="C33">
        <v>1558</v>
      </c>
      <c r="D33">
        <v>238</v>
      </c>
      <c r="E33">
        <v>1153</v>
      </c>
      <c r="F33">
        <v>10920</v>
      </c>
    </row>
    <row r="34" spans="1:6" ht="15" customHeight="1" x14ac:dyDescent="0.25">
      <c r="A34" t="s">
        <v>30</v>
      </c>
      <c r="B34">
        <v>59984</v>
      </c>
      <c r="C34">
        <v>25492</v>
      </c>
      <c r="D34">
        <v>4168</v>
      </c>
      <c r="E34">
        <v>23922</v>
      </c>
      <c r="F34">
        <v>113566</v>
      </c>
    </row>
    <row r="35" spans="1:6" ht="15" customHeight="1" x14ac:dyDescent="0.25">
      <c r="A35" t="s">
        <v>31</v>
      </c>
      <c r="B35">
        <v>15357</v>
      </c>
      <c r="C35">
        <v>7911</v>
      </c>
      <c r="D35">
        <v>506</v>
      </c>
      <c r="E35">
        <v>2560</v>
      </c>
      <c r="F35">
        <v>26334</v>
      </c>
    </row>
    <row r="36" spans="1:6" ht="15" customHeight="1" x14ac:dyDescent="0.25">
      <c r="A36" t="s">
        <v>32</v>
      </c>
      <c r="B36">
        <v>4530</v>
      </c>
      <c r="C36">
        <v>3831</v>
      </c>
      <c r="D36">
        <v>171</v>
      </c>
      <c r="E36">
        <v>1133</v>
      </c>
      <c r="F36">
        <v>9665</v>
      </c>
    </row>
    <row r="37" spans="1:6" ht="15" customHeight="1" x14ac:dyDescent="0.25">
      <c r="A37" t="s">
        <v>33</v>
      </c>
      <c r="B37">
        <v>3387</v>
      </c>
      <c r="C37">
        <v>671</v>
      </c>
      <c r="D37">
        <v>73</v>
      </c>
      <c r="E37">
        <v>313</v>
      </c>
      <c r="F37">
        <v>4444</v>
      </c>
    </row>
    <row r="38" spans="1:6" ht="15" customHeight="1" x14ac:dyDescent="0.25">
      <c r="A38" t="s">
        <v>34</v>
      </c>
      <c r="B38">
        <v>131901</v>
      </c>
      <c r="C38">
        <v>69886</v>
      </c>
      <c r="D38">
        <v>8999</v>
      </c>
      <c r="E38">
        <v>68974</v>
      </c>
      <c r="F38">
        <v>279760</v>
      </c>
    </row>
    <row r="39" spans="1:6" ht="15" customHeight="1" x14ac:dyDescent="0.25">
      <c r="A39" t="s">
        <v>35</v>
      </c>
      <c r="B39">
        <v>242516</v>
      </c>
      <c r="C39">
        <v>112004</v>
      </c>
      <c r="D39">
        <v>15371</v>
      </c>
      <c r="E39">
        <v>135800</v>
      </c>
      <c r="F39">
        <v>505691</v>
      </c>
    </row>
    <row r="40" spans="1:6" ht="15" customHeight="1" x14ac:dyDescent="0.25">
      <c r="A40" t="s">
        <v>36</v>
      </c>
      <c r="B40">
        <v>57436</v>
      </c>
      <c r="C40">
        <v>98054</v>
      </c>
      <c r="D40">
        <v>5564</v>
      </c>
      <c r="E40">
        <v>41822</v>
      </c>
      <c r="F40">
        <v>202876</v>
      </c>
    </row>
    <row r="41" spans="1:6" ht="15" customHeight="1" x14ac:dyDescent="0.25">
      <c r="A41" t="s">
        <v>37</v>
      </c>
      <c r="B41">
        <v>17727</v>
      </c>
      <c r="C41">
        <v>6062</v>
      </c>
      <c r="D41">
        <v>962</v>
      </c>
      <c r="E41">
        <v>3993</v>
      </c>
      <c r="F41">
        <v>28744</v>
      </c>
    </row>
    <row r="42" spans="1:6" ht="15" customHeight="1" x14ac:dyDescent="0.25">
      <c r="A42" t="s">
        <v>38</v>
      </c>
      <c r="B42">
        <v>2781</v>
      </c>
      <c r="C42">
        <v>1228</v>
      </c>
      <c r="D42">
        <v>20</v>
      </c>
      <c r="E42">
        <v>448</v>
      </c>
      <c r="F42">
        <v>4477</v>
      </c>
    </row>
    <row r="43" spans="1:6" ht="15" customHeight="1" x14ac:dyDescent="0.25">
      <c r="A43" t="s">
        <v>39</v>
      </c>
      <c r="B43">
        <v>5063</v>
      </c>
      <c r="C43">
        <v>3900</v>
      </c>
      <c r="D43">
        <v>124</v>
      </c>
      <c r="E43">
        <v>1153</v>
      </c>
      <c r="F43">
        <v>10240</v>
      </c>
    </row>
    <row r="44" spans="1:6" ht="15" customHeight="1" x14ac:dyDescent="0.25">
      <c r="A44" t="s">
        <v>40</v>
      </c>
      <c r="B44">
        <v>132530</v>
      </c>
      <c r="C44">
        <v>65082</v>
      </c>
      <c r="D44">
        <v>8273</v>
      </c>
      <c r="E44">
        <v>61563</v>
      </c>
      <c r="F44">
        <v>267448</v>
      </c>
    </row>
    <row r="45" spans="1:6" ht="15" customHeight="1" x14ac:dyDescent="0.25">
      <c r="A45" t="s">
        <v>41</v>
      </c>
      <c r="B45">
        <v>138239</v>
      </c>
      <c r="C45">
        <v>71244</v>
      </c>
      <c r="D45">
        <v>9042</v>
      </c>
      <c r="E45">
        <v>56298</v>
      </c>
      <c r="F45">
        <v>274823</v>
      </c>
    </row>
    <row r="46" spans="1:6" ht="15" customHeight="1" x14ac:dyDescent="0.25">
      <c r="A46" t="s">
        <v>42</v>
      </c>
      <c r="B46">
        <v>60997</v>
      </c>
      <c r="C46">
        <v>23669</v>
      </c>
      <c r="D46">
        <v>4254</v>
      </c>
      <c r="E46">
        <v>23955</v>
      </c>
      <c r="F46">
        <v>112875</v>
      </c>
    </row>
    <row r="47" spans="1:6" ht="15" customHeight="1" x14ac:dyDescent="0.25">
      <c r="A47" t="s">
        <v>43</v>
      </c>
      <c r="B47">
        <v>496796</v>
      </c>
      <c r="C47">
        <v>514814</v>
      </c>
      <c r="D47">
        <v>33042</v>
      </c>
      <c r="E47">
        <v>492960</v>
      </c>
      <c r="F47">
        <v>1537612</v>
      </c>
    </row>
    <row r="48" spans="1:6" ht="15" customHeight="1" x14ac:dyDescent="0.25">
      <c r="A48" t="s">
        <v>44</v>
      </c>
      <c r="B48">
        <v>24262</v>
      </c>
      <c r="C48">
        <v>14915</v>
      </c>
      <c r="D48">
        <v>1860</v>
      </c>
      <c r="E48">
        <v>12548</v>
      </c>
      <c r="F48">
        <v>53585</v>
      </c>
    </row>
    <row r="49" spans="1:6" ht="15" customHeight="1" x14ac:dyDescent="0.25">
      <c r="A49" t="s">
        <v>45</v>
      </c>
      <c r="B49">
        <v>47911</v>
      </c>
      <c r="C49">
        <v>13482</v>
      </c>
      <c r="D49">
        <v>2778</v>
      </c>
      <c r="E49">
        <v>14944</v>
      </c>
      <c r="F49">
        <v>79115</v>
      </c>
    </row>
    <row r="50" spans="1:6" ht="15" customHeight="1" x14ac:dyDescent="0.25">
      <c r="A50" t="s">
        <v>46</v>
      </c>
      <c r="B50">
        <v>88607</v>
      </c>
      <c r="C50">
        <v>25804</v>
      </c>
      <c r="D50">
        <v>5163</v>
      </c>
      <c r="E50">
        <v>34661</v>
      </c>
      <c r="F50">
        <v>154235</v>
      </c>
    </row>
    <row r="51" spans="1:6" ht="15" customHeight="1" x14ac:dyDescent="0.25">
      <c r="A51" t="s">
        <v>47</v>
      </c>
      <c r="B51">
        <v>11890</v>
      </c>
      <c r="C51">
        <v>4272</v>
      </c>
      <c r="D51">
        <v>695</v>
      </c>
      <c r="E51">
        <v>3048</v>
      </c>
      <c r="F51">
        <v>19905</v>
      </c>
    </row>
    <row r="52" spans="1:6" ht="15" customHeight="1" x14ac:dyDescent="0.25">
      <c r="A52" t="s">
        <v>48</v>
      </c>
      <c r="B52">
        <v>223904</v>
      </c>
      <c r="C52">
        <v>319699</v>
      </c>
      <c r="D52">
        <v>26076</v>
      </c>
      <c r="E52">
        <v>244706</v>
      </c>
      <c r="F52">
        <v>814385</v>
      </c>
    </row>
    <row r="53" spans="1:6" ht="15" customHeight="1" x14ac:dyDescent="0.25">
      <c r="A53" t="s">
        <v>49</v>
      </c>
      <c r="B53">
        <v>68832</v>
      </c>
      <c r="C53">
        <v>87699</v>
      </c>
      <c r="D53">
        <v>7811</v>
      </c>
      <c r="E53">
        <v>81843</v>
      </c>
      <c r="F53">
        <v>246185</v>
      </c>
    </row>
    <row r="54" spans="1:6" ht="15" customHeight="1" x14ac:dyDescent="0.25">
      <c r="A54" t="s">
        <v>50</v>
      </c>
      <c r="B54">
        <v>296028</v>
      </c>
      <c r="C54">
        <v>328909</v>
      </c>
      <c r="D54">
        <v>30490</v>
      </c>
      <c r="E54">
        <v>251954</v>
      </c>
      <c r="F54">
        <v>907381</v>
      </c>
    </row>
    <row r="55" spans="1:6" ht="15" customHeight="1" x14ac:dyDescent="0.25">
      <c r="A55" t="s">
        <v>51</v>
      </c>
      <c r="B55">
        <v>172322</v>
      </c>
      <c r="C55">
        <v>95955</v>
      </c>
      <c r="D55">
        <v>14505</v>
      </c>
      <c r="E55">
        <v>97419</v>
      </c>
      <c r="F55">
        <v>380201</v>
      </c>
    </row>
    <row r="56" spans="1:6" ht="15" customHeight="1" x14ac:dyDescent="0.25">
      <c r="A56" t="s">
        <v>52</v>
      </c>
      <c r="B56">
        <v>233503</v>
      </c>
      <c r="C56">
        <v>190132</v>
      </c>
      <c r="D56">
        <v>19023</v>
      </c>
      <c r="E56">
        <v>150779</v>
      </c>
      <c r="F56">
        <v>593437</v>
      </c>
    </row>
    <row r="57" spans="1:6" ht="15" customHeight="1" x14ac:dyDescent="0.25">
      <c r="A57" t="s">
        <v>53</v>
      </c>
      <c r="B57">
        <v>181163</v>
      </c>
      <c r="C57">
        <v>123756</v>
      </c>
      <c r="D57">
        <v>14372</v>
      </c>
      <c r="E57">
        <v>101319</v>
      </c>
      <c r="F57">
        <v>420610</v>
      </c>
    </row>
    <row r="58" spans="1:6" ht="15" customHeight="1" x14ac:dyDescent="0.25">
      <c r="A58" t="s">
        <v>54</v>
      </c>
      <c r="B58">
        <v>26224</v>
      </c>
      <c r="C58">
        <v>11746</v>
      </c>
      <c r="D58">
        <v>1258</v>
      </c>
      <c r="E58">
        <v>7935</v>
      </c>
      <c r="F58">
        <v>47163</v>
      </c>
    </row>
    <row r="59" spans="1:6" ht="15" customHeight="1" x14ac:dyDescent="0.25">
      <c r="A59" t="s">
        <v>55</v>
      </c>
      <c r="B59">
        <v>92589</v>
      </c>
      <c r="C59">
        <v>22292</v>
      </c>
      <c r="D59">
        <v>4873</v>
      </c>
      <c r="E59">
        <v>29456</v>
      </c>
      <c r="F59">
        <v>149210</v>
      </c>
    </row>
    <row r="60" spans="1:6" ht="15" customHeight="1" x14ac:dyDescent="0.25">
      <c r="A60" t="s">
        <v>56</v>
      </c>
      <c r="B60">
        <v>160886</v>
      </c>
      <c r="C60">
        <v>85666</v>
      </c>
      <c r="D60">
        <v>10036</v>
      </c>
      <c r="E60">
        <v>79982</v>
      </c>
      <c r="F60">
        <v>336570</v>
      </c>
    </row>
    <row r="61" spans="1:6" ht="15" customHeight="1" x14ac:dyDescent="0.25">
      <c r="A61" t="s">
        <v>57</v>
      </c>
      <c r="B61">
        <v>123604</v>
      </c>
      <c r="C61">
        <v>112550</v>
      </c>
      <c r="D61">
        <v>12108</v>
      </c>
      <c r="E61">
        <v>105278</v>
      </c>
      <c r="F61">
        <v>353540</v>
      </c>
    </row>
    <row r="62" spans="1:6" ht="15" customHeight="1" x14ac:dyDescent="0.25">
      <c r="A62" t="s">
        <v>58</v>
      </c>
      <c r="B62">
        <v>131371</v>
      </c>
      <c r="C62">
        <v>49629</v>
      </c>
      <c r="D62">
        <v>6850</v>
      </c>
      <c r="E62">
        <v>51084</v>
      </c>
      <c r="F62">
        <v>238934</v>
      </c>
    </row>
    <row r="63" spans="1:6" ht="15" customHeight="1" x14ac:dyDescent="0.25">
      <c r="A63" t="s">
        <v>59</v>
      </c>
      <c r="B63">
        <v>93278</v>
      </c>
      <c r="C63">
        <v>84356</v>
      </c>
      <c r="D63">
        <v>9111</v>
      </c>
      <c r="E63">
        <v>62385</v>
      </c>
      <c r="F63">
        <v>249130</v>
      </c>
    </row>
    <row r="64" spans="1:6" ht="15" customHeight="1" x14ac:dyDescent="0.25">
      <c r="A64" t="s">
        <v>60</v>
      </c>
      <c r="B64">
        <v>75428</v>
      </c>
      <c r="C64">
        <v>24577</v>
      </c>
      <c r="D64">
        <v>2933</v>
      </c>
      <c r="E64">
        <v>25925</v>
      </c>
      <c r="F64">
        <v>128863</v>
      </c>
    </row>
    <row r="65" spans="1:6" ht="15" customHeight="1" x14ac:dyDescent="0.25">
      <c r="A65" t="s">
        <v>61</v>
      </c>
      <c r="B65">
        <v>17014</v>
      </c>
      <c r="C65">
        <v>5629</v>
      </c>
      <c r="D65">
        <v>780</v>
      </c>
      <c r="E65">
        <v>3896</v>
      </c>
      <c r="F65">
        <v>27319</v>
      </c>
    </row>
    <row r="66" spans="1:6" ht="15" customHeight="1" x14ac:dyDescent="0.25">
      <c r="A66" t="s">
        <v>62</v>
      </c>
      <c r="B66">
        <v>7340</v>
      </c>
      <c r="C66">
        <v>2905</v>
      </c>
      <c r="D66">
        <v>219</v>
      </c>
      <c r="E66">
        <v>941</v>
      </c>
      <c r="F66">
        <v>11405</v>
      </c>
    </row>
    <row r="67" spans="1:6" ht="15" customHeight="1" x14ac:dyDescent="0.25">
      <c r="A67" t="s">
        <v>63</v>
      </c>
      <c r="B67">
        <v>4820</v>
      </c>
      <c r="C67">
        <v>1533</v>
      </c>
      <c r="D67">
        <v>130</v>
      </c>
      <c r="E67">
        <v>625</v>
      </c>
      <c r="F67">
        <v>7108</v>
      </c>
    </row>
    <row r="68" spans="1:6" ht="15" customHeight="1" x14ac:dyDescent="0.25">
      <c r="A68" t="s">
        <v>64</v>
      </c>
      <c r="B68">
        <v>170281</v>
      </c>
      <c r="C68">
        <v>109642</v>
      </c>
      <c r="D68">
        <v>14463</v>
      </c>
      <c r="E68">
        <v>106537</v>
      </c>
      <c r="F68">
        <v>400923</v>
      </c>
    </row>
    <row r="69" spans="1:6" ht="15" customHeight="1" x14ac:dyDescent="0.25">
      <c r="A69" t="s">
        <v>65</v>
      </c>
      <c r="B69">
        <v>13399</v>
      </c>
      <c r="C69">
        <v>6281</v>
      </c>
      <c r="D69">
        <v>780</v>
      </c>
      <c r="E69">
        <v>4083</v>
      </c>
      <c r="F69">
        <v>24543</v>
      </c>
    </row>
    <row r="70" spans="1:6" ht="15" customHeight="1" x14ac:dyDescent="0.25">
      <c r="A70" t="s">
        <v>66</v>
      </c>
      <c r="B70">
        <v>41403</v>
      </c>
      <c r="C70">
        <v>7966</v>
      </c>
      <c r="D70">
        <v>1977</v>
      </c>
      <c r="E70">
        <v>10698</v>
      </c>
      <c r="F70">
        <v>62044</v>
      </c>
    </row>
    <row r="71" spans="1:6" ht="15" customHeight="1" x14ac:dyDescent="0.25">
      <c r="A71" t="s">
        <v>67</v>
      </c>
      <c r="B71">
        <v>10185</v>
      </c>
      <c r="C71">
        <v>2873</v>
      </c>
      <c r="D71">
        <v>315</v>
      </c>
      <c r="E71">
        <v>1904</v>
      </c>
      <c r="F71">
        <v>15277</v>
      </c>
    </row>
    <row r="72" spans="1:6" ht="15" customHeight="1" x14ac:dyDescent="0.25">
      <c r="A72" s="11" t="s">
        <v>0</v>
      </c>
      <c r="B72">
        <v>5578457</v>
      </c>
      <c r="C72">
        <v>4329371</v>
      </c>
      <c r="D72">
        <v>425882</v>
      </c>
      <c r="E72">
        <v>3583834</v>
      </c>
      <c r="F72">
        <v>13917544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73</v>
      </c>
      <c r="B1" s="27"/>
      <c r="C1" s="27"/>
      <c r="D1" s="27"/>
      <c r="E1" s="27"/>
      <c r="F1" s="28"/>
    </row>
    <row r="2" spans="1:6" ht="15" customHeight="1" x14ac:dyDescent="0.25">
      <c r="A2" s="20" t="s">
        <v>173</v>
      </c>
      <c r="B2" s="21"/>
      <c r="C2" s="21"/>
      <c r="D2" s="21"/>
      <c r="E2" s="21"/>
      <c r="F2" s="22"/>
    </row>
    <row r="3" spans="1:6" ht="15" customHeight="1" x14ac:dyDescent="0.25">
      <c r="A3" s="23" t="s">
        <v>68</v>
      </c>
      <c r="B3" s="24"/>
      <c r="C3" s="24"/>
      <c r="D3" s="24"/>
      <c r="E3" s="24"/>
      <c r="F3" s="25"/>
    </row>
    <row r="4" spans="1:6" ht="45.75" customHeight="1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49393</v>
      </c>
      <c r="C5">
        <v>77714</v>
      </c>
      <c r="D5">
        <v>5106</v>
      </c>
      <c r="E5">
        <v>40595</v>
      </c>
      <c r="F5">
        <v>172808</v>
      </c>
    </row>
    <row r="6" spans="1:6" ht="15" customHeight="1" x14ac:dyDescent="0.25">
      <c r="A6" t="s">
        <v>2</v>
      </c>
      <c r="B6">
        <v>12519</v>
      </c>
      <c r="C6">
        <v>3147</v>
      </c>
      <c r="D6">
        <v>404</v>
      </c>
      <c r="E6">
        <v>2080</v>
      </c>
      <c r="F6">
        <v>18150</v>
      </c>
    </row>
    <row r="7" spans="1:6" ht="15" customHeight="1" x14ac:dyDescent="0.25">
      <c r="A7" t="s">
        <v>3</v>
      </c>
      <c r="B7">
        <v>76858</v>
      </c>
      <c r="C7">
        <v>26408</v>
      </c>
      <c r="D7">
        <v>4790</v>
      </c>
      <c r="E7">
        <v>28363</v>
      </c>
      <c r="F7">
        <v>136419</v>
      </c>
    </row>
    <row r="8" spans="1:6" ht="15" customHeight="1" x14ac:dyDescent="0.25">
      <c r="A8" t="s">
        <v>4</v>
      </c>
      <c r="B8">
        <v>11189</v>
      </c>
      <c r="C8">
        <v>4229</v>
      </c>
      <c r="D8">
        <v>412</v>
      </c>
      <c r="E8">
        <v>2622</v>
      </c>
      <c r="F8">
        <v>18452</v>
      </c>
    </row>
    <row r="9" spans="1:6" ht="15" customHeight="1" x14ac:dyDescent="0.25">
      <c r="A9" t="s">
        <v>5</v>
      </c>
      <c r="B9">
        <v>205179</v>
      </c>
      <c r="C9">
        <v>116578</v>
      </c>
      <c r="D9">
        <v>16773</v>
      </c>
      <c r="E9">
        <v>113891</v>
      </c>
      <c r="F9">
        <v>452421</v>
      </c>
    </row>
    <row r="10" spans="1:6" ht="15" customHeight="1" x14ac:dyDescent="0.25">
      <c r="A10" t="s">
        <v>6</v>
      </c>
      <c r="B10">
        <v>279596</v>
      </c>
      <c r="C10">
        <v>521729</v>
      </c>
      <c r="D10">
        <v>29026</v>
      </c>
      <c r="E10">
        <v>353598</v>
      </c>
      <c r="F10">
        <v>1183949</v>
      </c>
    </row>
    <row r="11" spans="1:6" ht="15" customHeight="1" x14ac:dyDescent="0.25">
      <c r="A11" t="s">
        <v>7</v>
      </c>
      <c r="B11">
        <v>4707</v>
      </c>
      <c r="C11">
        <v>1969</v>
      </c>
      <c r="D11">
        <v>86</v>
      </c>
      <c r="E11">
        <v>739</v>
      </c>
      <c r="F11">
        <v>7501</v>
      </c>
    </row>
    <row r="12" spans="1:6" ht="15" customHeight="1" x14ac:dyDescent="0.25">
      <c r="A12" t="s">
        <v>8</v>
      </c>
      <c r="B12">
        <v>77104</v>
      </c>
      <c r="C12">
        <v>28615</v>
      </c>
      <c r="D12">
        <v>5586</v>
      </c>
      <c r="E12">
        <v>32599</v>
      </c>
      <c r="F12">
        <v>143904</v>
      </c>
    </row>
    <row r="13" spans="1:6" ht="15" customHeight="1" x14ac:dyDescent="0.25">
      <c r="A13" t="s">
        <v>9</v>
      </c>
      <c r="B13">
        <v>67354</v>
      </c>
      <c r="C13">
        <v>20684</v>
      </c>
      <c r="D13">
        <v>4158</v>
      </c>
      <c r="E13">
        <v>22393</v>
      </c>
      <c r="F13">
        <v>114589</v>
      </c>
    </row>
    <row r="14" spans="1:6" ht="15" customHeight="1" x14ac:dyDescent="0.25">
      <c r="A14" t="s">
        <v>10</v>
      </c>
      <c r="B14">
        <v>89341</v>
      </c>
      <c r="C14">
        <v>32138</v>
      </c>
      <c r="D14">
        <v>5334</v>
      </c>
      <c r="E14">
        <v>32743</v>
      </c>
      <c r="F14">
        <v>159556</v>
      </c>
    </row>
    <row r="15" spans="1:6" ht="15" customHeight="1" x14ac:dyDescent="0.25">
      <c r="A15" t="s">
        <v>11</v>
      </c>
      <c r="B15">
        <v>142132</v>
      </c>
      <c r="C15">
        <v>49998</v>
      </c>
      <c r="D15">
        <v>7292</v>
      </c>
      <c r="E15">
        <v>57870</v>
      </c>
      <c r="F15">
        <v>257292</v>
      </c>
    </row>
    <row r="16" spans="1:6" ht="15" customHeight="1" x14ac:dyDescent="0.25">
      <c r="A16" t="s">
        <v>12</v>
      </c>
      <c r="B16">
        <v>23429</v>
      </c>
      <c r="C16">
        <v>9435</v>
      </c>
      <c r="D16">
        <v>1117</v>
      </c>
      <c r="E16">
        <v>6008</v>
      </c>
      <c r="F16">
        <v>39989</v>
      </c>
    </row>
    <row r="17" spans="1:6" ht="15" customHeight="1" x14ac:dyDescent="0.25">
      <c r="A17" t="s">
        <v>13</v>
      </c>
      <c r="B17">
        <v>7809</v>
      </c>
      <c r="C17">
        <v>4067</v>
      </c>
      <c r="D17">
        <v>435</v>
      </c>
      <c r="E17">
        <v>2962</v>
      </c>
      <c r="F17">
        <v>15273</v>
      </c>
    </row>
    <row r="18" spans="1:6" ht="15" customHeight="1" x14ac:dyDescent="0.25">
      <c r="A18" t="s">
        <v>14</v>
      </c>
      <c r="B18">
        <v>7196</v>
      </c>
      <c r="C18">
        <v>2150</v>
      </c>
      <c r="D18">
        <v>247</v>
      </c>
      <c r="E18">
        <v>1763</v>
      </c>
      <c r="F18">
        <v>11356</v>
      </c>
    </row>
    <row r="19" spans="1:6" ht="15" customHeight="1" x14ac:dyDescent="0.25">
      <c r="A19" t="s">
        <v>15</v>
      </c>
      <c r="B19">
        <v>239523</v>
      </c>
      <c r="C19">
        <v>249594</v>
      </c>
      <c r="D19">
        <v>21461</v>
      </c>
      <c r="E19">
        <v>147210</v>
      </c>
      <c r="F19">
        <v>657788</v>
      </c>
    </row>
    <row r="20" spans="1:6" ht="15" customHeight="1" x14ac:dyDescent="0.25">
      <c r="A20" t="s">
        <v>16</v>
      </c>
      <c r="B20">
        <v>103944</v>
      </c>
      <c r="C20">
        <v>66218</v>
      </c>
      <c r="D20">
        <v>6895</v>
      </c>
      <c r="E20">
        <v>46287</v>
      </c>
      <c r="F20">
        <v>223344</v>
      </c>
    </row>
    <row r="21" spans="1:6" ht="15" customHeight="1" x14ac:dyDescent="0.25">
      <c r="A21" t="s">
        <v>17</v>
      </c>
      <c r="B21">
        <v>49223</v>
      </c>
      <c r="C21">
        <v>24257</v>
      </c>
      <c r="D21">
        <v>3636</v>
      </c>
      <c r="E21">
        <v>22495</v>
      </c>
      <c r="F21">
        <v>99611</v>
      </c>
    </row>
    <row r="22" spans="1:6" ht="15" customHeight="1" x14ac:dyDescent="0.25">
      <c r="A22" t="s">
        <v>18</v>
      </c>
      <c r="B22">
        <v>4030</v>
      </c>
      <c r="C22">
        <v>2260</v>
      </c>
      <c r="D22">
        <v>270</v>
      </c>
      <c r="E22">
        <v>1090</v>
      </c>
      <c r="F22">
        <v>7650</v>
      </c>
    </row>
    <row r="23" spans="1:6" ht="15" customHeight="1" x14ac:dyDescent="0.25">
      <c r="A23" t="s">
        <v>19</v>
      </c>
      <c r="B23">
        <v>5673</v>
      </c>
      <c r="C23">
        <v>17475</v>
      </c>
      <c r="D23">
        <v>420</v>
      </c>
      <c r="E23">
        <v>2701</v>
      </c>
      <c r="F23">
        <v>26269</v>
      </c>
    </row>
    <row r="24" spans="1:6" ht="15" customHeight="1" x14ac:dyDescent="0.25">
      <c r="A24" t="s">
        <v>20</v>
      </c>
      <c r="B24">
        <v>8817</v>
      </c>
      <c r="C24">
        <v>1780</v>
      </c>
      <c r="D24">
        <v>403</v>
      </c>
      <c r="E24">
        <v>1563</v>
      </c>
      <c r="F24">
        <v>12563</v>
      </c>
    </row>
    <row r="25" spans="1:6" ht="15" customHeight="1" x14ac:dyDescent="0.25">
      <c r="A25" t="s">
        <v>21</v>
      </c>
      <c r="B25">
        <v>3882</v>
      </c>
      <c r="C25">
        <v>1384</v>
      </c>
      <c r="D25">
        <v>179</v>
      </c>
      <c r="E25">
        <v>1027</v>
      </c>
      <c r="F25">
        <v>6472</v>
      </c>
    </row>
    <row r="26" spans="1:6" ht="15" customHeight="1" x14ac:dyDescent="0.25">
      <c r="A26" t="s">
        <v>22</v>
      </c>
      <c r="B26">
        <v>6820</v>
      </c>
      <c r="C26">
        <v>2361</v>
      </c>
      <c r="D26">
        <v>330</v>
      </c>
      <c r="E26">
        <v>1263</v>
      </c>
      <c r="F26">
        <v>10774</v>
      </c>
    </row>
    <row r="27" spans="1:6" ht="15" customHeight="1" x14ac:dyDescent="0.25">
      <c r="A27" t="s">
        <v>23</v>
      </c>
      <c r="B27">
        <v>3561</v>
      </c>
      <c r="C27">
        <v>2320</v>
      </c>
      <c r="D27">
        <v>168</v>
      </c>
      <c r="E27">
        <v>759</v>
      </c>
      <c r="F27">
        <v>6808</v>
      </c>
    </row>
    <row r="28" spans="1:6" ht="15" customHeight="1" x14ac:dyDescent="0.25">
      <c r="A28" t="s">
        <v>24</v>
      </c>
      <c r="B28">
        <v>6746</v>
      </c>
      <c r="C28">
        <v>2673</v>
      </c>
      <c r="D28">
        <v>308</v>
      </c>
      <c r="E28">
        <v>2203</v>
      </c>
      <c r="F28">
        <v>11930</v>
      </c>
    </row>
    <row r="29" spans="1:6" ht="15" customHeight="1" x14ac:dyDescent="0.25">
      <c r="A29" t="s">
        <v>25</v>
      </c>
      <c r="B29">
        <v>9172</v>
      </c>
      <c r="C29">
        <v>5438</v>
      </c>
      <c r="D29">
        <v>464</v>
      </c>
      <c r="E29">
        <v>3707</v>
      </c>
      <c r="F29">
        <v>18781</v>
      </c>
    </row>
    <row r="30" spans="1:6" ht="15" customHeight="1" x14ac:dyDescent="0.25">
      <c r="A30" t="s">
        <v>26</v>
      </c>
      <c r="B30">
        <v>67672</v>
      </c>
      <c r="C30">
        <v>30202</v>
      </c>
      <c r="D30">
        <v>4945</v>
      </c>
      <c r="E30">
        <v>29167</v>
      </c>
      <c r="F30">
        <v>131986</v>
      </c>
    </row>
    <row r="31" spans="1:6" ht="15" customHeight="1" x14ac:dyDescent="0.25">
      <c r="A31" t="s">
        <v>27</v>
      </c>
      <c r="B31">
        <v>34228</v>
      </c>
      <c r="C31">
        <v>13747</v>
      </c>
      <c r="D31">
        <v>2111</v>
      </c>
      <c r="E31">
        <v>12174</v>
      </c>
      <c r="F31">
        <v>62260</v>
      </c>
    </row>
    <row r="32" spans="1:6" ht="15" customHeight="1" x14ac:dyDescent="0.25">
      <c r="A32" t="s">
        <v>28</v>
      </c>
      <c r="B32">
        <v>287137</v>
      </c>
      <c r="C32">
        <v>270431</v>
      </c>
      <c r="D32">
        <v>25803</v>
      </c>
      <c r="E32">
        <v>212512</v>
      </c>
      <c r="F32">
        <v>795883</v>
      </c>
    </row>
    <row r="33" spans="1:6" ht="15" customHeight="1" x14ac:dyDescent="0.25">
      <c r="A33" t="s">
        <v>29</v>
      </c>
      <c r="B33">
        <v>7989</v>
      </c>
      <c r="C33">
        <v>1554</v>
      </c>
      <c r="D33">
        <v>240</v>
      </c>
      <c r="E33">
        <v>1167</v>
      </c>
      <c r="F33">
        <v>10950</v>
      </c>
    </row>
    <row r="34" spans="1:6" ht="15" customHeight="1" x14ac:dyDescent="0.25">
      <c r="A34" t="s">
        <v>30</v>
      </c>
      <c r="B34">
        <v>60257</v>
      </c>
      <c r="C34">
        <v>25619</v>
      </c>
      <c r="D34">
        <v>4228</v>
      </c>
      <c r="E34">
        <v>24077</v>
      </c>
      <c r="F34">
        <v>114181</v>
      </c>
    </row>
    <row r="35" spans="1:6" ht="15" customHeight="1" x14ac:dyDescent="0.25">
      <c r="A35" t="s">
        <v>31</v>
      </c>
      <c r="B35">
        <v>15388</v>
      </c>
      <c r="C35">
        <v>7920</v>
      </c>
      <c r="D35">
        <v>520</v>
      </c>
      <c r="E35">
        <v>2572</v>
      </c>
      <c r="F35">
        <v>26400</v>
      </c>
    </row>
    <row r="36" spans="1:6" ht="15" customHeight="1" x14ac:dyDescent="0.25">
      <c r="A36" t="s">
        <v>32</v>
      </c>
      <c r="B36">
        <v>4544</v>
      </c>
      <c r="C36">
        <v>3830</v>
      </c>
      <c r="D36">
        <v>173</v>
      </c>
      <c r="E36">
        <v>1137</v>
      </c>
      <c r="F36">
        <v>9684</v>
      </c>
    </row>
    <row r="37" spans="1:6" ht="15" customHeight="1" x14ac:dyDescent="0.25">
      <c r="A37" t="s">
        <v>33</v>
      </c>
      <c r="B37">
        <v>3390</v>
      </c>
      <c r="C37">
        <v>671</v>
      </c>
      <c r="D37">
        <v>72</v>
      </c>
      <c r="E37">
        <v>314</v>
      </c>
      <c r="F37">
        <v>4447</v>
      </c>
    </row>
    <row r="38" spans="1:6" ht="15" customHeight="1" x14ac:dyDescent="0.25">
      <c r="A38" t="s">
        <v>34</v>
      </c>
      <c r="B38">
        <v>132489</v>
      </c>
      <c r="C38">
        <v>70157</v>
      </c>
      <c r="D38">
        <v>9144</v>
      </c>
      <c r="E38">
        <v>69299</v>
      </c>
      <c r="F38">
        <v>281089</v>
      </c>
    </row>
    <row r="39" spans="1:6" ht="15" customHeight="1" x14ac:dyDescent="0.25">
      <c r="A39" t="s">
        <v>35</v>
      </c>
      <c r="B39">
        <v>241028</v>
      </c>
      <c r="C39">
        <v>111181</v>
      </c>
      <c r="D39">
        <v>15446</v>
      </c>
      <c r="E39">
        <v>134894</v>
      </c>
      <c r="F39">
        <v>502549</v>
      </c>
    </row>
    <row r="40" spans="1:6" ht="15" customHeight="1" x14ac:dyDescent="0.25">
      <c r="A40" t="s">
        <v>36</v>
      </c>
      <c r="B40">
        <v>57440</v>
      </c>
      <c r="C40">
        <v>98014</v>
      </c>
      <c r="D40">
        <v>5604</v>
      </c>
      <c r="E40">
        <v>41931</v>
      </c>
      <c r="F40">
        <v>202989</v>
      </c>
    </row>
    <row r="41" spans="1:6" ht="15" customHeight="1" x14ac:dyDescent="0.25">
      <c r="A41" t="s">
        <v>37</v>
      </c>
      <c r="B41">
        <v>17833</v>
      </c>
      <c r="C41">
        <v>6072</v>
      </c>
      <c r="D41">
        <v>983</v>
      </c>
      <c r="E41">
        <v>4012</v>
      </c>
      <c r="F41">
        <v>28900</v>
      </c>
    </row>
    <row r="42" spans="1:6" ht="15" customHeight="1" x14ac:dyDescent="0.25">
      <c r="A42" t="s">
        <v>38</v>
      </c>
      <c r="B42">
        <v>2778</v>
      </c>
      <c r="C42">
        <v>1222</v>
      </c>
      <c r="D42">
        <v>20</v>
      </c>
      <c r="E42">
        <v>450</v>
      </c>
      <c r="F42">
        <v>4470</v>
      </c>
    </row>
    <row r="43" spans="1:6" ht="15" customHeight="1" x14ac:dyDescent="0.25">
      <c r="A43" t="s">
        <v>39</v>
      </c>
      <c r="B43">
        <v>5069</v>
      </c>
      <c r="C43">
        <v>3905</v>
      </c>
      <c r="D43">
        <v>123</v>
      </c>
      <c r="E43">
        <v>1159</v>
      </c>
      <c r="F43">
        <v>10256</v>
      </c>
    </row>
    <row r="44" spans="1:6" ht="15" customHeight="1" x14ac:dyDescent="0.25">
      <c r="A44" t="s">
        <v>40</v>
      </c>
      <c r="B44">
        <v>133059</v>
      </c>
      <c r="C44">
        <v>65268</v>
      </c>
      <c r="D44">
        <v>8394</v>
      </c>
      <c r="E44">
        <v>61959</v>
      </c>
      <c r="F44">
        <v>268680</v>
      </c>
    </row>
    <row r="45" spans="1:6" ht="15" customHeight="1" x14ac:dyDescent="0.25">
      <c r="A45" t="s">
        <v>41</v>
      </c>
      <c r="B45">
        <v>132133</v>
      </c>
      <c r="C45">
        <v>65047</v>
      </c>
      <c r="D45">
        <v>8755</v>
      </c>
      <c r="E45">
        <v>49158</v>
      </c>
      <c r="F45">
        <v>255093</v>
      </c>
    </row>
    <row r="46" spans="1:6" ht="15" customHeight="1" x14ac:dyDescent="0.25">
      <c r="A46" t="s">
        <v>42</v>
      </c>
      <c r="B46">
        <v>60867</v>
      </c>
      <c r="C46">
        <v>23524</v>
      </c>
      <c r="D46">
        <v>4282</v>
      </c>
      <c r="E46">
        <v>23849</v>
      </c>
      <c r="F46">
        <v>112522</v>
      </c>
    </row>
    <row r="47" spans="1:6" ht="15" customHeight="1" x14ac:dyDescent="0.25">
      <c r="A47" t="s">
        <v>43</v>
      </c>
      <c r="B47">
        <v>449693</v>
      </c>
      <c r="C47">
        <v>415527</v>
      </c>
      <c r="D47">
        <v>29824</v>
      </c>
      <c r="E47">
        <v>388733</v>
      </c>
      <c r="F47">
        <v>1283777</v>
      </c>
    </row>
    <row r="48" spans="1:6" ht="15" customHeight="1" x14ac:dyDescent="0.25">
      <c r="A48" t="s">
        <v>44</v>
      </c>
      <c r="B48">
        <v>24208</v>
      </c>
      <c r="C48">
        <v>14794</v>
      </c>
      <c r="D48">
        <v>1876</v>
      </c>
      <c r="E48">
        <v>12439</v>
      </c>
      <c r="F48">
        <v>53317</v>
      </c>
    </row>
    <row r="49" spans="1:6" ht="15" customHeight="1" x14ac:dyDescent="0.25">
      <c r="A49" t="s">
        <v>45</v>
      </c>
      <c r="B49">
        <v>47744</v>
      </c>
      <c r="C49">
        <v>13400</v>
      </c>
      <c r="D49">
        <v>2781</v>
      </c>
      <c r="E49">
        <v>14790</v>
      </c>
      <c r="F49">
        <v>78715</v>
      </c>
    </row>
    <row r="50" spans="1:6" ht="15" customHeight="1" x14ac:dyDescent="0.25">
      <c r="A50" t="s">
        <v>46</v>
      </c>
      <c r="B50">
        <v>83973</v>
      </c>
      <c r="C50">
        <v>23607</v>
      </c>
      <c r="D50">
        <v>4832</v>
      </c>
      <c r="E50">
        <v>30309</v>
      </c>
      <c r="F50">
        <v>142721</v>
      </c>
    </row>
    <row r="51" spans="1:6" ht="15" customHeight="1" x14ac:dyDescent="0.25">
      <c r="A51" t="s">
        <v>47</v>
      </c>
      <c r="B51">
        <v>11934</v>
      </c>
      <c r="C51">
        <v>4270</v>
      </c>
      <c r="D51">
        <v>706</v>
      </c>
      <c r="E51">
        <v>3055</v>
      </c>
      <c r="F51">
        <v>19965</v>
      </c>
    </row>
    <row r="52" spans="1:6" ht="15" customHeight="1" x14ac:dyDescent="0.25">
      <c r="A52" t="s">
        <v>48</v>
      </c>
      <c r="B52">
        <v>224617</v>
      </c>
      <c r="C52">
        <v>320532</v>
      </c>
      <c r="D52">
        <v>26477</v>
      </c>
      <c r="E52">
        <v>245613</v>
      </c>
      <c r="F52">
        <v>817239</v>
      </c>
    </row>
    <row r="53" spans="1:6" ht="15" customHeight="1" x14ac:dyDescent="0.25">
      <c r="A53" t="s">
        <v>49</v>
      </c>
      <c r="B53">
        <v>65381</v>
      </c>
      <c r="C53">
        <v>78168</v>
      </c>
      <c r="D53">
        <v>7596</v>
      </c>
      <c r="E53">
        <v>67597</v>
      </c>
      <c r="F53">
        <v>218742</v>
      </c>
    </row>
    <row r="54" spans="1:6" ht="15" customHeight="1" x14ac:dyDescent="0.25">
      <c r="A54" t="s">
        <v>50</v>
      </c>
      <c r="B54">
        <v>296783</v>
      </c>
      <c r="C54">
        <v>328725</v>
      </c>
      <c r="D54">
        <v>30890</v>
      </c>
      <c r="E54">
        <v>252555</v>
      </c>
      <c r="F54">
        <v>908953</v>
      </c>
    </row>
    <row r="55" spans="1:6" ht="15" customHeight="1" x14ac:dyDescent="0.25">
      <c r="A55" t="s">
        <v>51</v>
      </c>
      <c r="B55">
        <v>173187</v>
      </c>
      <c r="C55">
        <v>96417</v>
      </c>
      <c r="D55">
        <v>14789</v>
      </c>
      <c r="E55">
        <v>98171</v>
      </c>
      <c r="F55">
        <v>382564</v>
      </c>
    </row>
    <row r="56" spans="1:6" ht="15" customHeight="1" x14ac:dyDescent="0.25">
      <c r="A56" t="s">
        <v>52</v>
      </c>
      <c r="B56">
        <v>234316</v>
      </c>
      <c r="C56">
        <v>190560</v>
      </c>
      <c r="D56">
        <v>19297</v>
      </c>
      <c r="E56">
        <v>151634</v>
      </c>
      <c r="F56">
        <v>595807</v>
      </c>
    </row>
    <row r="57" spans="1:6" ht="15" customHeight="1" x14ac:dyDescent="0.25">
      <c r="A57" t="s">
        <v>53</v>
      </c>
      <c r="B57">
        <v>182138</v>
      </c>
      <c r="C57">
        <v>124750</v>
      </c>
      <c r="D57">
        <v>14727</v>
      </c>
      <c r="E57">
        <v>102478</v>
      </c>
      <c r="F57">
        <v>424093</v>
      </c>
    </row>
    <row r="58" spans="1:6" ht="15" customHeight="1" x14ac:dyDescent="0.25">
      <c r="A58" t="s">
        <v>54</v>
      </c>
      <c r="B58">
        <v>26154</v>
      </c>
      <c r="C58">
        <v>11674</v>
      </c>
      <c r="D58">
        <v>1273</v>
      </c>
      <c r="E58">
        <v>7922</v>
      </c>
      <c r="F58">
        <v>47023</v>
      </c>
    </row>
    <row r="59" spans="1:6" ht="15" customHeight="1" x14ac:dyDescent="0.25">
      <c r="A59" t="s">
        <v>55</v>
      </c>
      <c r="B59">
        <v>92839</v>
      </c>
      <c r="C59">
        <v>22299</v>
      </c>
      <c r="D59">
        <v>4952</v>
      </c>
      <c r="E59">
        <v>29537</v>
      </c>
      <c r="F59">
        <v>149627</v>
      </c>
    </row>
    <row r="60" spans="1:6" ht="15" customHeight="1" x14ac:dyDescent="0.25">
      <c r="A60" t="s">
        <v>56</v>
      </c>
      <c r="B60">
        <v>161252</v>
      </c>
      <c r="C60">
        <v>85603</v>
      </c>
      <c r="D60">
        <v>10183</v>
      </c>
      <c r="E60">
        <v>79980</v>
      </c>
      <c r="F60">
        <v>337018</v>
      </c>
    </row>
    <row r="61" spans="1:6" ht="15" customHeight="1" x14ac:dyDescent="0.25">
      <c r="A61" t="s">
        <v>57</v>
      </c>
      <c r="B61">
        <v>123800</v>
      </c>
      <c r="C61">
        <v>112714</v>
      </c>
      <c r="D61">
        <v>12259</v>
      </c>
      <c r="E61">
        <v>105323</v>
      </c>
      <c r="F61">
        <v>354096</v>
      </c>
    </row>
    <row r="62" spans="1:6" ht="15" customHeight="1" x14ac:dyDescent="0.25">
      <c r="A62" t="s">
        <v>58</v>
      </c>
      <c r="B62">
        <v>131819</v>
      </c>
      <c r="C62">
        <v>49767</v>
      </c>
      <c r="D62">
        <v>6972</v>
      </c>
      <c r="E62">
        <v>51327</v>
      </c>
      <c r="F62">
        <v>239885</v>
      </c>
    </row>
    <row r="63" spans="1:6" ht="15" customHeight="1" x14ac:dyDescent="0.25">
      <c r="A63" t="s">
        <v>59</v>
      </c>
      <c r="B63">
        <v>93064</v>
      </c>
      <c r="C63">
        <v>83854</v>
      </c>
      <c r="D63">
        <v>9199</v>
      </c>
      <c r="E63">
        <v>61991</v>
      </c>
      <c r="F63">
        <v>248108</v>
      </c>
    </row>
    <row r="64" spans="1:6" ht="15" customHeight="1" x14ac:dyDescent="0.25">
      <c r="A64" t="s">
        <v>60</v>
      </c>
      <c r="B64">
        <v>75855</v>
      </c>
      <c r="C64">
        <v>24613</v>
      </c>
      <c r="D64">
        <v>2984</v>
      </c>
      <c r="E64">
        <v>26058</v>
      </c>
      <c r="F64">
        <v>129510</v>
      </c>
    </row>
    <row r="65" spans="1:6" ht="15" customHeight="1" x14ac:dyDescent="0.25">
      <c r="A65" t="s">
        <v>61</v>
      </c>
      <c r="B65">
        <v>17065</v>
      </c>
      <c r="C65">
        <v>5635</v>
      </c>
      <c r="D65">
        <v>798</v>
      </c>
      <c r="E65">
        <v>3908</v>
      </c>
      <c r="F65">
        <v>27406</v>
      </c>
    </row>
    <row r="66" spans="1:6" ht="15" customHeight="1" x14ac:dyDescent="0.25">
      <c r="A66" t="s">
        <v>62</v>
      </c>
      <c r="B66">
        <v>7355</v>
      </c>
      <c r="C66">
        <v>2899</v>
      </c>
      <c r="D66">
        <v>223</v>
      </c>
      <c r="E66">
        <v>945</v>
      </c>
      <c r="F66">
        <v>11422</v>
      </c>
    </row>
    <row r="67" spans="1:6" ht="15" customHeight="1" x14ac:dyDescent="0.25">
      <c r="A67" t="s">
        <v>63</v>
      </c>
      <c r="B67">
        <v>4819</v>
      </c>
      <c r="C67">
        <v>1536</v>
      </c>
      <c r="D67">
        <v>129</v>
      </c>
      <c r="E67">
        <v>632</v>
      </c>
      <c r="F67">
        <v>7116</v>
      </c>
    </row>
    <row r="68" spans="1:6" ht="15" customHeight="1" x14ac:dyDescent="0.25">
      <c r="A68" t="s">
        <v>64</v>
      </c>
      <c r="B68">
        <v>170695</v>
      </c>
      <c r="C68">
        <v>109788</v>
      </c>
      <c r="D68">
        <v>14722</v>
      </c>
      <c r="E68">
        <v>106858</v>
      </c>
      <c r="F68">
        <v>402063</v>
      </c>
    </row>
    <row r="69" spans="1:6" ht="15" customHeight="1" x14ac:dyDescent="0.25">
      <c r="A69" t="s">
        <v>65</v>
      </c>
      <c r="B69">
        <v>13440</v>
      </c>
      <c r="C69">
        <v>6275</v>
      </c>
      <c r="D69">
        <v>793</v>
      </c>
      <c r="E69">
        <v>4076</v>
      </c>
      <c r="F69">
        <v>24584</v>
      </c>
    </row>
    <row r="70" spans="1:6" ht="15" customHeight="1" x14ac:dyDescent="0.25">
      <c r="A70" t="s">
        <v>66</v>
      </c>
      <c r="B70">
        <v>41192</v>
      </c>
      <c r="C70">
        <v>7890</v>
      </c>
      <c r="D70">
        <v>1977</v>
      </c>
      <c r="E70">
        <v>10555</v>
      </c>
      <c r="F70">
        <v>61614</v>
      </c>
    </row>
    <row r="71" spans="1:6" ht="15" customHeight="1" x14ac:dyDescent="0.25">
      <c r="A71" t="s">
        <v>67</v>
      </c>
      <c r="B71">
        <v>10196</v>
      </c>
      <c r="C71">
        <v>2876</v>
      </c>
      <c r="D71">
        <v>321</v>
      </c>
      <c r="E71">
        <v>1907</v>
      </c>
      <c r="F71">
        <v>15300</v>
      </c>
    </row>
    <row r="72" spans="1:6" ht="15" customHeight="1" x14ac:dyDescent="0.25">
      <c r="A72" s="11" t="s">
        <v>0</v>
      </c>
      <c r="B72">
        <v>5522017</v>
      </c>
      <c r="C72">
        <v>4211158</v>
      </c>
      <c r="D72">
        <v>426723</v>
      </c>
      <c r="E72">
        <v>3456755</v>
      </c>
      <c r="F72">
        <v>13616653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2"/>
  <sheetViews>
    <sheetView zoomScaleNormal="100" workbookViewId="0">
      <selection activeCell="F14" sqref="F14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74</v>
      </c>
      <c r="B1" s="27"/>
      <c r="C1" s="27"/>
      <c r="D1" s="27"/>
      <c r="E1" s="27"/>
      <c r="F1" s="28"/>
    </row>
    <row r="2" spans="1:6" x14ac:dyDescent="0.25">
      <c r="A2" s="20" t="s">
        <v>174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49515</v>
      </c>
      <c r="C5">
        <v>77846</v>
      </c>
      <c r="D5">
        <v>5166</v>
      </c>
      <c r="E5">
        <v>40696</v>
      </c>
      <c r="F5">
        <v>173223</v>
      </c>
    </row>
    <row r="6" spans="1:6" ht="15" customHeight="1" x14ac:dyDescent="0.25">
      <c r="A6" t="s">
        <v>2</v>
      </c>
      <c r="B6">
        <v>12264</v>
      </c>
      <c r="C6">
        <v>2941</v>
      </c>
      <c r="D6">
        <v>397</v>
      </c>
      <c r="E6">
        <v>1884</v>
      </c>
      <c r="F6">
        <v>17486</v>
      </c>
    </row>
    <row r="7" spans="1:6" ht="15" customHeight="1" x14ac:dyDescent="0.25">
      <c r="A7" t="s">
        <v>3</v>
      </c>
      <c r="B7">
        <v>76635</v>
      </c>
      <c r="C7">
        <v>26298</v>
      </c>
      <c r="D7">
        <v>4824</v>
      </c>
      <c r="E7">
        <v>28191</v>
      </c>
      <c r="F7">
        <v>135948</v>
      </c>
    </row>
    <row r="8" spans="1:6" ht="15" customHeight="1" x14ac:dyDescent="0.25">
      <c r="A8" t="s">
        <v>4</v>
      </c>
      <c r="B8">
        <v>11211</v>
      </c>
      <c r="C8">
        <v>4227</v>
      </c>
      <c r="D8">
        <v>416</v>
      </c>
      <c r="E8">
        <v>2625</v>
      </c>
      <c r="F8">
        <v>18479</v>
      </c>
    </row>
    <row r="9" spans="1:6" ht="15" customHeight="1" x14ac:dyDescent="0.25">
      <c r="A9" t="s">
        <v>5</v>
      </c>
      <c r="B9">
        <v>205555</v>
      </c>
      <c r="C9">
        <v>116606</v>
      </c>
      <c r="D9">
        <v>16942</v>
      </c>
      <c r="E9">
        <v>114245</v>
      </c>
      <c r="F9">
        <v>453348</v>
      </c>
    </row>
    <row r="10" spans="1:6" ht="15" customHeight="1" x14ac:dyDescent="0.25">
      <c r="A10" t="s">
        <v>6</v>
      </c>
      <c r="B10">
        <v>279966</v>
      </c>
      <c r="C10">
        <v>521896</v>
      </c>
      <c r="D10">
        <v>29269</v>
      </c>
      <c r="E10">
        <v>354571</v>
      </c>
      <c r="F10">
        <v>1185702</v>
      </c>
    </row>
    <row r="11" spans="1:6" ht="15" customHeight="1" x14ac:dyDescent="0.25">
      <c r="A11" t="s">
        <v>7</v>
      </c>
      <c r="B11">
        <v>4711</v>
      </c>
      <c r="C11">
        <v>1963</v>
      </c>
      <c r="D11">
        <v>85</v>
      </c>
      <c r="E11">
        <v>746</v>
      </c>
      <c r="F11">
        <v>7505</v>
      </c>
    </row>
    <row r="12" spans="1:6" ht="15" customHeight="1" x14ac:dyDescent="0.25">
      <c r="A12" t="s">
        <v>8</v>
      </c>
      <c r="B12">
        <v>77526</v>
      </c>
      <c r="C12">
        <v>28662</v>
      </c>
      <c r="D12">
        <v>5681</v>
      </c>
      <c r="E12">
        <v>32722</v>
      </c>
      <c r="F12">
        <v>144591</v>
      </c>
    </row>
    <row r="13" spans="1:6" ht="15" customHeight="1" x14ac:dyDescent="0.25">
      <c r="A13" t="s">
        <v>9</v>
      </c>
      <c r="B13">
        <v>67601</v>
      </c>
      <c r="C13">
        <v>20714</v>
      </c>
      <c r="D13">
        <v>4218</v>
      </c>
      <c r="E13">
        <v>22467</v>
      </c>
      <c r="F13">
        <v>115000</v>
      </c>
    </row>
    <row r="14" spans="1:6" ht="15" customHeight="1" x14ac:dyDescent="0.25">
      <c r="A14" t="s">
        <v>10</v>
      </c>
      <c r="B14">
        <v>89235</v>
      </c>
      <c r="C14">
        <v>32026</v>
      </c>
      <c r="D14">
        <v>5379</v>
      </c>
      <c r="E14">
        <v>32594</v>
      </c>
      <c r="F14">
        <v>159234</v>
      </c>
    </row>
    <row r="15" spans="1:6" ht="15" customHeight="1" x14ac:dyDescent="0.25">
      <c r="A15" t="s">
        <v>11</v>
      </c>
      <c r="B15">
        <v>142507</v>
      </c>
      <c r="C15">
        <v>50076</v>
      </c>
      <c r="D15">
        <v>7400</v>
      </c>
      <c r="E15">
        <v>57956</v>
      </c>
      <c r="F15">
        <v>257939</v>
      </c>
    </row>
    <row r="16" spans="1:6" ht="15" customHeight="1" x14ac:dyDescent="0.25">
      <c r="A16" t="s">
        <v>12</v>
      </c>
      <c r="B16">
        <v>23500</v>
      </c>
      <c r="C16">
        <v>9423</v>
      </c>
      <c r="D16">
        <v>1138</v>
      </c>
      <c r="E16">
        <v>6039</v>
      </c>
      <c r="F16">
        <v>40100</v>
      </c>
    </row>
    <row r="17" spans="1:6" ht="15" customHeight="1" x14ac:dyDescent="0.25">
      <c r="A17" t="s">
        <v>13</v>
      </c>
      <c r="B17">
        <v>7811</v>
      </c>
      <c r="C17">
        <v>4066</v>
      </c>
      <c r="D17">
        <v>438</v>
      </c>
      <c r="E17">
        <v>2963</v>
      </c>
      <c r="F17">
        <v>15278</v>
      </c>
    </row>
    <row r="18" spans="1:6" ht="15" customHeight="1" x14ac:dyDescent="0.25">
      <c r="A18" t="s">
        <v>14</v>
      </c>
      <c r="B18">
        <v>7198</v>
      </c>
      <c r="C18">
        <v>2142</v>
      </c>
      <c r="D18">
        <v>248</v>
      </c>
      <c r="E18">
        <v>1769</v>
      </c>
      <c r="F18">
        <v>11357</v>
      </c>
    </row>
    <row r="19" spans="1:6" ht="15" customHeight="1" x14ac:dyDescent="0.25">
      <c r="A19" t="s">
        <v>15</v>
      </c>
      <c r="B19">
        <v>239376</v>
      </c>
      <c r="C19">
        <v>249508</v>
      </c>
      <c r="D19">
        <v>21646</v>
      </c>
      <c r="E19">
        <v>147108</v>
      </c>
      <c r="F19">
        <v>657638</v>
      </c>
    </row>
    <row r="20" spans="1:6" ht="15" customHeight="1" x14ac:dyDescent="0.25">
      <c r="A20" t="s">
        <v>16</v>
      </c>
      <c r="B20">
        <v>104175</v>
      </c>
      <c r="C20">
        <v>66338</v>
      </c>
      <c r="D20">
        <v>6998</v>
      </c>
      <c r="E20">
        <v>46411</v>
      </c>
      <c r="F20">
        <v>223922</v>
      </c>
    </row>
    <row r="21" spans="1:6" ht="15" customHeight="1" x14ac:dyDescent="0.25">
      <c r="A21" t="s">
        <v>17</v>
      </c>
      <c r="B21">
        <v>49348</v>
      </c>
      <c r="C21">
        <v>24198</v>
      </c>
      <c r="D21">
        <v>3687</v>
      </c>
      <c r="E21">
        <v>22391</v>
      </c>
      <c r="F21">
        <v>99624</v>
      </c>
    </row>
    <row r="22" spans="1:6" ht="15" customHeight="1" x14ac:dyDescent="0.25">
      <c r="A22" t="s">
        <v>18</v>
      </c>
      <c r="B22">
        <v>4040</v>
      </c>
      <c r="C22">
        <v>2249</v>
      </c>
      <c r="D22">
        <v>269</v>
      </c>
      <c r="E22">
        <v>1087</v>
      </c>
      <c r="F22">
        <v>7645</v>
      </c>
    </row>
    <row r="23" spans="1:6" ht="15" customHeight="1" x14ac:dyDescent="0.25">
      <c r="A23" t="s">
        <v>19</v>
      </c>
      <c r="B23">
        <v>5678</v>
      </c>
      <c r="C23">
        <v>17464</v>
      </c>
      <c r="D23">
        <v>428</v>
      </c>
      <c r="E23">
        <v>2704</v>
      </c>
      <c r="F23">
        <v>26274</v>
      </c>
    </row>
    <row r="24" spans="1:6" ht="15" customHeight="1" x14ac:dyDescent="0.25">
      <c r="A24" t="s">
        <v>20</v>
      </c>
      <c r="B24">
        <v>8839</v>
      </c>
      <c r="C24">
        <v>1772</v>
      </c>
      <c r="D24">
        <v>413</v>
      </c>
      <c r="E24">
        <v>1557</v>
      </c>
      <c r="F24">
        <v>12581</v>
      </c>
    </row>
    <row r="25" spans="1:6" ht="15" customHeight="1" x14ac:dyDescent="0.25">
      <c r="A25" t="s">
        <v>21</v>
      </c>
      <c r="B25">
        <v>3910</v>
      </c>
      <c r="C25">
        <v>1393</v>
      </c>
      <c r="D25">
        <v>183</v>
      </c>
      <c r="E25">
        <v>1037</v>
      </c>
      <c r="F25">
        <v>6523</v>
      </c>
    </row>
    <row r="26" spans="1:6" ht="15" customHeight="1" x14ac:dyDescent="0.25">
      <c r="A26" t="s">
        <v>22</v>
      </c>
      <c r="B26">
        <v>6849</v>
      </c>
      <c r="C26">
        <v>2356</v>
      </c>
      <c r="D26">
        <v>332</v>
      </c>
      <c r="E26">
        <v>1261</v>
      </c>
      <c r="F26">
        <v>10798</v>
      </c>
    </row>
    <row r="27" spans="1:6" ht="15" customHeight="1" x14ac:dyDescent="0.25">
      <c r="A27" t="s">
        <v>23</v>
      </c>
      <c r="B27">
        <v>3564</v>
      </c>
      <c r="C27">
        <v>2316</v>
      </c>
      <c r="D27">
        <v>170</v>
      </c>
      <c r="E27">
        <v>767</v>
      </c>
      <c r="F27">
        <v>6817</v>
      </c>
    </row>
    <row r="28" spans="1:6" ht="15" customHeight="1" x14ac:dyDescent="0.25">
      <c r="A28" t="s">
        <v>24</v>
      </c>
      <c r="B28">
        <v>6764</v>
      </c>
      <c r="C28">
        <v>2678</v>
      </c>
      <c r="D28">
        <v>313</v>
      </c>
      <c r="E28">
        <v>2202</v>
      </c>
      <c r="F28">
        <v>11957</v>
      </c>
    </row>
    <row r="29" spans="1:6" ht="15" customHeight="1" x14ac:dyDescent="0.25">
      <c r="A29" t="s">
        <v>25</v>
      </c>
      <c r="B29">
        <v>8919</v>
      </c>
      <c r="C29">
        <v>5157</v>
      </c>
      <c r="D29">
        <v>451</v>
      </c>
      <c r="E29">
        <v>3257</v>
      </c>
      <c r="F29">
        <v>17784</v>
      </c>
    </row>
    <row r="30" spans="1:6" ht="15" customHeight="1" x14ac:dyDescent="0.25">
      <c r="A30" t="s">
        <v>26</v>
      </c>
      <c r="B30">
        <v>67543</v>
      </c>
      <c r="C30">
        <v>30064</v>
      </c>
      <c r="D30">
        <v>4997</v>
      </c>
      <c r="E30">
        <v>29079</v>
      </c>
      <c r="F30">
        <v>131683</v>
      </c>
    </row>
    <row r="31" spans="1:6" ht="15" customHeight="1" x14ac:dyDescent="0.25">
      <c r="A31" t="s">
        <v>27</v>
      </c>
      <c r="B31">
        <v>34324</v>
      </c>
      <c r="C31">
        <v>13788</v>
      </c>
      <c r="D31">
        <v>2160</v>
      </c>
      <c r="E31">
        <v>12222</v>
      </c>
      <c r="F31">
        <v>62494</v>
      </c>
    </row>
    <row r="32" spans="1:6" ht="15" customHeight="1" x14ac:dyDescent="0.25">
      <c r="A32" t="s">
        <v>28</v>
      </c>
      <c r="B32">
        <v>288139</v>
      </c>
      <c r="C32">
        <v>271600</v>
      </c>
      <c r="D32">
        <v>26279</v>
      </c>
      <c r="E32">
        <v>213756</v>
      </c>
      <c r="F32">
        <v>799774</v>
      </c>
    </row>
    <row r="33" spans="1:6" ht="15" customHeight="1" x14ac:dyDescent="0.25">
      <c r="A33" t="s">
        <v>29</v>
      </c>
      <c r="B33">
        <v>8030</v>
      </c>
      <c r="C33">
        <v>1551</v>
      </c>
      <c r="D33">
        <v>242</v>
      </c>
      <c r="E33">
        <v>1172</v>
      </c>
      <c r="F33">
        <v>10995</v>
      </c>
    </row>
    <row r="34" spans="1:6" ht="15" customHeight="1" x14ac:dyDescent="0.25">
      <c r="A34" t="s">
        <v>30</v>
      </c>
      <c r="B34">
        <v>60441</v>
      </c>
      <c r="C34">
        <v>25697</v>
      </c>
      <c r="D34">
        <v>4289</v>
      </c>
      <c r="E34">
        <v>24222</v>
      </c>
      <c r="F34">
        <v>114649</v>
      </c>
    </row>
    <row r="35" spans="1:6" ht="15" customHeight="1" x14ac:dyDescent="0.25">
      <c r="A35" t="s">
        <v>31</v>
      </c>
      <c r="B35">
        <v>15443</v>
      </c>
      <c r="C35">
        <v>7930</v>
      </c>
      <c r="D35">
        <v>535</v>
      </c>
      <c r="E35">
        <v>2586</v>
      </c>
      <c r="F35">
        <v>26494</v>
      </c>
    </row>
    <row r="36" spans="1:6" ht="15" customHeight="1" x14ac:dyDescent="0.25">
      <c r="A36" t="s">
        <v>32</v>
      </c>
      <c r="B36">
        <v>4547</v>
      </c>
      <c r="C36">
        <v>3826</v>
      </c>
      <c r="D36">
        <v>178</v>
      </c>
      <c r="E36">
        <v>1142</v>
      </c>
      <c r="F36">
        <v>9693</v>
      </c>
    </row>
    <row r="37" spans="1:6" ht="15" customHeight="1" x14ac:dyDescent="0.25">
      <c r="A37" t="s">
        <v>33</v>
      </c>
      <c r="B37">
        <v>3251</v>
      </c>
      <c r="C37">
        <v>592</v>
      </c>
      <c r="D37">
        <v>67</v>
      </c>
      <c r="E37">
        <v>264</v>
      </c>
      <c r="F37">
        <v>4174</v>
      </c>
    </row>
    <row r="38" spans="1:6" ht="15" customHeight="1" x14ac:dyDescent="0.25">
      <c r="A38" t="s">
        <v>34</v>
      </c>
      <c r="B38">
        <v>127000</v>
      </c>
      <c r="C38">
        <v>66091</v>
      </c>
      <c r="D38">
        <v>8726</v>
      </c>
      <c r="E38">
        <v>62572</v>
      </c>
      <c r="F38">
        <v>264389</v>
      </c>
    </row>
    <row r="39" spans="1:6" ht="15" customHeight="1" x14ac:dyDescent="0.25">
      <c r="A39" t="s">
        <v>35</v>
      </c>
      <c r="B39">
        <v>241753</v>
      </c>
      <c r="C39">
        <v>111390</v>
      </c>
      <c r="D39">
        <v>15660</v>
      </c>
      <c r="E39">
        <v>135217</v>
      </c>
      <c r="F39">
        <v>504020</v>
      </c>
    </row>
    <row r="40" spans="1:6" ht="15" customHeight="1" x14ac:dyDescent="0.25">
      <c r="A40" t="s">
        <v>36</v>
      </c>
      <c r="B40">
        <v>53896</v>
      </c>
      <c r="C40">
        <v>87468</v>
      </c>
      <c r="D40">
        <v>5229</v>
      </c>
      <c r="E40">
        <v>35279</v>
      </c>
      <c r="F40">
        <v>181872</v>
      </c>
    </row>
    <row r="41" spans="1:6" ht="15" customHeight="1" x14ac:dyDescent="0.25">
      <c r="A41" t="s">
        <v>37</v>
      </c>
      <c r="B41">
        <v>17889</v>
      </c>
      <c r="C41">
        <v>6074</v>
      </c>
      <c r="D41">
        <v>1002</v>
      </c>
      <c r="E41">
        <v>4043</v>
      </c>
      <c r="F41">
        <v>29008</v>
      </c>
    </row>
    <row r="42" spans="1:6" ht="15" customHeight="1" x14ac:dyDescent="0.25">
      <c r="A42" t="s">
        <v>38</v>
      </c>
      <c r="B42">
        <v>2782</v>
      </c>
      <c r="C42">
        <v>1220</v>
      </c>
      <c r="D42">
        <v>21</v>
      </c>
      <c r="E42">
        <v>447</v>
      </c>
      <c r="F42">
        <v>4470</v>
      </c>
    </row>
    <row r="43" spans="1:6" ht="15" customHeight="1" x14ac:dyDescent="0.25">
      <c r="A43" t="s">
        <v>39</v>
      </c>
      <c r="B43">
        <v>5076</v>
      </c>
      <c r="C43">
        <v>3909</v>
      </c>
      <c r="D43">
        <v>123</v>
      </c>
      <c r="E43">
        <v>1160</v>
      </c>
      <c r="F43">
        <v>10268</v>
      </c>
    </row>
    <row r="44" spans="1:6" ht="15" customHeight="1" x14ac:dyDescent="0.25">
      <c r="A44" t="s">
        <v>40</v>
      </c>
      <c r="B44">
        <v>133590</v>
      </c>
      <c r="C44">
        <v>65454</v>
      </c>
      <c r="D44">
        <v>8533</v>
      </c>
      <c r="E44">
        <v>62302</v>
      </c>
      <c r="F44">
        <v>269879</v>
      </c>
    </row>
    <row r="45" spans="1:6" ht="15" customHeight="1" x14ac:dyDescent="0.25">
      <c r="A45" t="s">
        <v>41</v>
      </c>
      <c r="B45">
        <v>131716</v>
      </c>
      <c r="C45">
        <v>64761</v>
      </c>
      <c r="D45">
        <v>8821</v>
      </c>
      <c r="E45">
        <v>49030</v>
      </c>
      <c r="F45">
        <v>254328</v>
      </c>
    </row>
    <row r="46" spans="1:6" ht="15" customHeight="1" x14ac:dyDescent="0.25">
      <c r="A46" t="s">
        <v>42</v>
      </c>
      <c r="B46">
        <v>61015</v>
      </c>
      <c r="C46">
        <v>23502</v>
      </c>
      <c r="D46">
        <v>4341</v>
      </c>
      <c r="E46">
        <v>23885</v>
      </c>
      <c r="F46">
        <v>112743</v>
      </c>
    </row>
    <row r="47" spans="1:6" ht="15" customHeight="1" x14ac:dyDescent="0.25">
      <c r="A47" t="s">
        <v>43</v>
      </c>
      <c r="B47">
        <v>450532</v>
      </c>
      <c r="C47">
        <v>416439</v>
      </c>
      <c r="D47">
        <v>30281</v>
      </c>
      <c r="E47">
        <v>390297</v>
      </c>
      <c r="F47">
        <v>1287549</v>
      </c>
    </row>
    <row r="48" spans="1:6" ht="15" customHeight="1" x14ac:dyDescent="0.25">
      <c r="A48" t="s">
        <v>44</v>
      </c>
      <c r="B48">
        <v>24333</v>
      </c>
      <c r="C48">
        <v>14803</v>
      </c>
      <c r="D48">
        <v>1900</v>
      </c>
      <c r="E48">
        <v>12469</v>
      </c>
      <c r="F48">
        <v>53505</v>
      </c>
    </row>
    <row r="49" spans="1:6" ht="15" customHeight="1" x14ac:dyDescent="0.25">
      <c r="A49" t="s">
        <v>45</v>
      </c>
      <c r="B49">
        <v>47724</v>
      </c>
      <c r="C49">
        <v>13412</v>
      </c>
      <c r="D49">
        <v>2822</v>
      </c>
      <c r="E49">
        <v>14774</v>
      </c>
      <c r="F49">
        <v>78732</v>
      </c>
    </row>
    <row r="50" spans="1:6" ht="15" customHeight="1" x14ac:dyDescent="0.25">
      <c r="A50" t="s">
        <v>46</v>
      </c>
      <c r="B50">
        <v>84200</v>
      </c>
      <c r="C50">
        <v>23687</v>
      </c>
      <c r="D50">
        <v>4902</v>
      </c>
      <c r="E50">
        <v>30454</v>
      </c>
      <c r="F50">
        <v>143243</v>
      </c>
    </row>
    <row r="51" spans="1:6" ht="15" customHeight="1" x14ac:dyDescent="0.25">
      <c r="A51" t="s">
        <v>47</v>
      </c>
      <c r="B51">
        <v>11969</v>
      </c>
      <c r="C51">
        <v>4283</v>
      </c>
      <c r="D51">
        <v>722</v>
      </c>
      <c r="E51">
        <v>3074</v>
      </c>
      <c r="F51">
        <v>20048</v>
      </c>
    </row>
    <row r="52" spans="1:6" ht="15" customHeight="1" x14ac:dyDescent="0.25">
      <c r="A52" t="s">
        <v>48</v>
      </c>
      <c r="B52">
        <v>225470</v>
      </c>
      <c r="C52">
        <v>321717</v>
      </c>
      <c r="D52">
        <v>27102</v>
      </c>
      <c r="E52">
        <v>246524</v>
      </c>
      <c r="F52">
        <v>820813</v>
      </c>
    </row>
    <row r="53" spans="1:6" ht="15" customHeight="1" x14ac:dyDescent="0.25">
      <c r="A53" t="s">
        <v>49</v>
      </c>
      <c r="B53">
        <v>65609</v>
      </c>
      <c r="C53">
        <v>78333</v>
      </c>
      <c r="D53">
        <v>7748</v>
      </c>
      <c r="E53">
        <v>67831</v>
      </c>
      <c r="F53">
        <v>219521</v>
      </c>
    </row>
    <row r="54" spans="1:6" ht="15" customHeight="1" x14ac:dyDescent="0.25">
      <c r="A54" t="s">
        <v>50</v>
      </c>
      <c r="B54">
        <v>297599</v>
      </c>
      <c r="C54">
        <v>329028</v>
      </c>
      <c r="D54">
        <v>31260</v>
      </c>
      <c r="E54">
        <v>253228</v>
      </c>
      <c r="F54">
        <v>911115</v>
      </c>
    </row>
    <row r="55" spans="1:6" ht="15" customHeight="1" x14ac:dyDescent="0.25">
      <c r="A55" t="s">
        <v>51</v>
      </c>
      <c r="B55">
        <v>173142</v>
      </c>
      <c r="C55">
        <v>96112</v>
      </c>
      <c r="D55">
        <v>14926</v>
      </c>
      <c r="E55">
        <v>97657</v>
      </c>
      <c r="F55">
        <v>381837</v>
      </c>
    </row>
    <row r="56" spans="1:6" ht="15" customHeight="1" x14ac:dyDescent="0.25">
      <c r="A56" t="s">
        <v>52</v>
      </c>
      <c r="B56">
        <v>235030</v>
      </c>
      <c r="C56">
        <v>190953</v>
      </c>
      <c r="D56">
        <v>19586</v>
      </c>
      <c r="E56">
        <v>152414</v>
      </c>
      <c r="F56">
        <v>597983</v>
      </c>
    </row>
    <row r="57" spans="1:6" ht="15" customHeight="1" x14ac:dyDescent="0.25">
      <c r="A57" t="s">
        <v>53</v>
      </c>
      <c r="B57">
        <v>183028</v>
      </c>
      <c r="C57">
        <v>125460</v>
      </c>
      <c r="D57">
        <v>15082</v>
      </c>
      <c r="E57">
        <v>103336</v>
      </c>
      <c r="F57">
        <v>426906</v>
      </c>
    </row>
    <row r="58" spans="1:6" ht="15" customHeight="1" x14ac:dyDescent="0.25">
      <c r="A58" t="s">
        <v>54</v>
      </c>
      <c r="B58">
        <v>26220</v>
      </c>
      <c r="C58">
        <v>11684</v>
      </c>
      <c r="D58">
        <v>1293</v>
      </c>
      <c r="E58">
        <v>7952</v>
      </c>
      <c r="F58">
        <v>47149</v>
      </c>
    </row>
    <row r="59" spans="1:6" ht="15" customHeight="1" x14ac:dyDescent="0.25">
      <c r="A59" t="s">
        <v>55</v>
      </c>
      <c r="B59">
        <v>86257</v>
      </c>
      <c r="C59">
        <v>19780</v>
      </c>
      <c r="D59">
        <v>4508</v>
      </c>
      <c r="E59">
        <v>24330</v>
      </c>
      <c r="F59">
        <v>134875</v>
      </c>
    </row>
    <row r="60" spans="1:6" ht="15" customHeight="1" x14ac:dyDescent="0.25">
      <c r="A60" t="s">
        <v>56</v>
      </c>
      <c r="B60">
        <v>161828</v>
      </c>
      <c r="C60">
        <v>85650</v>
      </c>
      <c r="D60">
        <v>10328</v>
      </c>
      <c r="E60">
        <v>80248</v>
      </c>
      <c r="F60">
        <v>338054</v>
      </c>
    </row>
    <row r="61" spans="1:6" ht="15" customHeight="1" x14ac:dyDescent="0.25">
      <c r="A61" t="s">
        <v>57</v>
      </c>
      <c r="B61">
        <v>122863</v>
      </c>
      <c r="C61">
        <v>111524</v>
      </c>
      <c r="D61">
        <v>12203</v>
      </c>
      <c r="E61">
        <v>104085</v>
      </c>
      <c r="F61">
        <v>350675</v>
      </c>
    </row>
    <row r="62" spans="1:6" ht="15" customHeight="1" x14ac:dyDescent="0.25">
      <c r="A62" t="s">
        <v>58</v>
      </c>
      <c r="B62">
        <v>127524</v>
      </c>
      <c r="C62">
        <v>46813</v>
      </c>
      <c r="D62">
        <v>6782</v>
      </c>
      <c r="E62">
        <v>46503</v>
      </c>
      <c r="F62">
        <v>227622</v>
      </c>
    </row>
    <row r="63" spans="1:6" ht="15" customHeight="1" x14ac:dyDescent="0.25">
      <c r="A63" t="s">
        <v>59</v>
      </c>
      <c r="B63">
        <v>93495</v>
      </c>
      <c r="C63">
        <v>84010</v>
      </c>
      <c r="D63">
        <v>9383</v>
      </c>
      <c r="E63">
        <v>62139</v>
      </c>
      <c r="F63">
        <v>249027</v>
      </c>
    </row>
    <row r="64" spans="1:6" ht="15" customHeight="1" x14ac:dyDescent="0.25">
      <c r="A64" t="s">
        <v>60</v>
      </c>
      <c r="B64">
        <v>76312</v>
      </c>
      <c r="C64">
        <v>24708</v>
      </c>
      <c r="D64">
        <v>3055</v>
      </c>
      <c r="E64">
        <v>26202</v>
      </c>
      <c r="F64">
        <v>130277</v>
      </c>
    </row>
    <row r="65" spans="1:6" ht="15" customHeight="1" x14ac:dyDescent="0.25">
      <c r="A65" t="s">
        <v>61</v>
      </c>
      <c r="B65">
        <v>17120</v>
      </c>
      <c r="C65">
        <v>5635</v>
      </c>
      <c r="D65">
        <v>808</v>
      </c>
      <c r="E65">
        <v>3933</v>
      </c>
      <c r="F65">
        <v>27496</v>
      </c>
    </row>
    <row r="66" spans="1:6" ht="15" customHeight="1" x14ac:dyDescent="0.25">
      <c r="A66" t="s">
        <v>62</v>
      </c>
      <c r="B66">
        <v>7363</v>
      </c>
      <c r="C66">
        <v>2894</v>
      </c>
      <c r="D66">
        <v>223</v>
      </c>
      <c r="E66">
        <v>951</v>
      </c>
      <c r="F66">
        <v>11431</v>
      </c>
    </row>
    <row r="67" spans="1:6" ht="15" customHeight="1" x14ac:dyDescent="0.25">
      <c r="A67" t="s">
        <v>63</v>
      </c>
      <c r="B67">
        <v>4820</v>
      </c>
      <c r="C67">
        <v>1537</v>
      </c>
      <c r="D67">
        <v>131</v>
      </c>
      <c r="E67">
        <v>633</v>
      </c>
      <c r="F67">
        <v>7121</v>
      </c>
    </row>
    <row r="68" spans="1:6" ht="15" customHeight="1" x14ac:dyDescent="0.25">
      <c r="A68" t="s">
        <v>64</v>
      </c>
      <c r="B68">
        <v>168799</v>
      </c>
      <c r="C68">
        <v>108025</v>
      </c>
      <c r="D68">
        <v>14704</v>
      </c>
      <c r="E68">
        <v>104953</v>
      </c>
      <c r="F68">
        <v>396481</v>
      </c>
    </row>
    <row r="69" spans="1:6" ht="15" customHeight="1" x14ac:dyDescent="0.25">
      <c r="A69" t="s">
        <v>65</v>
      </c>
      <c r="B69">
        <v>13484</v>
      </c>
      <c r="C69">
        <v>6271</v>
      </c>
      <c r="D69">
        <v>811</v>
      </c>
      <c r="E69">
        <v>4086</v>
      </c>
      <c r="F69">
        <v>24652</v>
      </c>
    </row>
    <row r="70" spans="1:6" ht="15" customHeight="1" x14ac:dyDescent="0.25">
      <c r="A70" t="s">
        <v>66</v>
      </c>
      <c r="B70">
        <v>41422</v>
      </c>
      <c r="C70">
        <v>7923</v>
      </c>
      <c r="D70">
        <v>2009</v>
      </c>
      <c r="E70">
        <v>10598</v>
      </c>
      <c r="F70">
        <v>61952</v>
      </c>
    </row>
    <row r="71" spans="1:6" ht="15" customHeight="1" x14ac:dyDescent="0.25">
      <c r="A71" t="s">
        <v>67</v>
      </c>
      <c r="B71">
        <v>10225</v>
      </c>
      <c r="C71">
        <v>2873</v>
      </c>
      <c r="D71">
        <v>324</v>
      </c>
      <c r="E71">
        <v>1912</v>
      </c>
      <c r="F71">
        <v>15334</v>
      </c>
    </row>
    <row r="72" spans="1:6" ht="15" customHeight="1" x14ac:dyDescent="0.25">
      <c r="A72" s="11" t="s">
        <v>0</v>
      </c>
      <c r="B72">
        <v>5509500</v>
      </c>
      <c r="C72">
        <v>4192786</v>
      </c>
      <c r="D72">
        <v>430587</v>
      </c>
      <c r="E72">
        <v>3438211</v>
      </c>
      <c r="F72">
        <v>13571084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75</v>
      </c>
      <c r="B1" s="27"/>
      <c r="C1" s="27"/>
      <c r="D1" s="27"/>
      <c r="E1" s="27"/>
      <c r="F1" s="28"/>
    </row>
    <row r="2" spans="1:6" x14ac:dyDescent="0.25">
      <c r="A2" s="20" t="s">
        <v>175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49637</v>
      </c>
      <c r="C5">
        <v>77840</v>
      </c>
      <c r="D5">
        <v>5233</v>
      </c>
      <c r="E5">
        <v>40800</v>
      </c>
      <c r="F5">
        <v>173510</v>
      </c>
    </row>
    <row r="6" spans="1:6" x14ac:dyDescent="0.25">
      <c r="A6" t="s">
        <v>2</v>
      </c>
      <c r="B6">
        <v>12264</v>
      </c>
      <c r="C6">
        <v>2876</v>
      </c>
      <c r="D6">
        <v>406</v>
      </c>
      <c r="E6">
        <v>1852</v>
      </c>
      <c r="F6">
        <v>17398</v>
      </c>
    </row>
    <row r="7" spans="1:6" x14ac:dyDescent="0.25">
      <c r="A7" t="s">
        <v>3</v>
      </c>
      <c r="B7">
        <v>76732</v>
      </c>
      <c r="C7">
        <v>26295</v>
      </c>
      <c r="D7">
        <v>4897</v>
      </c>
      <c r="E7">
        <v>28155</v>
      </c>
      <c r="F7">
        <v>136079</v>
      </c>
    </row>
    <row r="8" spans="1:6" x14ac:dyDescent="0.25">
      <c r="A8" t="s">
        <v>4</v>
      </c>
      <c r="B8">
        <v>11216</v>
      </c>
      <c r="C8">
        <v>4218</v>
      </c>
      <c r="D8">
        <v>427</v>
      </c>
      <c r="E8">
        <v>2623</v>
      </c>
      <c r="F8">
        <v>18484</v>
      </c>
    </row>
    <row r="9" spans="1:6" x14ac:dyDescent="0.25">
      <c r="A9" t="s">
        <v>5</v>
      </c>
      <c r="B9">
        <v>197940</v>
      </c>
      <c r="C9">
        <v>109081</v>
      </c>
      <c r="D9">
        <v>16272</v>
      </c>
      <c r="E9">
        <v>102829</v>
      </c>
      <c r="F9">
        <v>426122</v>
      </c>
    </row>
    <row r="10" spans="1:6" x14ac:dyDescent="0.25">
      <c r="A10" t="s">
        <v>6</v>
      </c>
      <c r="B10">
        <v>281060</v>
      </c>
      <c r="C10">
        <v>522009</v>
      </c>
      <c r="D10">
        <v>29839</v>
      </c>
      <c r="E10">
        <v>355991</v>
      </c>
      <c r="F10">
        <v>1188899</v>
      </c>
    </row>
    <row r="11" spans="1:6" x14ac:dyDescent="0.25">
      <c r="A11" t="s">
        <v>7</v>
      </c>
      <c r="B11">
        <v>4725</v>
      </c>
      <c r="C11">
        <v>1962</v>
      </c>
      <c r="D11">
        <v>86</v>
      </c>
      <c r="E11">
        <v>745</v>
      </c>
      <c r="F11">
        <v>7518</v>
      </c>
    </row>
    <row r="12" spans="1:6" x14ac:dyDescent="0.25">
      <c r="A12" t="s">
        <v>8</v>
      </c>
      <c r="B12">
        <v>77977</v>
      </c>
      <c r="C12">
        <v>28704</v>
      </c>
      <c r="D12">
        <v>5757</v>
      </c>
      <c r="E12">
        <v>32788</v>
      </c>
      <c r="F12">
        <v>145226</v>
      </c>
    </row>
    <row r="13" spans="1:6" x14ac:dyDescent="0.25">
      <c r="A13" t="s">
        <v>9</v>
      </c>
      <c r="B13">
        <v>67769</v>
      </c>
      <c r="C13">
        <v>20677</v>
      </c>
      <c r="D13">
        <v>4251</v>
      </c>
      <c r="E13">
        <v>22419</v>
      </c>
      <c r="F13">
        <v>115116</v>
      </c>
    </row>
    <row r="14" spans="1:6" x14ac:dyDescent="0.25">
      <c r="A14" t="s">
        <v>10</v>
      </c>
      <c r="B14">
        <v>85770</v>
      </c>
      <c r="C14">
        <v>29615</v>
      </c>
      <c r="D14">
        <v>5169</v>
      </c>
      <c r="E14">
        <v>28760</v>
      </c>
      <c r="F14">
        <v>149314</v>
      </c>
    </row>
    <row r="15" spans="1:6" x14ac:dyDescent="0.25">
      <c r="A15" t="s">
        <v>11</v>
      </c>
      <c r="B15">
        <v>142887</v>
      </c>
      <c r="C15">
        <v>50137</v>
      </c>
      <c r="D15">
        <v>7482</v>
      </c>
      <c r="E15">
        <v>58053</v>
      </c>
      <c r="F15">
        <v>258559</v>
      </c>
    </row>
    <row r="16" spans="1:6" x14ac:dyDescent="0.25">
      <c r="A16" t="s">
        <v>12</v>
      </c>
      <c r="B16">
        <v>23580</v>
      </c>
      <c r="C16">
        <v>9455</v>
      </c>
      <c r="D16">
        <v>1163</v>
      </c>
      <c r="E16">
        <v>6094</v>
      </c>
      <c r="F16">
        <v>40292</v>
      </c>
    </row>
    <row r="17" spans="1:6" x14ac:dyDescent="0.25">
      <c r="A17" t="s">
        <v>13</v>
      </c>
      <c r="B17">
        <v>7831</v>
      </c>
      <c r="C17">
        <v>4060</v>
      </c>
      <c r="D17">
        <v>445</v>
      </c>
      <c r="E17">
        <v>2973</v>
      </c>
      <c r="F17">
        <v>15309</v>
      </c>
    </row>
    <row r="18" spans="1:6" x14ac:dyDescent="0.25">
      <c r="A18" t="s">
        <v>14</v>
      </c>
      <c r="B18">
        <v>6654</v>
      </c>
      <c r="C18">
        <v>1643</v>
      </c>
      <c r="D18">
        <v>224</v>
      </c>
      <c r="E18">
        <v>1305</v>
      </c>
      <c r="F18">
        <v>9826</v>
      </c>
    </row>
    <row r="19" spans="1:6" x14ac:dyDescent="0.25">
      <c r="A19" t="s">
        <v>15</v>
      </c>
      <c r="B19">
        <v>239318</v>
      </c>
      <c r="C19">
        <v>249234</v>
      </c>
      <c r="D19">
        <v>21870</v>
      </c>
      <c r="E19">
        <v>147062</v>
      </c>
      <c r="F19">
        <v>657484</v>
      </c>
    </row>
    <row r="20" spans="1:6" x14ac:dyDescent="0.25">
      <c r="A20" t="s">
        <v>16</v>
      </c>
      <c r="B20">
        <v>103129</v>
      </c>
      <c r="C20">
        <v>65560</v>
      </c>
      <c r="D20">
        <v>6972</v>
      </c>
      <c r="E20">
        <v>45721</v>
      </c>
      <c r="F20">
        <v>221382</v>
      </c>
    </row>
    <row r="21" spans="1:6" x14ac:dyDescent="0.25">
      <c r="A21" t="s">
        <v>17</v>
      </c>
      <c r="B21">
        <v>47770</v>
      </c>
      <c r="C21">
        <v>22812</v>
      </c>
      <c r="D21">
        <v>3589</v>
      </c>
      <c r="E21">
        <v>20089</v>
      </c>
      <c r="F21">
        <v>94260</v>
      </c>
    </row>
    <row r="22" spans="1:6" x14ac:dyDescent="0.25">
      <c r="A22" t="s">
        <v>18</v>
      </c>
      <c r="B22">
        <v>4043</v>
      </c>
      <c r="C22">
        <v>2246</v>
      </c>
      <c r="D22">
        <v>272</v>
      </c>
      <c r="E22">
        <v>1092</v>
      </c>
      <c r="F22">
        <v>7653</v>
      </c>
    </row>
    <row r="23" spans="1:6" x14ac:dyDescent="0.25">
      <c r="A23" t="s">
        <v>19</v>
      </c>
      <c r="B23">
        <v>5678</v>
      </c>
      <c r="C23">
        <v>17442</v>
      </c>
      <c r="D23">
        <v>438</v>
      </c>
      <c r="E23">
        <v>2714</v>
      </c>
      <c r="F23">
        <v>26272</v>
      </c>
    </row>
    <row r="24" spans="1:6" x14ac:dyDescent="0.25">
      <c r="A24" t="s">
        <v>20</v>
      </c>
      <c r="B24">
        <v>8886</v>
      </c>
      <c r="C24">
        <v>1759</v>
      </c>
      <c r="D24">
        <v>423</v>
      </c>
      <c r="E24">
        <v>1552</v>
      </c>
      <c r="F24">
        <v>12620</v>
      </c>
    </row>
    <row r="25" spans="1:6" x14ac:dyDescent="0.25">
      <c r="A25" t="s">
        <v>21</v>
      </c>
      <c r="B25">
        <v>3925</v>
      </c>
      <c r="C25">
        <v>1392</v>
      </c>
      <c r="D25">
        <v>190</v>
      </c>
      <c r="E25">
        <v>1036</v>
      </c>
      <c r="F25">
        <v>6543</v>
      </c>
    </row>
    <row r="26" spans="1:6" x14ac:dyDescent="0.25">
      <c r="A26" t="s">
        <v>22</v>
      </c>
      <c r="B26">
        <v>6883</v>
      </c>
      <c r="C26">
        <v>2349</v>
      </c>
      <c r="D26">
        <v>337</v>
      </c>
      <c r="E26">
        <v>1259</v>
      </c>
      <c r="F26">
        <v>10828</v>
      </c>
    </row>
    <row r="27" spans="1:6" x14ac:dyDescent="0.25">
      <c r="A27" t="s">
        <v>23</v>
      </c>
      <c r="B27">
        <v>3578</v>
      </c>
      <c r="C27">
        <v>2320</v>
      </c>
      <c r="D27">
        <v>171</v>
      </c>
      <c r="E27">
        <v>775</v>
      </c>
      <c r="F27">
        <v>6844</v>
      </c>
    </row>
    <row r="28" spans="1:6" x14ac:dyDescent="0.25">
      <c r="A28" t="s">
        <v>24</v>
      </c>
      <c r="B28">
        <v>6766</v>
      </c>
      <c r="C28">
        <v>2691</v>
      </c>
      <c r="D28">
        <v>320</v>
      </c>
      <c r="E28">
        <v>2205</v>
      </c>
      <c r="F28">
        <v>11982</v>
      </c>
    </row>
    <row r="29" spans="1:6" x14ac:dyDescent="0.25">
      <c r="A29" t="s">
        <v>25</v>
      </c>
      <c r="B29">
        <v>8954</v>
      </c>
      <c r="C29">
        <v>5163</v>
      </c>
      <c r="D29">
        <v>464</v>
      </c>
      <c r="E29">
        <v>3289</v>
      </c>
      <c r="F29">
        <v>17870</v>
      </c>
    </row>
    <row r="30" spans="1:6" x14ac:dyDescent="0.25">
      <c r="A30" t="s">
        <v>26</v>
      </c>
      <c r="B30">
        <v>67777</v>
      </c>
      <c r="C30">
        <v>30101</v>
      </c>
      <c r="D30">
        <v>5071</v>
      </c>
      <c r="E30">
        <v>29180</v>
      </c>
      <c r="F30">
        <v>132129</v>
      </c>
    </row>
    <row r="31" spans="1:6" x14ac:dyDescent="0.25">
      <c r="A31" t="s">
        <v>27</v>
      </c>
      <c r="B31">
        <v>34427</v>
      </c>
      <c r="C31">
        <v>13787</v>
      </c>
      <c r="D31">
        <v>2209</v>
      </c>
      <c r="E31">
        <v>12263</v>
      </c>
      <c r="F31">
        <v>62686</v>
      </c>
    </row>
    <row r="32" spans="1:6" x14ac:dyDescent="0.25">
      <c r="A32" t="s">
        <v>28</v>
      </c>
      <c r="B32">
        <v>288998</v>
      </c>
      <c r="C32">
        <v>272043</v>
      </c>
      <c r="D32">
        <v>26744</v>
      </c>
      <c r="E32">
        <v>214571</v>
      </c>
      <c r="F32">
        <v>802356</v>
      </c>
    </row>
    <row r="33" spans="1:6" x14ac:dyDescent="0.25">
      <c r="A33" t="s">
        <v>29</v>
      </c>
      <c r="B33">
        <v>8057</v>
      </c>
      <c r="C33">
        <v>1545</v>
      </c>
      <c r="D33">
        <v>248</v>
      </c>
      <c r="E33">
        <v>1174</v>
      </c>
      <c r="F33">
        <v>11024</v>
      </c>
    </row>
    <row r="34" spans="1:6" x14ac:dyDescent="0.25">
      <c r="A34" t="s">
        <v>30</v>
      </c>
      <c r="B34">
        <v>60627</v>
      </c>
      <c r="C34">
        <v>25687</v>
      </c>
      <c r="D34">
        <v>4327</v>
      </c>
      <c r="E34">
        <v>24303</v>
      </c>
      <c r="F34">
        <v>114944</v>
      </c>
    </row>
    <row r="35" spans="1:6" x14ac:dyDescent="0.25">
      <c r="A35" t="s">
        <v>31</v>
      </c>
      <c r="B35">
        <v>15369</v>
      </c>
      <c r="C35">
        <v>7856</v>
      </c>
      <c r="D35">
        <v>534</v>
      </c>
      <c r="E35">
        <v>2539</v>
      </c>
      <c r="F35">
        <v>26298</v>
      </c>
    </row>
    <row r="36" spans="1:6" x14ac:dyDescent="0.25">
      <c r="A36" t="s">
        <v>32</v>
      </c>
      <c r="B36">
        <v>4563</v>
      </c>
      <c r="C36">
        <v>3826</v>
      </c>
      <c r="D36">
        <v>180</v>
      </c>
      <c r="E36">
        <v>1149</v>
      </c>
      <c r="F36">
        <v>9718</v>
      </c>
    </row>
    <row r="37" spans="1:6" x14ac:dyDescent="0.25">
      <c r="A37" t="s">
        <v>33</v>
      </c>
      <c r="B37">
        <v>3257</v>
      </c>
      <c r="C37">
        <v>590</v>
      </c>
      <c r="D37">
        <v>70</v>
      </c>
      <c r="E37">
        <v>267</v>
      </c>
      <c r="F37">
        <v>4184</v>
      </c>
    </row>
    <row r="38" spans="1:6" x14ac:dyDescent="0.25">
      <c r="A38" t="s">
        <v>34</v>
      </c>
      <c r="B38">
        <v>127754</v>
      </c>
      <c r="C38">
        <v>66421</v>
      </c>
      <c r="D38">
        <v>8920</v>
      </c>
      <c r="E38">
        <v>63076</v>
      </c>
      <c r="F38">
        <v>266171</v>
      </c>
    </row>
    <row r="39" spans="1:6" x14ac:dyDescent="0.25">
      <c r="A39" t="s">
        <v>35</v>
      </c>
      <c r="B39">
        <v>242500</v>
      </c>
      <c r="C39">
        <v>111531</v>
      </c>
      <c r="D39">
        <v>15936</v>
      </c>
      <c r="E39">
        <v>135401</v>
      </c>
      <c r="F39">
        <v>505368</v>
      </c>
    </row>
    <row r="40" spans="1:6" x14ac:dyDescent="0.25">
      <c r="A40" t="s">
        <v>36</v>
      </c>
      <c r="B40">
        <v>54023</v>
      </c>
      <c r="C40">
        <v>87491</v>
      </c>
      <c r="D40">
        <v>5290</v>
      </c>
      <c r="E40">
        <v>35379</v>
      </c>
      <c r="F40">
        <v>182183</v>
      </c>
    </row>
    <row r="41" spans="1:6" x14ac:dyDescent="0.25">
      <c r="A41" t="s">
        <v>37</v>
      </c>
      <c r="B41">
        <v>17953</v>
      </c>
      <c r="C41">
        <v>6087</v>
      </c>
      <c r="D41">
        <v>1023</v>
      </c>
      <c r="E41">
        <v>4058</v>
      </c>
      <c r="F41">
        <v>29121</v>
      </c>
    </row>
    <row r="42" spans="1:6" x14ac:dyDescent="0.25">
      <c r="A42" t="s">
        <v>38</v>
      </c>
      <c r="B42">
        <v>2793</v>
      </c>
      <c r="C42">
        <v>1215</v>
      </c>
      <c r="D42">
        <v>21</v>
      </c>
      <c r="E42">
        <v>448</v>
      </c>
      <c r="F42">
        <v>4477</v>
      </c>
    </row>
    <row r="43" spans="1:6" x14ac:dyDescent="0.25">
      <c r="A43" t="s">
        <v>39</v>
      </c>
      <c r="B43">
        <v>5086</v>
      </c>
      <c r="C43">
        <v>3909</v>
      </c>
      <c r="D43">
        <v>123</v>
      </c>
      <c r="E43">
        <v>1168</v>
      </c>
      <c r="F43">
        <v>10286</v>
      </c>
    </row>
    <row r="44" spans="1:6" x14ac:dyDescent="0.25">
      <c r="A44" t="s">
        <v>40</v>
      </c>
      <c r="B44">
        <v>134217</v>
      </c>
      <c r="C44">
        <v>65601</v>
      </c>
      <c r="D44">
        <v>8649</v>
      </c>
      <c r="E44">
        <v>62537</v>
      </c>
      <c r="F44">
        <v>271004</v>
      </c>
    </row>
    <row r="45" spans="1:6" x14ac:dyDescent="0.25">
      <c r="A45" t="s">
        <v>41</v>
      </c>
      <c r="B45">
        <v>132384</v>
      </c>
      <c r="C45">
        <v>64929</v>
      </c>
      <c r="D45">
        <v>9001</v>
      </c>
      <c r="E45">
        <v>49298</v>
      </c>
      <c r="F45">
        <v>255612</v>
      </c>
    </row>
    <row r="46" spans="1:6" x14ac:dyDescent="0.25">
      <c r="A46" t="s">
        <v>42</v>
      </c>
      <c r="B46">
        <v>61172</v>
      </c>
      <c r="C46">
        <v>23474</v>
      </c>
      <c r="D46">
        <v>4397</v>
      </c>
      <c r="E46">
        <v>23887</v>
      </c>
      <c r="F46">
        <v>112930</v>
      </c>
    </row>
    <row r="47" spans="1:6" x14ac:dyDescent="0.25">
      <c r="A47" t="s">
        <v>43</v>
      </c>
      <c r="B47">
        <v>449692</v>
      </c>
      <c r="C47">
        <v>414094</v>
      </c>
      <c r="D47">
        <v>30537</v>
      </c>
      <c r="E47">
        <v>389316</v>
      </c>
      <c r="F47">
        <v>1283639</v>
      </c>
    </row>
    <row r="48" spans="1:6" x14ac:dyDescent="0.25">
      <c r="A48" t="s">
        <v>44</v>
      </c>
      <c r="B48">
        <v>24437</v>
      </c>
      <c r="C48">
        <v>14802</v>
      </c>
      <c r="D48">
        <v>1940</v>
      </c>
      <c r="E48">
        <v>12502</v>
      </c>
      <c r="F48">
        <v>53681</v>
      </c>
    </row>
    <row r="49" spans="1:6" x14ac:dyDescent="0.25">
      <c r="A49" t="s">
        <v>45</v>
      </c>
      <c r="B49">
        <v>47757</v>
      </c>
      <c r="C49">
        <v>13370</v>
      </c>
      <c r="D49">
        <v>2845</v>
      </c>
      <c r="E49">
        <v>14746</v>
      </c>
      <c r="F49">
        <v>78718</v>
      </c>
    </row>
    <row r="50" spans="1:6" x14ac:dyDescent="0.25">
      <c r="A50" t="s">
        <v>46</v>
      </c>
      <c r="B50">
        <v>83769</v>
      </c>
      <c r="C50">
        <v>23463</v>
      </c>
      <c r="D50">
        <v>4882</v>
      </c>
      <c r="E50">
        <v>30137</v>
      </c>
      <c r="F50">
        <v>142251</v>
      </c>
    </row>
    <row r="51" spans="1:6" x14ac:dyDescent="0.25">
      <c r="A51" t="s">
        <v>47</v>
      </c>
      <c r="B51">
        <v>12018</v>
      </c>
      <c r="C51">
        <v>4289</v>
      </c>
      <c r="D51">
        <v>737</v>
      </c>
      <c r="E51">
        <v>3090</v>
      </c>
      <c r="F51">
        <v>20134</v>
      </c>
    </row>
    <row r="52" spans="1:6" x14ac:dyDescent="0.25">
      <c r="A52" t="s">
        <v>48</v>
      </c>
      <c r="B52">
        <v>225639</v>
      </c>
      <c r="C52">
        <v>321700</v>
      </c>
      <c r="D52">
        <v>27535</v>
      </c>
      <c r="E52">
        <v>246563</v>
      </c>
      <c r="F52">
        <v>821437</v>
      </c>
    </row>
    <row r="53" spans="1:6" x14ac:dyDescent="0.25">
      <c r="A53" t="s">
        <v>49</v>
      </c>
      <c r="B53">
        <v>66099</v>
      </c>
      <c r="C53">
        <v>78807</v>
      </c>
      <c r="D53">
        <v>7996</v>
      </c>
      <c r="E53">
        <v>68226</v>
      </c>
      <c r="F53">
        <v>221128</v>
      </c>
    </row>
    <row r="54" spans="1:6" x14ac:dyDescent="0.25">
      <c r="A54" t="s">
        <v>50</v>
      </c>
      <c r="B54">
        <v>298605</v>
      </c>
      <c r="C54">
        <v>329227</v>
      </c>
      <c r="D54">
        <v>31680</v>
      </c>
      <c r="E54">
        <v>253821</v>
      </c>
      <c r="F54">
        <v>913333</v>
      </c>
    </row>
    <row r="55" spans="1:6" x14ac:dyDescent="0.25">
      <c r="A55" t="s">
        <v>51</v>
      </c>
      <c r="B55">
        <v>173643</v>
      </c>
      <c r="C55">
        <v>96228</v>
      </c>
      <c r="D55">
        <v>15162</v>
      </c>
      <c r="E55">
        <v>97820</v>
      </c>
      <c r="F55">
        <v>382853</v>
      </c>
    </row>
    <row r="56" spans="1:6" x14ac:dyDescent="0.25">
      <c r="A56" t="s">
        <v>52</v>
      </c>
      <c r="B56">
        <v>235551</v>
      </c>
      <c r="C56">
        <v>190900</v>
      </c>
      <c r="D56">
        <v>19819</v>
      </c>
      <c r="E56">
        <v>152749</v>
      </c>
      <c r="F56">
        <v>599019</v>
      </c>
    </row>
    <row r="57" spans="1:6" x14ac:dyDescent="0.25">
      <c r="A57" t="s">
        <v>53</v>
      </c>
      <c r="B57">
        <v>184055</v>
      </c>
      <c r="C57">
        <v>126053</v>
      </c>
      <c r="D57">
        <v>15387</v>
      </c>
      <c r="E57">
        <v>104202</v>
      </c>
      <c r="F57">
        <v>429697</v>
      </c>
    </row>
    <row r="58" spans="1:6" x14ac:dyDescent="0.25">
      <c r="A58" t="s">
        <v>54</v>
      </c>
      <c r="B58">
        <v>26335</v>
      </c>
      <c r="C58">
        <v>11697</v>
      </c>
      <c r="D58">
        <v>1303</v>
      </c>
      <c r="E58">
        <v>7988</v>
      </c>
      <c r="F58">
        <v>47323</v>
      </c>
    </row>
    <row r="59" spans="1:6" x14ac:dyDescent="0.25">
      <c r="A59" t="s">
        <v>55</v>
      </c>
      <c r="B59">
        <v>86772</v>
      </c>
      <c r="C59">
        <v>19892</v>
      </c>
      <c r="D59">
        <v>4581</v>
      </c>
      <c r="E59">
        <v>24469</v>
      </c>
      <c r="F59">
        <v>135714</v>
      </c>
    </row>
    <row r="60" spans="1:6" x14ac:dyDescent="0.25">
      <c r="A60" t="s">
        <v>56</v>
      </c>
      <c r="B60">
        <v>156254</v>
      </c>
      <c r="C60">
        <v>80251</v>
      </c>
      <c r="D60">
        <v>9956</v>
      </c>
      <c r="E60">
        <v>72952</v>
      </c>
      <c r="F60">
        <v>319413</v>
      </c>
    </row>
    <row r="61" spans="1:6" x14ac:dyDescent="0.25">
      <c r="A61" t="s">
        <v>57</v>
      </c>
      <c r="B61">
        <v>122644</v>
      </c>
      <c r="C61">
        <v>111068</v>
      </c>
      <c r="D61">
        <v>12300</v>
      </c>
      <c r="E61">
        <v>103718</v>
      </c>
      <c r="F61">
        <v>349730</v>
      </c>
    </row>
    <row r="62" spans="1:6" x14ac:dyDescent="0.25">
      <c r="A62" t="s">
        <v>58</v>
      </c>
      <c r="B62">
        <v>128424</v>
      </c>
      <c r="C62">
        <v>47033</v>
      </c>
      <c r="D62">
        <v>6942</v>
      </c>
      <c r="E62">
        <v>46919</v>
      </c>
      <c r="F62">
        <v>229318</v>
      </c>
    </row>
    <row r="63" spans="1:6" x14ac:dyDescent="0.25">
      <c r="A63" t="s">
        <v>59</v>
      </c>
      <c r="B63">
        <v>93853</v>
      </c>
      <c r="C63">
        <v>84242</v>
      </c>
      <c r="D63">
        <v>9590</v>
      </c>
      <c r="E63">
        <v>62291</v>
      </c>
      <c r="F63">
        <v>249976</v>
      </c>
    </row>
    <row r="64" spans="1:6" x14ac:dyDescent="0.25">
      <c r="A64" t="s">
        <v>60</v>
      </c>
      <c r="B64">
        <v>76767</v>
      </c>
      <c r="C64">
        <v>24787</v>
      </c>
      <c r="D64">
        <v>3119</v>
      </c>
      <c r="E64">
        <v>26338</v>
      </c>
      <c r="F64">
        <v>131011</v>
      </c>
    </row>
    <row r="65" spans="1:6" x14ac:dyDescent="0.25">
      <c r="A65" t="s">
        <v>61</v>
      </c>
      <c r="B65">
        <v>16314</v>
      </c>
      <c r="C65">
        <v>5083</v>
      </c>
      <c r="D65">
        <v>774</v>
      </c>
      <c r="E65">
        <v>3349</v>
      </c>
      <c r="F65">
        <v>25520</v>
      </c>
    </row>
    <row r="66" spans="1:6" x14ac:dyDescent="0.25">
      <c r="A66" t="s">
        <v>62</v>
      </c>
      <c r="B66">
        <v>7373</v>
      </c>
      <c r="C66">
        <v>2895</v>
      </c>
      <c r="D66">
        <v>227</v>
      </c>
      <c r="E66">
        <v>955</v>
      </c>
      <c r="F66">
        <v>11450</v>
      </c>
    </row>
    <row r="67" spans="1:6" x14ac:dyDescent="0.25">
      <c r="A67" t="s">
        <v>63</v>
      </c>
      <c r="B67">
        <v>4824</v>
      </c>
      <c r="C67">
        <v>1534</v>
      </c>
      <c r="D67">
        <v>132</v>
      </c>
      <c r="E67">
        <v>632</v>
      </c>
      <c r="F67">
        <v>7122</v>
      </c>
    </row>
    <row r="68" spans="1:6" x14ac:dyDescent="0.25">
      <c r="A68" t="s">
        <v>64</v>
      </c>
      <c r="B68">
        <v>168841</v>
      </c>
      <c r="C68">
        <v>107817</v>
      </c>
      <c r="D68">
        <v>14868</v>
      </c>
      <c r="E68">
        <v>104776</v>
      </c>
      <c r="F68">
        <v>396302</v>
      </c>
    </row>
    <row r="69" spans="1:6" x14ac:dyDescent="0.25">
      <c r="A69" t="s">
        <v>65</v>
      </c>
      <c r="B69">
        <v>13534</v>
      </c>
      <c r="C69">
        <v>6283</v>
      </c>
      <c r="D69">
        <v>835</v>
      </c>
      <c r="E69">
        <v>4092</v>
      </c>
      <c r="F69">
        <v>24744</v>
      </c>
    </row>
    <row r="70" spans="1:6" x14ac:dyDescent="0.25">
      <c r="A70" t="s">
        <v>66</v>
      </c>
      <c r="B70">
        <v>40232</v>
      </c>
      <c r="C70">
        <v>7403</v>
      </c>
      <c r="D70">
        <v>1945</v>
      </c>
      <c r="E70">
        <v>9511</v>
      </c>
      <c r="F70">
        <v>59091</v>
      </c>
    </row>
    <row r="71" spans="1:6" x14ac:dyDescent="0.25">
      <c r="A71" t="s">
        <v>67</v>
      </c>
      <c r="B71">
        <v>10282</v>
      </c>
      <c r="C71">
        <v>2875</v>
      </c>
      <c r="D71">
        <v>329</v>
      </c>
      <c r="E71">
        <v>1924</v>
      </c>
      <c r="F71">
        <v>15410</v>
      </c>
    </row>
    <row r="72" spans="1:6" s="11" customFormat="1" x14ac:dyDescent="0.25">
      <c r="A72" s="11" t="s">
        <v>0</v>
      </c>
      <c r="B72">
        <v>5499643</v>
      </c>
      <c r="C72">
        <v>4173426</v>
      </c>
      <c r="D72">
        <v>434861</v>
      </c>
      <c r="E72">
        <v>3415965</v>
      </c>
      <c r="F72">
        <v>13523895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76</v>
      </c>
      <c r="B1" s="27"/>
      <c r="C1" s="27"/>
      <c r="D1" s="27"/>
      <c r="E1" s="27"/>
      <c r="F1" s="28"/>
    </row>
    <row r="2" spans="1:6" x14ac:dyDescent="0.25">
      <c r="A2" s="20" t="s">
        <v>176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49769</v>
      </c>
      <c r="C5">
        <v>77930</v>
      </c>
      <c r="D5">
        <v>5254</v>
      </c>
      <c r="E5">
        <v>40926</v>
      </c>
      <c r="F5">
        <v>173879</v>
      </c>
    </row>
    <row r="6" spans="1:6" x14ac:dyDescent="0.25">
      <c r="A6" t="s">
        <v>2</v>
      </c>
      <c r="B6">
        <v>12239</v>
      </c>
      <c r="C6">
        <v>2858</v>
      </c>
      <c r="D6">
        <v>403</v>
      </c>
      <c r="E6">
        <v>1840</v>
      </c>
      <c r="F6">
        <v>17340</v>
      </c>
    </row>
    <row r="7" spans="1:6" x14ac:dyDescent="0.25">
      <c r="A7" t="s">
        <v>3</v>
      </c>
      <c r="B7">
        <v>77084</v>
      </c>
      <c r="C7">
        <v>26322</v>
      </c>
      <c r="D7">
        <v>4952</v>
      </c>
      <c r="E7">
        <v>28195</v>
      </c>
      <c r="F7">
        <v>136553</v>
      </c>
    </row>
    <row r="8" spans="1:6" x14ac:dyDescent="0.25">
      <c r="A8" t="s">
        <v>4</v>
      </c>
      <c r="B8">
        <v>11256</v>
      </c>
      <c r="C8">
        <v>4209</v>
      </c>
      <c r="D8">
        <v>436</v>
      </c>
      <c r="E8">
        <v>2629</v>
      </c>
      <c r="F8">
        <v>18530</v>
      </c>
    </row>
    <row r="9" spans="1:6" x14ac:dyDescent="0.25">
      <c r="A9" t="s">
        <v>5</v>
      </c>
      <c r="B9">
        <v>198891</v>
      </c>
      <c r="C9">
        <v>109323</v>
      </c>
      <c r="D9">
        <v>16462</v>
      </c>
      <c r="E9">
        <v>103343</v>
      </c>
      <c r="F9">
        <v>428019</v>
      </c>
    </row>
    <row r="10" spans="1:6" x14ac:dyDescent="0.25">
      <c r="A10" t="s">
        <v>6</v>
      </c>
      <c r="B10">
        <v>281311</v>
      </c>
      <c r="C10">
        <v>521542</v>
      </c>
      <c r="D10">
        <v>30048</v>
      </c>
      <c r="E10">
        <v>356498</v>
      </c>
      <c r="F10">
        <v>1189399</v>
      </c>
    </row>
    <row r="11" spans="1:6" x14ac:dyDescent="0.25">
      <c r="A11" t="s">
        <v>7</v>
      </c>
      <c r="B11">
        <v>4723</v>
      </c>
      <c r="C11">
        <v>1951</v>
      </c>
      <c r="D11">
        <v>89</v>
      </c>
      <c r="E11">
        <v>752</v>
      </c>
      <c r="F11">
        <v>7515</v>
      </c>
    </row>
    <row r="12" spans="1:6" x14ac:dyDescent="0.25">
      <c r="A12" t="s">
        <v>8</v>
      </c>
      <c r="B12">
        <v>78397</v>
      </c>
      <c r="C12">
        <v>28719</v>
      </c>
      <c r="D12">
        <v>5832</v>
      </c>
      <c r="E12">
        <v>32835</v>
      </c>
      <c r="F12">
        <v>145783</v>
      </c>
    </row>
    <row r="13" spans="1:6" x14ac:dyDescent="0.25">
      <c r="A13" t="s">
        <v>9</v>
      </c>
      <c r="B13">
        <v>68028</v>
      </c>
      <c r="C13">
        <v>20661</v>
      </c>
      <c r="D13">
        <v>4296</v>
      </c>
      <c r="E13">
        <v>22454</v>
      </c>
      <c r="F13">
        <v>115439</v>
      </c>
    </row>
    <row r="14" spans="1:6" x14ac:dyDescent="0.25">
      <c r="A14" t="s">
        <v>10</v>
      </c>
      <c r="B14">
        <v>86176</v>
      </c>
      <c r="C14">
        <v>29766</v>
      </c>
      <c r="D14">
        <v>5273</v>
      </c>
      <c r="E14">
        <v>28949</v>
      </c>
      <c r="F14">
        <v>150164</v>
      </c>
    </row>
    <row r="15" spans="1:6" x14ac:dyDescent="0.25">
      <c r="A15" t="s">
        <v>11</v>
      </c>
      <c r="B15">
        <v>143235</v>
      </c>
      <c r="C15">
        <v>50210</v>
      </c>
      <c r="D15">
        <v>7573</v>
      </c>
      <c r="E15">
        <v>58194</v>
      </c>
      <c r="F15">
        <v>259212</v>
      </c>
    </row>
    <row r="16" spans="1:6" x14ac:dyDescent="0.25">
      <c r="A16" t="s">
        <v>12</v>
      </c>
      <c r="B16">
        <v>23641</v>
      </c>
      <c r="C16">
        <v>9475</v>
      </c>
      <c r="D16">
        <v>1180</v>
      </c>
      <c r="E16">
        <v>6117</v>
      </c>
      <c r="F16">
        <v>40413</v>
      </c>
    </row>
    <row r="17" spans="1:6" x14ac:dyDescent="0.25">
      <c r="A17" t="s">
        <v>13</v>
      </c>
      <c r="B17">
        <v>7845</v>
      </c>
      <c r="C17">
        <v>4061</v>
      </c>
      <c r="D17">
        <v>454</v>
      </c>
      <c r="E17">
        <v>2987</v>
      </c>
      <c r="F17">
        <v>15347</v>
      </c>
    </row>
    <row r="18" spans="1:6" x14ac:dyDescent="0.25">
      <c r="A18" t="s">
        <v>14</v>
      </c>
      <c r="B18">
        <v>6683</v>
      </c>
      <c r="C18">
        <v>1651</v>
      </c>
      <c r="D18">
        <v>222</v>
      </c>
      <c r="E18">
        <v>1318</v>
      </c>
      <c r="F18">
        <v>9874</v>
      </c>
    </row>
    <row r="19" spans="1:6" x14ac:dyDescent="0.25">
      <c r="A19" t="s">
        <v>15</v>
      </c>
      <c r="B19">
        <v>238092</v>
      </c>
      <c r="C19">
        <v>246373</v>
      </c>
      <c r="D19">
        <v>21904</v>
      </c>
      <c r="E19">
        <v>145603</v>
      </c>
      <c r="F19">
        <v>651972</v>
      </c>
    </row>
    <row r="20" spans="1:6" x14ac:dyDescent="0.25">
      <c r="A20" t="s">
        <v>16</v>
      </c>
      <c r="B20">
        <v>102537</v>
      </c>
      <c r="C20">
        <v>64495</v>
      </c>
      <c r="D20">
        <v>7057</v>
      </c>
      <c r="E20">
        <v>45414</v>
      </c>
      <c r="F20">
        <v>219503</v>
      </c>
    </row>
    <row r="21" spans="1:6" x14ac:dyDescent="0.25">
      <c r="A21" t="s">
        <v>17</v>
      </c>
      <c r="B21">
        <v>48108</v>
      </c>
      <c r="C21">
        <v>22825</v>
      </c>
      <c r="D21">
        <v>3638</v>
      </c>
      <c r="E21">
        <v>20203</v>
      </c>
      <c r="F21">
        <v>94774</v>
      </c>
    </row>
    <row r="22" spans="1:6" x14ac:dyDescent="0.25">
      <c r="A22" t="s">
        <v>18</v>
      </c>
      <c r="B22">
        <v>4068</v>
      </c>
      <c r="C22">
        <v>2235</v>
      </c>
      <c r="D22">
        <v>278</v>
      </c>
      <c r="E22">
        <v>1098</v>
      </c>
      <c r="F22">
        <v>7679</v>
      </c>
    </row>
    <row r="23" spans="1:6" x14ac:dyDescent="0.25">
      <c r="A23" t="s">
        <v>19</v>
      </c>
      <c r="B23">
        <v>5690</v>
      </c>
      <c r="C23">
        <v>17425</v>
      </c>
      <c r="D23">
        <v>441</v>
      </c>
      <c r="E23">
        <v>2731</v>
      </c>
      <c r="F23">
        <v>26287</v>
      </c>
    </row>
    <row r="24" spans="1:6" x14ac:dyDescent="0.25">
      <c r="A24" t="s">
        <v>20</v>
      </c>
      <c r="B24">
        <v>8913</v>
      </c>
      <c r="C24">
        <v>1762</v>
      </c>
      <c r="D24">
        <v>430</v>
      </c>
      <c r="E24">
        <v>1553</v>
      </c>
      <c r="F24">
        <v>12658</v>
      </c>
    </row>
    <row r="25" spans="1:6" x14ac:dyDescent="0.25">
      <c r="A25" t="s">
        <v>21</v>
      </c>
      <c r="B25">
        <v>3942</v>
      </c>
      <c r="C25">
        <v>1388</v>
      </c>
      <c r="D25">
        <v>194</v>
      </c>
      <c r="E25">
        <v>1041</v>
      </c>
      <c r="F25">
        <v>6565</v>
      </c>
    </row>
    <row r="26" spans="1:6" x14ac:dyDescent="0.25">
      <c r="A26" t="s">
        <v>22</v>
      </c>
      <c r="B26">
        <v>6901</v>
      </c>
      <c r="C26">
        <v>2347</v>
      </c>
      <c r="D26">
        <v>338</v>
      </c>
      <c r="E26">
        <v>1260</v>
      </c>
      <c r="F26">
        <v>10846</v>
      </c>
    </row>
    <row r="27" spans="1:6" x14ac:dyDescent="0.25">
      <c r="A27" t="s">
        <v>23</v>
      </c>
      <c r="B27">
        <v>3582</v>
      </c>
      <c r="C27">
        <v>2316</v>
      </c>
      <c r="D27">
        <v>174</v>
      </c>
      <c r="E27">
        <v>779</v>
      </c>
      <c r="F27">
        <v>6851</v>
      </c>
    </row>
    <row r="28" spans="1:6" x14ac:dyDescent="0.25">
      <c r="A28" t="s">
        <v>24</v>
      </c>
      <c r="B28">
        <v>6783</v>
      </c>
      <c r="C28">
        <v>2701</v>
      </c>
      <c r="D28">
        <v>335</v>
      </c>
      <c r="E28">
        <v>2216</v>
      </c>
      <c r="F28">
        <v>12035</v>
      </c>
    </row>
    <row r="29" spans="1:6" x14ac:dyDescent="0.25">
      <c r="A29" t="s">
        <v>25</v>
      </c>
      <c r="B29">
        <v>9006</v>
      </c>
      <c r="C29">
        <v>5197</v>
      </c>
      <c r="D29">
        <v>470</v>
      </c>
      <c r="E29">
        <v>3316</v>
      </c>
      <c r="F29">
        <v>17989</v>
      </c>
    </row>
    <row r="30" spans="1:6" x14ac:dyDescent="0.25">
      <c r="A30" t="s">
        <v>26</v>
      </c>
      <c r="B30">
        <v>67996</v>
      </c>
      <c r="C30">
        <v>30069</v>
      </c>
      <c r="D30">
        <v>5126</v>
      </c>
      <c r="E30">
        <v>29217</v>
      </c>
      <c r="F30">
        <v>132408</v>
      </c>
    </row>
    <row r="31" spans="1:6" x14ac:dyDescent="0.25">
      <c r="A31" t="s">
        <v>27</v>
      </c>
      <c r="B31">
        <v>34522</v>
      </c>
      <c r="C31">
        <v>13813</v>
      </c>
      <c r="D31">
        <v>2254</v>
      </c>
      <c r="E31">
        <v>12270</v>
      </c>
      <c r="F31">
        <v>62859</v>
      </c>
    </row>
    <row r="32" spans="1:6" x14ac:dyDescent="0.25">
      <c r="A32" t="s">
        <v>28</v>
      </c>
      <c r="B32">
        <v>289804</v>
      </c>
      <c r="C32">
        <v>272513</v>
      </c>
      <c r="D32">
        <v>27159</v>
      </c>
      <c r="E32">
        <v>215147</v>
      </c>
      <c r="F32">
        <v>804623</v>
      </c>
    </row>
    <row r="33" spans="1:6" x14ac:dyDescent="0.25">
      <c r="A33" t="s">
        <v>29</v>
      </c>
      <c r="B33">
        <v>8083</v>
      </c>
      <c r="C33">
        <v>1548</v>
      </c>
      <c r="D33">
        <v>249</v>
      </c>
      <c r="E33">
        <v>1175</v>
      </c>
      <c r="F33">
        <v>11055</v>
      </c>
    </row>
    <row r="34" spans="1:6" x14ac:dyDescent="0.25">
      <c r="A34" t="s">
        <v>30</v>
      </c>
      <c r="B34">
        <v>60827</v>
      </c>
      <c r="C34">
        <v>25732</v>
      </c>
      <c r="D34">
        <v>4420</v>
      </c>
      <c r="E34">
        <v>24359</v>
      </c>
      <c r="F34">
        <v>115338</v>
      </c>
    </row>
    <row r="35" spans="1:6" x14ac:dyDescent="0.25">
      <c r="A35" t="s">
        <v>31</v>
      </c>
      <c r="B35">
        <v>15436</v>
      </c>
      <c r="C35">
        <v>7844</v>
      </c>
      <c r="D35">
        <v>544</v>
      </c>
      <c r="E35">
        <v>2553</v>
      </c>
      <c r="F35">
        <v>26377</v>
      </c>
    </row>
    <row r="36" spans="1:6" x14ac:dyDescent="0.25">
      <c r="A36" t="s">
        <v>32</v>
      </c>
      <c r="B36">
        <v>4582</v>
      </c>
      <c r="C36">
        <v>3831</v>
      </c>
      <c r="D36">
        <v>184</v>
      </c>
      <c r="E36">
        <v>1154</v>
      </c>
      <c r="F36">
        <v>9751</v>
      </c>
    </row>
    <row r="37" spans="1:6" x14ac:dyDescent="0.25">
      <c r="A37" t="s">
        <v>33</v>
      </c>
      <c r="B37">
        <v>3271</v>
      </c>
      <c r="C37">
        <v>591</v>
      </c>
      <c r="D37">
        <v>69</v>
      </c>
      <c r="E37">
        <v>267</v>
      </c>
      <c r="F37">
        <v>4198</v>
      </c>
    </row>
    <row r="38" spans="1:6" x14ac:dyDescent="0.25">
      <c r="A38" t="s">
        <v>34</v>
      </c>
      <c r="B38">
        <v>128238</v>
      </c>
      <c r="C38">
        <v>66588</v>
      </c>
      <c r="D38">
        <v>9062</v>
      </c>
      <c r="E38">
        <v>63409</v>
      </c>
      <c r="F38">
        <v>267297</v>
      </c>
    </row>
    <row r="39" spans="1:6" x14ac:dyDescent="0.25">
      <c r="A39" t="s">
        <v>35</v>
      </c>
      <c r="B39">
        <v>243390</v>
      </c>
      <c r="C39">
        <v>111772</v>
      </c>
      <c r="D39">
        <v>16216</v>
      </c>
      <c r="E39">
        <v>135720</v>
      </c>
      <c r="F39">
        <v>507098</v>
      </c>
    </row>
    <row r="40" spans="1:6" x14ac:dyDescent="0.25">
      <c r="A40" t="s">
        <v>36</v>
      </c>
      <c r="B40">
        <v>54189</v>
      </c>
      <c r="C40">
        <v>87581</v>
      </c>
      <c r="D40">
        <v>5346</v>
      </c>
      <c r="E40">
        <v>35498</v>
      </c>
      <c r="F40">
        <v>182614</v>
      </c>
    </row>
    <row r="41" spans="1:6" x14ac:dyDescent="0.25">
      <c r="A41" t="s">
        <v>37</v>
      </c>
      <c r="B41">
        <v>18033</v>
      </c>
      <c r="C41">
        <v>6094</v>
      </c>
      <c r="D41">
        <v>1038</v>
      </c>
      <c r="E41">
        <v>4071</v>
      </c>
      <c r="F41">
        <v>29236</v>
      </c>
    </row>
    <row r="42" spans="1:6" x14ac:dyDescent="0.25">
      <c r="A42" t="s">
        <v>38</v>
      </c>
      <c r="B42">
        <v>2794</v>
      </c>
      <c r="C42">
        <v>1210</v>
      </c>
      <c r="D42">
        <v>22</v>
      </c>
      <c r="E42">
        <v>448</v>
      </c>
      <c r="F42">
        <v>4474</v>
      </c>
    </row>
    <row r="43" spans="1:6" x14ac:dyDescent="0.25">
      <c r="A43" t="s">
        <v>39</v>
      </c>
      <c r="B43">
        <v>5095</v>
      </c>
      <c r="C43">
        <v>3909</v>
      </c>
      <c r="D43">
        <v>126</v>
      </c>
      <c r="E43">
        <v>1173</v>
      </c>
      <c r="F43">
        <v>10303</v>
      </c>
    </row>
    <row r="44" spans="1:6" x14ac:dyDescent="0.25">
      <c r="A44" t="s">
        <v>40</v>
      </c>
      <c r="B44">
        <v>134750</v>
      </c>
      <c r="C44">
        <v>65686</v>
      </c>
      <c r="D44">
        <v>8767</v>
      </c>
      <c r="E44">
        <v>62741</v>
      </c>
      <c r="F44">
        <v>271944</v>
      </c>
    </row>
    <row r="45" spans="1:6" x14ac:dyDescent="0.25">
      <c r="A45" t="s">
        <v>41</v>
      </c>
      <c r="B45">
        <v>133039</v>
      </c>
      <c r="C45">
        <v>65185</v>
      </c>
      <c r="D45">
        <v>9138</v>
      </c>
      <c r="E45">
        <v>49571</v>
      </c>
      <c r="F45">
        <v>256933</v>
      </c>
    </row>
    <row r="46" spans="1:6" x14ac:dyDescent="0.25">
      <c r="A46" t="s">
        <v>42</v>
      </c>
      <c r="B46">
        <v>61346</v>
      </c>
      <c r="C46">
        <v>23490</v>
      </c>
      <c r="D46">
        <v>4474</v>
      </c>
      <c r="E46">
        <v>23920</v>
      </c>
      <c r="F46">
        <v>113230</v>
      </c>
    </row>
    <row r="47" spans="1:6" x14ac:dyDescent="0.25">
      <c r="A47" t="s">
        <v>43</v>
      </c>
      <c r="B47">
        <v>448901</v>
      </c>
      <c r="C47">
        <v>412347</v>
      </c>
      <c r="D47">
        <v>30762</v>
      </c>
      <c r="E47">
        <v>388509</v>
      </c>
      <c r="F47">
        <v>1280519</v>
      </c>
    </row>
    <row r="48" spans="1:6" x14ac:dyDescent="0.25">
      <c r="A48" t="s">
        <v>44</v>
      </c>
      <c r="B48">
        <v>24489</v>
      </c>
      <c r="C48">
        <v>14809</v>
      </c>
      <c r="D48">
        <v>1970</v>
      </c>
      <c r="E48">
        <v>12520</v>
      </c>
      <c r="F48">
        <v>53788</v>
      </c>
    </row>
    <row r="49" spans="1:6" x14ac:dyDescent="0.25">
      <c r="A49" t="s">
        <v>45</v>
      </c>
      <c r="B49">
        <v>47828</v>
      </c>
      <c r="C49">
        <v>13326</v>
      </c>
      <c r="D49">
        <v>2880</v>
      </c>
      <c r="E49">
        <v>14725</v>
      </c>
      <c r="F49">
        <v>78759</v>
      </c>
    </row>
    <row r="50" spans="1:6" x14ac:dyDescent="0.25">
      <c r="A50" t="s">
        <v>46</v>
      </c>
      <c r="B50">
        <v>84079</v>
      </c>
      <c r="C50">
        <v>23516</v>
      </c>
      <c r="D50">
        <v>4942</v>
      </c>
      <c r="E50">
        <v>30255</v>
      </c>
      <c r="F50">
        <v>142792</v>
      </c>
    </row>
    <row r="51" spans="1:6" x14ac:dyDescent="0.25">
      <c r="A51" t="s">
        <v>47</v>
      </c>
      <c r="B51">
        <v>12040</v>
      </c>
      <c r="C51">
        <v>4294</v>
      </c>
      <c r="D51">
        <v>751</v>
      </c>
      <c r="E51">
        <v>3107</v>
      </c>
      <c r="F51">
        <v>20192</v>
      </c>
    </row>
    <row r="52" spans="1:6" x14ac:dyDescent="0.25">
      <c r="A52" t="s">
        <v>48</v>
      </c>
      <c r="B52">
        <v>226319</v>
      </c>
      <c r="C52">
        <v>322507</v>
      </c>
      <c r="D52">
        <v>28005</v>
      </c>
      <c r="E52">
        <v>247118</v>
      </c>
      <c r="F52">
        <v>823949</v>
      </c>
    </row>
    <row r="53" spans="1:6" x14ac:dyDescent="0.25">
      <c r="A53" t="s">
        <v>49</v>
      </c>
      <c r="B53">
        <v>66581</v>
      </c>
      <c r="C53">
        <v>79087</v>
      </c>
      <c r="D53">
        <v>8179</v>
      </c>
      <c r="E53">
        <v>68529</v>
      </c>
      <c r="F53">
        <v>222376</v>
      </c>
    </row>
    <row r="54" spans="1:6" x14ac:dyDescent="0.25">
      <c r="A54" t="s">
        <v>50</v>
      </c>
      <c r="B54">
        <v>288834</v>
      </c>
      <c r="C54">
        <v>307307</v>
      </c>
      <c r="D54">
        <v>30400</v>
      </c>
      <c r="E54">
        <v>230718</v>
      </c>
      <c r="F54">
        <v>857259</v>
      </c>
    </row>
    <row r="55" spans="1:6" x14ac:dyDescent="0.25">
      <c r="A55" t="s">
        <v>51</v>
      </c>
      <c r="B55">
        <v>174356</v>
      </c>
      <c r="C55">
        <v>96422</v>
      </c>
      <c r="D55">
        <v>15373</v>
      </c>
      <c r="E55">
        <v>98059</v>
      </c>
      <c r="F55">
        <v>384210</v>
      </c>
    </row>
    <row r="56" spans="1:6" x14ac:dyDescent="0.25">
      <c r="A56" t="s">
        <v>52</v>
      </c>
      <c r="B56">
        <v>236063</v>
      </c>
      <c r="C56">
        <v>190882</v>
      </c>
      <c r="D56">
        <v>20043</v>
      </c>
      <c r="E56">
        <v>152986</v>
      </c>
      <c r="F56">
        <v>599974</v>
      </c>
    </row>
    <row r="57" spans="1:6" x14ac:dyDescent="0.25">
      <c r="A57" t="s">
        <v>53</v>
      </c>
      <c r="B57">
        <v>184839</v>
      </c>
      <c r="C57">
        <v>126498</v>
      </c>
      <c r="D57">
        <v>15629</v>
      </c>
      <c r="E57">
        <v>104830</v>
      </c>
      <c r="F57">
        <v>431796</v>
      </c>
    </row>
    <row r="58" spans="1:6" x14ac:dyDescent="0.25">
      <c r="A58" t="s">
        <v>54</v>
      </c>
      <c r="B58">
        <v>26381</v>
      </c>
      <c r="C58">
        <v>11734</v>
      </c>
      <c r="D58">
        <v>1314</v>
      </c>
      <c r="E58">
        <v>8012</v>
      </c>
      <c r="F58">
        <v>47441</v>
      </c>
    </row>
    <row r="59" spans="1:6" x14ac:dyDescent="0.25">
      <c r="A59" t="s">
        <v>55</v>
      </c>
      <c r="B59">
        <v>87186</v>
      </c>
      <c r="C59">
        <v>19942</v>
      </c>
      <c r="D59">
        <v>4667</v>
      </c>
      <c r="E59">
        <v>24592</v>
      </c>
      <c r="F59">
        <v>136387</v>
      </c>
    </row>
    <row r="60" spans="1:6" x14ac:dyDescent="0.25">
      <c r="A60" t="s">
        <v>56</v>
      </c>
      <c r="B60">
        <v>157023</v>
      </c>
      <c r="C60">
        <v>80367</v>
      </c>
      <c r="D60">
        <v>10147</v>
      </c>
      <c r="E60">
        <v>73212</v>
      </c>
      <c r="F60">
        <v>320749</v>
      </c>
    </row>
    <row r="61" spans="1:6" x14ac:dyDescent="0.25">
      <c r="A61" t="s">
        <v>57</v>
      </c>
      <c r="B61">
        <v>122827</v>
      </c>
      <c r="C61">
        <v>111097</v>
      </c>
      <c r="D61">
        <v>12485</v>
      </c>
      <c r="E61">
        <v>103783</v>
      </c>
      <c r="F61">
        <v>350192</v>
      </c>
    </row>
    <row r="62" spans="1:6" x14ac:dyDescent="0.25">
      <c r="A62" t="s">
        <v>58</v>
      </c>
      <c r="B62">
        <v>128794</v>
      </c>
      <c r="C62">
        <v>47101</v>
      </c>
      <c r="D62">
        <v>7054</v>
      </c>
      <c r="E62">
        <v>47124</v>
      </c>
      <c r="F62">
        <v>230073</v>
      </c>
    </row>
    <row r="63" spans="1:6" x14ac:dyDescent="0.25">
      <c r="A63" t="s">
        <v>59</v>
      </c>
      <c r="B63">
        <v>90676</v>
      </c>
      <c r="C63">
        <v>77102</v>
      </c>
      <c r="D63">
        <v>9235</v>
      </c>
      <c r="E63">
        <v>55788</v>
      </c>
      <c r="F63">
        <v>232801</v>
      </c>
    </row>
    <row r="64" spans="1:6" x14ac:dyDescent="0.25">
      <c r="A64" t="s">
        <v>60</v>
      </c>
      <c r="B64">
        <v>73525</v>
      </c>
      <c r="C64">
        <v>22538</v>
      </c>
      <c r="D64">
        <v>3059</v>
      </c>
      <c r="E64">
        <v>23110</v>
      </c>
      <c r="F64">
        <v>122232</v>
      </c>
    </row>
    <row r="65" spans="1:6" x14ac:dyDescent="0.25">
      <c r="A65" t="s">
        <v>61</v>
      </c>
      <c r="B65">
        <v>16380</v>
      </c>
      <c r="C65">
        <v>5078</v>
      </c>
      <c r="D65">
        <v>792</v>
      </c>
      <c r="E65">
        <v>3357</v>
      </c>
      <c r="F65">
        <v>25607</v>
      </c>
    </row>
    <row r="66" spans="1:6" x14ac:dyDescent="0.25">
      <c r="A66" t="s">
        <v>62</v>
      </c>
      <c r="B66">
        <v>7371</v>
      </c>
      <c r="C66">
        <v>2889</v>
      </c>
      <c r="D66">
        <v>234</v>
      </c>
      <c r="E66">
        <v>953</v>
      </c>
      <c r="F66">
        <v>11447</v>
      </c>
    </row>
    <row r="67" spans="1:6" x14ac:dyDescent="0.25">
      <c r="A67" t="s">
        <v>63</v>
      </c>
      <c r="B67">
        <v>4840</v>
      </c>
      <c r="C67">
        <v>1534</v>
      </c>
      <c r="D67">
        <v>133</v>
      </c>
      <c r="E67">
        <v>632</v>
      </c>
      <c r="F67">
        <v>7139</v>
      </c>
    </row>
    <row r="68" spans="1:6" x14ac:dyDescent="0.25">
      <c r="A68" t="s">
        <v>64</v>
      </c>
      <c r="B68">
        <v>169506</v>
      </c>
      <c r="C68">
        <v>107887</v>
      </c>
      <c r="D68">
        <v>15124</v>
      </c>
      <c r="E68">
        <v>104964</v>
      </c>
      <c r="F68">
        <v>397481</v>
      </c>
    </row>
    <row r="69" spans="1:6" x14ac:dyDescent="0.25">
      <c r="A69" t="s">
        <v>65</v>
      </c>
      <c r="B69">
        <v>13587</v>
      </c>
      <c r="C69">
        <v>6280</v>
      </c>
      <c r="D69">
        <v>849</v>
      </c>
      <c r="E69">
        <v>4091</v>
      </c>
      <c r="F69">
        <v>24807</v>
      </c>
    </row>
    <row r="70" spans="1:6" x14ac:dyDescent="0.25">
      <c r="A70" t="s">
        <v>66</v>
      </c>
      <c r="B70">
        <v>40465</v>
      </c>
      <c r="C70">
        <v>7415</v>
      </c>
      <c r="D70">
        <v>1966</v>
      </c>
      <c r="E70">
        <v>9542</v>
      </c>
      <c r="F70">
        <v>59388</v>
      </c>
    </row>
    <row r="71" spans="1:6" x14ac:dyDescent="0.25">
      <c r="A71" t="s">
        <v>67</v>
      </c>
      <c r="B71">
        <v>10332</v>
      </c>
      <c r="C71">
        <v>2873</v>
      </c>
      <c r="D71">
        <v>334</v>
      </c>
      <c r="E71">
        <v>1930</v>
      </c>
      <c r="F71">
        <v>15469</v>
      </c>
    </row>
    <row r="72" spans="1:6" s="11" customFormat="1" x14ac:dyDescent="0.25">
      <c r="A72" s="11" t="s">
        <v>0</v>
      </c>
      <c r="B72">
        <v>5495517</v>
      </c>
      <c r="C72">
        <v>4140030</v>
      </c>
      <c r="D72">
        <v>438254</v>
      </c>
      <c r="E72">
        <v>3387390</v>
      </c>
      <c r="F72">
        <v>13461191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77</v>
      </c>
      <c r="B1" s="27"/>
      <c r="C1" s="27"/>
      <c r="D1" s="27"/>
      <c r="E1" s="27"/>
      <c r="F1" s="28"/>
    </row>
    <row r="2" spans="1:6" x14ac:dyDescent="0.25">
      <c r="A2" s="20" t="s">
        <v>177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49872</v>
      </c>
      <c r="C5">
        <v>77766</v>
      </c>
      <c r="D5">
        <v>5335</v>
      </c>
      <c r="E5">
        <v>41042</v>
      </c>
      <c r="F5">
        <v>174015</v>
      </c>
    </row>
    <row r="6" spans="1:6" x14ac:dyDescent="0.25">
      <c r="A6" t="s">
        <v>2</v>
      </c>
      <c r="B6">
        <v>12267</v>
      </c>
      <c r="C6">
        <v>2859</v>
      </c>
      <c r="D6">
        <v>412</v>
      </c>
      <c r="E6">
        <v>1844</v>
      </c>
      <c r="F6">
        <v>17382</v>
      </c>
    </row>
    <row r="7" spans="1:6" x14ac:dyDescent="0.25">
      <c r="A7" t="s">
        <v>3</v>
      </c>
      <c r="B7">
        <v>77391</v>
      </c>
      <c r="C7">
        <v>26288</v>
      </c>
      <c r="D7">
        <v>5049</v>
      </c>
      <c r="E7">
        <v>28265</v>
      </c>
      <c r="F7">
        <v>136993</v>
      </c>
    </row>
    <row r="8" spans="1:6" x14ac:dyDescent="0.25">
      <c r="A8" t="s">
        <v>4</v>
      </c>
      <c r="B8">
        <v>10510</v>
      </c>
      <c r="C8">
        <v>3467</v>
      </c>
      <c r="D8">
        <v>426</v>
      </c>
      <c r="E8">
        <v>2033</v>
      </c>
      <c r="F8">
        <v>16436</v>
      </c>
    </row>
    <row r="9" spans="1:6" x14ac:dyDescent="0.25">
      <c r="A9" t="s">
        <v>5</v>
      </c>
      <c r="B9">
        <v>199884</v>
      </c>
      <c r="C9">
        <v>109317</v>
      </c>
      <c r="D9">
        <v>16655</v>
      </c>
      <c r="E9">
        <v>103918</v>
      </c>
      <c r="F9">
        <v>429774</v>
      </c>
    </row>
    <row r="10" spans="1:6" x14ac:dyDescent="0.25">
      <c r="A10" t="s">
        <v>6</v>
      </c>
      <c r="B10">
        <v>282973</v>
      </c>
      <c r="C10">
        <v>521878</v>
      </c>
      <c r="D10">
        <v>30634</v>
      </c>
      <c r="E10">
        <v>358404</v>
      </c>
      <c r="F10">
        <v>1193889</v>
      </c>
    </row>
    <row r="11" spans="1:6" x14ac:dyDescent="0.25">
      <c r="A11" t="s">
        <v>7</v>
      </c>
      <c r="B11">
        <v>4739</v>
      </c>
      <c r="C11">
        <v>1943</v>
      </c>
      <c r="D11">
        <v>92</v>
      </c>
      <c r="E11">
        <v>749</v>
      </c>
      <c r="F11">
        <v>7523</v>
      </c>
    </row>
    <row r="12" spans="1:6" x14ac:dyDescent="0.25">
      <c r="A12" t="s">
        <v>8</v>
      </c>
      <c r="B12">
        <v>78903</v>
      </c>
      <c r="C12">
        <v>28753</v>
      </c>
      <c r="D12">
        <v>5912</v>
      </c>
      <c r="E12">
        <v>32850</v>
      </c>
      <c r="F12">
        <v>146418</v>
      </c>
    </row>
    <row r="13" spans="1:6" x14ac:dyDescent="0.25">
      <c r="A13" t="s">
        <v>9</v>
      </c>
      <c r="B13">
        <v>68111</v>
      </c>
      <c r="C13">
        <v>20569</v>
      </c>
      <c r="D13">
        <v>4373</v>
      </c>
      <c r="E13">
        <v>22375</v>
      </c>
      <c r="F13">
        <v>115428</v>
      </c>
    </row>
    <row r="14" spans="1:6" x14ac:dyDescent="0.25">
      <c r="A14" t="s">
        <v>10</v>
      </c>
      <c r="B14">
        <v>86481</v>
      </c>
      <c r="C14">
        <v>29823</v>
      </c>
      <c r="D14">
        <v>5345</v>
      </c>
      <c r="E14">
        <v>29051</v>
      </c>
      <c r="F14">
        <v>150700</v>
      </c>
    </row>
    <row r="15" spans="1:6" x14ac:dyDescent="0.25">
      <c r="A15" t="s">
        <v>11</v>
      </c>
      <c r="B15">
        <v>143703</v>
      </c>
      <c r="C15">
        <v>50197</v>
      </c>
      <c r="D15">
        <v>7690</v>
      </c>
      <c r="E15">
        <v>58378</v>
      </c>
      <c r="F15">
        <v>259968</v>
      </c>
    </row>
    <row r="16" spans="1:6" x14ac:dyDescent="0.25">
      <c r="A16" t="s">
        <v>12</v>
      </c>
      <c r="B16">
        <v>23700</v>
      </c>
      <c r="C16">
        <v>9467</v>
      </c>
      <c r="D16">
        <v>1197</v>
      </c>
      <c r="E16">
        <v>6140</v>
      </c>
      <c r="F16">
        <v>40504</v>
      </c>
    </row>
    <row r="17" spans="1:6" x14ac:dyDescent="0.25">
      <c r="A17" t="s">
        <v>13</v>
      </c>
      <c r="B17">
        <v>7862</v>
      </c>
      <c r="C17">
        <v>4049</v>
      </c>
      <c r="D17">
        <v>457</v>
      </c>
      <c r="E17">
        <v>2993</v>
      </c>
      <c r="F17">
        <v>15361</v>
      </c>
    </row>
    <row r="18" spans="1:6" x14ac:dyDescent="0.25">
      <c r="A18" t="s">
        <v>14</v>
      </c>
      <c r="B18">
        <v>6684</v>
      </c>
      <c r="C18">
        <v>1641</v>
      </c>
      <c r="D18">
        <v>222</v>
      </c>
      <c r="E18">
        <v>1317</v>
      </c>
      <c r="F18">
        <v>9864</v>
      </c>
    </row>
    <row r="19" spans="1:6" x14ac:dyDescent="0.25">
      <c r="A19" t="s">
        <v>15</v>
      </c>
      <c r="B19">
        <v>234985</v>
      </c>
      <c r="C19">
        <v>240150</v>
      </c>
      <c r="D19">
        <v>21617</v>
      </c>
      <c r="E19">
        <v>142060</v>
      </c>
      <c r="F19">
        <v>638812</v>
      </c>
    </row>
    <row r="20" spans="1:6" x14ac:dyDescent="0.25">
      <c r="A20" t="s">
        <v>16</v>
      </c>
      <c r="B20">
        <v>99884</v>
      </c>
      <c r="C20">
        <v>61132</v>
      </c>
      <c r="D20">
        <v>6912</v>
      </c>
      <c r="E20">
        <v>42014</v>
      </c>
      <c r="F20">
        <v>209942</v>
      </c>
    </row>
    <row r="21" spans="1:6" x14ac:dyDescent="0.25">
      <c r="A21" t="s">
        <v>17</v>
      </c>
      <c r="B21">
        <v>48371</v>
      </c>
      <c r="C21">
        <v>22824</v>
      </c>
      <c r="D21">
        <v>3701</v>
      </c>
      <c r="E21">
        <v>20241</v>
      </c>
      <c r="F21">
        <v>95137</v>
      </c>
    </row>
    <row r="22" spans="1:6" x14ac:dyDescent="0.25">
      <c r="A22" t="s">
        <v>18</v>
      </c>
      <c r="B22">
        <v>4071</v>
      </c>
      <c r="C22">
        <v>2224</v>
      </c>
      <c r="D22">
        <v>282</v>
      </c>
      <c r="E22">
        <v>1106</v>
      </c>
      <c r="F22">
        <v>7683</v>
      </c>
    </row>
    <row r="23" spans="1:6" x14ac:dyDescent="0.25">
      <c r="A23" t="s">
        <v>19</v>
      </c>
      <c r="B23">
        <v>5734</v>
      </c>
      <c r="C23">
        <v>17404</v>
      </c>
      <c r="D23">
        <v>450</v>
      </c>
      <c r="E23">
        <v>2752</v>
      </c>
      <c r="F23">
        <v>26340</v>
      </c>
    </row>
    <row r="24" spans="1:6" x14ac:dyDescent="0.25">
      <c r="A24" t="s">
        <v>20</v>
      </c>
      <c r="B24">
        <v>8943</v>
      </c>
      <c r="C24">
        <v>1759</v>
      </c>
      <c r="D24">
        <v>450</v>
      </c>
      <c r="E24">
        <v>1558</v>
      </c>
      <c r="F24">
        <v>12710</v>
      </c>
    </row>
    <row r="25" spans="1:6" x14ac:dyDescent="0.25">
      <c r="A25" t="s">
        <v>21</v>
      </c>
      <c r="B25">
        <v>3938</v>
      </c>
      <c r="C25">
        <v>1387</v>
      </c>
      <c r="D25">
        <v>198</v>
      </c>
      <c r="E25">
        <v>1046</v>
      </c>
      <c r="F25">
        <v>6569</v>
      </c>
    </row>
    <row r="26" spans="1:6" x14ac:dyDescent="0.25">
      <c r="A26" t="s">
        <v>22</v>
      </c>
      <c r="B26">
        <v>6937</v>
      </c>
      <c r="C26">
        <v>2337</v>
      </c>
      <c r="D26">
        <v>348</v>
      </c>
      <c r="E26">
        <v>1266</v>
      </c>
      <c r="F26">
        <v>10888</v>
      </c>
    </row>
    <row r="27" spans="1:6" x14ac:dyDescent="0.25">
      <c r="A27" t="s">
        <v>23</v>
      </c>
      <c r="B27">
        <v>3598</v>
      </c>
      <c r="C27">
        <v>2320</v>
      </c>
      <c r="D27">
        <v>176</v>
      </c>
      <c r="E27">
        <v>790</v>
      </c>
      <c r="F27">
        <v>6884</v>
      </c>
    </row>
    <row r="28" spans="1:6" x14ac:dyDescent="0.25">
      <c r="A28" t="s">
        <v>24</v>
      </c>
      <c r="B28">
        <v>6797</v>
      </c>
      <c r="C28">
        <v>2712</v>
      </c>
      <c r="D28">
        <v>337</v>
      </c>
      <c r="E28">
        <v>2226</v>
      </c>
      <c r="F28">
        <v>12072</v>
      </c>
    </row>
    <row r="29" spans="1:6" x14ac:dyDescent="0.25">
      <c r="A29" t="s">
        <v>25</v>
      </c>
      <c r="B29">
        <v>9074</v>
      </c>
      <c r="C29">
        <v>5227</v>
      </c>
      <c r="D29">
        <v>477</v>
      </c>
      <c r="E29">
        <v>3335</v>
      </c>
      <c r="F29">
        <v>18113</v>
      </c>
    </row>
    <row r="30" spans="1:6" x14ac:dyDescent="0.25">
      <c r="A30" t="s">
        <v>26</v>
      </c>
      <c r="B30">
        <v>68301</v>
      </c>
      <c r="C30">
        <v>30032</v>
      </c>
      <c r="D30">
        <v>5171</v>
      </c>
      <c r="E30">
        <v>29291</v>
      </c>
      <c r="F30">
        <v>132795</v>
      </c>
    </row>
    <row r="31" spans="1:6" x14ac:dyDescent="0.25">
      <c r="A31" t="s">
        <v>27</v>
      </c>
      <c r="B31">
        <v>34648</v>
      </c>
      <c r="C31">
        <v>13807</v>
      </c>
      <c r="D31">
        <v>2299</v>
      </c>
      <c r="E31">
        <v>12310</v>
      </c>
      <c r="F31">
        <v>63064</v>
      </c>
    </row>
    <row r="32" spans="1:6" x14ac:dyDescent="0.25">
      <c r="A32" t="s">
        <v>28</v>
      </c>
      <c r="B32">
        <v>290747</v>
      </c>
      <c r="C32">
        <v>272309</v>
      </c>
      <c r="D32">
        <v>27514</v>
      </c>
      <c r="E32">
        <v>215780</v>
      </c>
      <c r="F32">
        <v>806350</v>
      </c>
    </row>
    <row r="33" spans="1:6" x14ac:dyDescent="0.25">
      <c r="A33" t="s">
        <v>29</v>
      </c>
      <c r="B33">
        <v>8113</v>
      </c>
      <c r="C33">
        <v>1536</v>
      </c>
      <c r="D33">
        <v>252</v>
      </c>
      <c r="E33">
        <v>1176</v>
      </c>
      <c r="F33">
        <v>11077</v>
      </c>
    </row>
    <row r="34" spans="1:6" x14ac:dyDescent="0.25">
      <c r="A34" t="s">
        <v>30</v>
      </c>
      <c r="B34">
        <v>61017</v>
      </c>
      <c r="C34">
        <v>25770</v>
      </c>
      <c r="D34">
        <v>4516</v>
      </c>
      <c r="E34">
        <v>24438</v>
      </c>
      <c r="F34">
        <v>115741</v>
      </c>
    </row>
    <row r="35" spans="1:6" x14ac:dyDescent="0.25">
      <c r="A35" t="s">
        <v>31</v>
      </c>
      <c r="B35">
        <v>15508</v>
      </c>
      <c r="C35">
        <v>7847</v>
      </c>
      <c r="D35">
        <v>541</v>
      </c>
      <c r="E35">
        <v>2603</v>
      </c>
      <c r="F35">
        <v>26499</v>
      </c>
    </row>
    <row r="36" spans="1:6" x14ac:dyDescent="0.25">
      <c r="A36" t="s">
        <v>32</v>
      </c>
      <c r="B36">
        <v>4600</v>
      </c>
      <c r="C36">
        <v>3823</v>
      </c>
      <c r="D36">
        <v>186</v>
      </c>
      <c r="E36">
        <v>1162</v>
      </c>
      <c r="F36">
        <v>9771</v>
      </c>
    </row>
    <row r="37" spans="1:6" x14ac:dyDescent="0.25">
      <c r="A37" t="s">
        <v>33</v>
      </c>
      <c r="B37">
        <v>3276</v>
      </c>
      <c r="C37">
        <v>592</v>
      </c>
      <c r="D37">
        <v>69</v>
      </c>
      <c r="E37">
        <v>270</v>
      </c>
      <c r="F37">
        <v>4207</v>
      </c>
    </row>
    <row r="38" spans="1:6" x14ac:dyDescent="0.25">
      <c r="A38" t="s">
        <v>34</v>
      </c>
      <c r="B38">
        <v>128860</v>
      </c>
      <c r="C38">
        <v>66703</v>
      </c>
      <c r="D38">
        <v>9230</v>
      </c>
      <c r="E38">
        <v>63721</v>
      </c>
      <c r="F38">
        <v>268514</v>
      </c>
    </row>
    <row r="39" spans="1:6" x14ac:dyDescent="0.25">
      <c r="A39" t="s">
        <v>35</v>
      </c>
      <c r="B39">
        <v>244377</v>
      </c>
      <c r="C39">
        <v>111778</v>
      </c>
      <c r="D39">
        <v>16467</v>
      </c>
      <c r="E39">
        <v>136116</v>
      </c>
      <c r="F39">
        <v>508738</v>
      </c>
    </row>
    <row r="40" spans="1:6" x14ac:dyDescent="0.25">
      <c r="A40" t="s">
        <v>36</v>
      </c>
      <c r="B40">
        <v>54354</v>
      </c>
      <c r="C40">
        <v>87572</v>
      </c>
      <c r="D40">
        <v>5421</v>
      </c>
      <c r="E40">
        <v>35668</v>
      </c>
      <c r="F40">
        <v>183015</v>
      </c>
    </row>
    <row r="41" spans="1:6" x14ac:dyDescent="0.25">
      <c r="A41" t="s">
        <v>37</v>
      </c>
      <c r="B41">
        <v>18101</v>
      </c>
      <c r="C41">
        <v>6078</v>
      </c>
      <c r="D41">
        <v>1055</v>
      </c>
      <c r="E41">
        <v>4090</v>
      </c>
      <c r="F41">
        <v>29324</v>
      </c>
    </row>
    <row r="42" spans="1:6" x14ac:dyDescent="0.25">
      <c r="A42" t="s">
        <v>38</v>
      </c>
      <c r="B42">
        <v>2795</v>
      </c>
      <c r="C42">
        <v>1203</v>
      </c>
      <c r="D42">
        <v>22</v>
      </c>
      <c r="E42">
        <v>452</v>
      </c>
      <c r="F42">
        <v>4472</v>
      </c>
    </row>
    <row r="43" spans="1:6" x14ac:dyDescent="0.25">
      <c r="A43" t="s">
        <v>39</v>
      </c>
      <c r="B43">
        <v>5121</v>
      </c>
      <c r="C43">
        <v>3901</v>
      </c>
      <c r="D43">
        <v>126</v>
      </c>
      <c r="E43">
        <v>1175</v>
      </c>
      <c r="F43">
        <v>10323</v>
      </c>
    </row>
    <row r="44" spans="1:6" x14ac:dyDescent="0.25">
      <c r="A44" t="s">
        <v>40</v>
      </c>
      <c r="B44">
        <v>135357</v>
      </c>
      <c r="C44">
        <v>65653</v>
      </c>
      <c r="D44">
        <v>8883</v>
      </c>
      <c r="E44">
        <v>62991</v>
      </c>
      <c r="F44">
        <v>272884</v>
      </c>
    </row>
    <row r="45" spans="1:6" x14ac:dyDescent="0.25">
      <c r="A45" t="s">
        <v>41</v>
      </c>
      <c r="B45">
        <v>133692</v>
      </c>
      <c r="C45">
        <v>65271</v>
      </c>
      <c r="D45">
        <v>9285</v>
      </c>
      <c r="E45">
        <v>49803</v>
      </c>
      <c r="F45">
        <v>258051</v>
      </c>
    </row>
    <row r="46" spans="1:6" x14ac:dyDescent="0.25">
      <c r="A46" t="s">
        <v>42</v>
      </c>
      <c r="B46">
        <v>61543</v>
      </c>
      <c r="C46">
        <v>23454</v>
      </c>
      <c r="D46">
        <v>4542</v>
      </c>
      <c r="E46">
        <v>23961</v>
      </c>
      <c r="F46">
        <v>113500</v>
      </c>
    </row>
    <row r="47" spans="1:6" x14ac:dyDescent="0.25">
      <c r="A47" t="s">
        <v>43</v>
      </c>
      <c r="B47">
        <v>447323</v>
      </c>
      <c r="C47">
        <v>407801</v>
      </c>
      <c r="D47">
        <v>30966</v>
      </c>
      <c r="E47">
        <v>386526</v>
      </c>
      <c r="F47">
        <v>1272616</v>
      </c>
    </row>
    <row r="48" spans="1:6" x14ac:dyDescent="0.25">
      <c r="A48" t="s">
        <v>44</v>
      </c>
      <c r="B48">
        <v>24502</v>
      </c>
      <c r="C48">
        <v>14752</v>
      </c>
      <c r="D48">
        <v>1984</v>
      </c>
      <c r="E48">
        <v>12491</v>
      </c>
      <c r="F48">
        <v>53729</v>
      </c>
    </row>
    <row r="49" spans="1:6" x14ac:dyDescent="0.25">
      <c r="A49" t="s">
        <v>45</v>
      </c>
      <c r="B49">
        <v>47987</v>
      </c>
      <c r="C49">
        <v>13305</v>
      </c>
      <c r="D49">
        <v>2917</v>
      </c>
      <c r="E49">
        <v>14741</v>
      </c>
      <c r="F49">
        <v>78950</v>
      </c>
    </row>
    <row r="50" spans="1:6" x14ac:dyDescent="0.25">
      <c r="A50" t="s">
        <v>46</v>
      </c>
      <c r="B50">
        <v>84413</v>
      </c>
      <c r="C50">
        <v>23537</v>
      </c>
      <c r="D50">
        <v>5029</v>
      </c>
      <c r="E50">
        <v>30322</v>
      </c>
      <c r="F50">
        <v>143301</v>
      </c>
    </row>
    <row r="51" spans="1:6" x14ac:dyDescent="0.25">
      <c r="A51" t="s">
        <v>47</v>
      </c>
      <c r="B51">
        <v>12095</v>
      </c>
      <c r="C51">
        <v>4283</v>
      </c>
      <c r="D51">
        <v>763</v>
      </c>
      <c r="E51">
        <v>3119</v>
      </c>
      <c r="F51">
        <v>20260</v>
      </c>
    </row>
    <row r="52" spans="1:6" x14ac:dyDescent="0.25">
      <c r="A52" t="s">
        <v>48</v>
      </c>
      <c r="B52">
        <v>226410</v>
      </c>
      <c r="C52">
        <v>317519</v>
      </c>
      <c r="D52">
        <v>28406</v>
      </c>
      <c r="E52">
        <v>246505</v>
      </c>
      <c r="F52">
        <v>818840</v>
      </c>
    </row>
    <row r="53" spans="1:6" x14ac:dyDescent="0.25">
      <c r="A53" t="s">
        <v>49</v>
      </c>
      <c r="B53">
        <v>66944</v>
      </c>
      <c r="C53">
        <v>79144</v>
      </c>
      <c r="D53">
        <v>8291</v>
      </c>
      <c r="E53">
        <v>68701</v>
      </c>
      <c r="F53">
        <v>223080</v>
      </c>
    </row>
    <row r="54" spans="1:6" x14ac:dyDescent="0.25">
      <c r="A54" t="s">
        <v>50</v>
      </c>
      <c r="B54">
        <v>290334</v>
      </c>
      <c r="C54">
        <v>307039</v>
      </c>
      <c r="D54">
        <v>30878</v>
      </c>
      <c r="E54">
        <v>231613</v>
      </c>
      <c r="F54">
        <v>859864</v>
      </c>
    </row>
    <row r="55" spans="1:6" x14ac:dyDescent="0.25">
      <c r="A55" t="s">
        <v>51</v>
      </c>
      <c r="B55">
        <v>175137</v>
      </c>
      <c r="C55">
        <v>96528</v>
      </c>
      <c r="D55">
        <v>15637</v>
      </c>
      <c r="E55">
        <v>98546</v>
      </c>
      <c r="F55">
        <v>385848</v>
      </c>
    </row>
    <row r="56" spans="1:6" x14ac:dyDescent="0.25">
      <c r="A56" t="s">
        <v>52</v>
      </c>
      <c r="B56">
        <v>236878</v>
      </c>
      <c r="C56">
        <v>190515</v>
      </c>
      <c r="D56">
        <v>20360</v>
      </c>
      <c r="E56">
        <v>153357</v>
      </c>
      <c r="F56">
        <v>601110</v>
      </c>
    </row>
    <row r="57" spans="1:6" x14ac:dyDescent="0.25">
      <c r="A57" t="s">
        <v>53</v>
      </c>
      <c r="B57">
        <v>185985</v>
      </c>
      <c r="C57">
        <v>126968</v>
      </c>
      <c r="D57">
        <v>15974</v>
      </c>
      <c r="E57">
        <v>105738</v>
      </c>
      <c r="F57">
        <v>434665</v>
      </c>
    </row>
    <row r="58" spans="1:6" x14ac:dyDescent="0.25">
      <c r="A58" t="s">
        <v>54</v>
      </c>
      <c r="B58">
        <v>26411</v>
      </c>
      <c r="C58">
        <v>11675</v>
      </c>
      <c r="D58">
        <v>1332</v>
      </c>
      <c r="E58">
        <v>8019</v>
      </c>
      <c r="F58">
        <v>47437</v>
      </c>
    </row>
    <row r="59" spans="1:6" x14ac:dyDescent="0.25">
      <c r="A59" t="s">
        <v>55</v>
      </c>
      <c r="B59">
        <v>87661</v>
      </c>
      <c r="C59">
        <v>19972</v>
      </c>
      <c r="D59">
        <v>4762</v>
      </c>
      <c r="E59">
        <v>24734</v>
      </c>
      <c r="F59">
        <v>137129</v>
      </c>
    </row>
    <row r="60" spans="1:6" x14ac:dyDescent="0.25">
      <c r="A60" t="s">
        <v>56</v>
      </c>
      <c r="B60">
        <v>157679</v>
      </c>
      <c r="C60">
        <v>80204</v>
      </c>
      <c r="D60">
        <v>10393</v>
      </c>
      <c r="E60">
        <v>73374</v>
      </c>
      <c r="F60">
        <v>321650</v>
      </c>
    </row>
    <row r="61" spans="1:6" x14ac:dyDescent="0.25">
      <c r="A61" t="s">
        <v>57</v>
      </c>
      <c r="B61">
        <v>122031</v>
      </c>
      <c r="C61">
        <v>109360</v>
      </c>
      <c r="D61">
        <v>12533</v>
      </c>
      <c r="E61">
        <v>102213</v>
      </c>
      <c r="F61">
        <v>346137</v>
      </c>
    </row>
    <row r="62" spans="1:6" x14ac:dyDescent="0.25">
      <c r="A62" t="s">
        <v>58</v>
      </c>
      <c r="B62">
        <v>129046</v>
      </c>
      <c r="C62">
        <v>46898</v>
      </c>
      <c r="D62">
        <v>7133</v>
      </c>
      <c r="E62">
        <v>47253</v>
      </c>
      <c r="F62">
        <v>230330</v>
      </c>
    </row>
    <row r="63" spans="1:6" x14ac:dyDescent="0.25">
      <c r="A63" t="s">
        <v>59</v>
      </c>
      <c r="B63">
        <v>91128</v>
      </c>
      <c r="C63">
        <v>77297</v>
      </c>
      <c r="D63">
        <v>9371</v>
      </c>
      <c r="E63">
        <v>55975</v>
      </c>
      <c r="F63">
        <v>233771</v>
      </c>
    </row>
    <row r="64" spans="1:6" x14ac:dyDescent="0.25">
      <c r="A64" t="s">
        <v>60</v>
      </c>
      <c r="B64">
        <v>73946</v>
      </c>
      <c r="C64">
        <v>22606</v>
      </c>
      <c r="D64">
        <v>3145</v>
      </c>
      <c r="E64">
        <v>23169</v>
      </c>
      <c r="F64">
        <v>122866</v>
      </c>
    </row>
    <row r="65" spans="1:6" x14ac:dyDescent="0.25">
      <c r="A65" t="s">
        <v>61</v>
      </c>
      <c r="B65">
        <v>16476</v>
      </c>
      <c r="C65">
        <v>5057</v>
      </c>
      <c r="D65">
        <v>809</v>
      </c>
      <c r="E65">
        <v>3375</v>
      </c>
      <c r="F65">
        <v>25717</v>
      </c>
    </row>
    <row r="66" spans="1:6" x14ac:dyDescent="0.25">
      <c r="A66" t="s">
        <v>62</v>
      </c>
      <c r="B66">
        <v>7396</v>
      </c>
      <c r="C66">
        <v>2867</v>
      </c>
      <c r="D66">
        <v>239</v>
      </c>
      <c r="E66">
        <v>955</v>
      </c>
      <c r="F66">
        <v>11457</v>
      </c>
    </row>
    <row r="67" spans="1:6" x14ac:dyDescent="0.25">
      <c r="A67" t="s">
        <v>63</v>
      </c>
      <c r="B67">
        <v>4841</v>
      </c>
      <c r="C67">
        <v>1516</v>
      </c>
      <c r="D67">
        <v>136</v>
      </c>
      <c r="E67">
        <v>633</v>
      </c>
      <c r="F67">
        <v>7126</v>
      </c>
    </row>
    <row r="68" spans="1:6" x14ac:dyDescent="0.25">
      <c r="A68" t="s">
        <v>64</v>
      </c>
      <c r="B68">
        <v>170203</v>
      </c>
      <c r="C68">
        <v>107657</v>
      </c>
      <c r="D68">
        <v>15404</v>
      </c>
      <c r="E68">
        <v>105133</v>
      </c>
      <c r="F68">
        <v>398397</v>
      </c>
    </row>
    <row r="69" spans="1:6" x14ac:dyDescent="0.25">
      <c r="A69" t="s">
        <v>65</v>
      </c>
      <c r="B69">
        <v>13625</v>
      </c>
      <c r="C69">
        <v>6272</v>
      </c>
      <c r="D69">
        <v>857</v>
      </c>
      <c r="E69">
        <v>4102</v>
      </c>
      <c r="F69">
        <v>24856</v>
      </c>
    </row>
    <row r="70" spans="1:6" x14ac:dyDescent="0.25">
      <c r="A70" t="s">
        <v>66</v>
      </c>
      <c r="B70">
        <v>40674</v>
      </c>
      <c r="C70">
        <v>7411</v>
      </c>
      <c r="D70">
        <v>1983</v>
      </c>
      <c r="E70">
        <v>9549</v>
      </c>
      <c r="F70">
        <v>59617</v>
      </c>
    </row>
    <row r="71" spans="1:6" x14ac:dyDescent="0.25">
      <c r="A71" t="s">
        <v>67</v>
      </c>
      <c r="B71">
        <v>10379</v>
      </c>
      <c r="C71">
        <v>2866</v>
      </c>
      <c r="D71">
        <v>343</v>
      </c>
      <c r="E71">
        <v>1934</v>
      </c>
      <c r="F71">
        <v>15522</v>
      </c>
    </row>
    <row r="72" spans="1:6" s="11" customFormat="1" x14ac:dyDescent="0.25">
      <c r="A72" s="11" t="s">
        <v>0</v>
      </c>
      <c r="B72">
        <v>5505326</v>
      </c>
      <c r="C72">
        <v>4117871</v>
      </c>
      <c r="D72">
        <v>443971</v>
      </c>
      <c r="E72">
        <v>3384837</v>
      </c>
      <c r="F72">
        <v>13452005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78</v>
      </c>
      <c r="B1" s="27"/>
      <c r="C1" s="27"/>
      <c r="D1" s="27"/>
      <c r="E1" s="27"/>
      <c r="F1" s="28"/>
    </row>
    <row r="2" spans="1:6" x14ac:dyDescent="0.25">
      <c r="A2" s="20" t="s">
        <v>178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49948</v>
      </c>
      <c r="C5">
        <v>77819</v>
      </c>
      <c r="D5">
        <v>5400</v>
      </c>
      <c r="E5">
        <v>41221</v>
      </c>
      <c r="F5">
        <v>174388</v>
      </c>
    </row>
    <row r="6" spans="1:6" x14ac:dyDescent="0.25">
      <c r="A6" t="s">
        <v>2</v>
      </c>
      <c r="B6">
        <v>12234</v>
      </c>
      <c r="C6">
        <v>2842</v>
      </c>
      <c r="D6">
        <v>407</v>
      </c>
      <c r="E6">
        <v>1836</v>
      </c>
      <c r="F6">
        <v>17319</v>
      </c>
    </row>
    <row r="7" spans="1:6" x14ac:dyDescent="0.25">
      <c r="A7" t="s">
        <v>3</v>
      </c>
      <c r="B7">
        <v>72679</v>
      </c>
      <c r="C7">
        <v>23420</v>
      </c>
      <c r="D7">
        <v>4751</v>
      </c>
      <c r="E7">
        <v>23647</v>
      </c>
      <c r="F7">
        <v>124497</v>
      </c>
    </row>
    <row r="8" spans="1:6" x14ac:dyDescent="0.25">
      <c r="A8" t="s">
        <v>4</v>
      </c>
      <c r="B8">
        <v>10521</v>
      </c>
      <c r="C8">
        <v>3467</v>
      </c>
      <c r="D8">
        <v>436</v>
      </c>
      <c r="E8">
        <v>2051</v>
      </c>
      <c r="F8">
        <v>16475</v>
      </c>
    </row>
    <row r="9" spans="1:6" x14ac:dyDescent="0.25">
      <c r="A9" t="s">
        <v>5</v>
      </c>
      <c r="B9">
        <v>200678</v>
      </c>
      <c r="C9">
        <v>109514</v>
      </c>
      <c r="D9">
        <v>16912</v>
      </c>
      <c r="E9">
        <v>104498</v>
      </c>
      <c r="F9">
        <v>431602</v>
      </c>
    </row>
    <row r="10" spans="1:6" x14ac:dyDescent="0.25">
      <c r="A10" t="s">
        <v>6</v>
      </c>
      <c r="B10">
        <v>283727</v>
      </c>
      <c r="C10">
        <v>521427</v>
      </c>
      <c r="D10">
        <v>31058</v>
      </c>
      <c r="E10">
        <v>358872</v>
      </c>
      <c r="F10">
        <v>1195084</v>
      </c>
    </row>
    <row r="11" spans="1:6" x14ac:dyDescent="0.25">
      <c r="A11" t="s">
        <v>7</v>
      </c>
      <c r="B11">
        <v>4749</v>
      </c>
      <c r="C11">
        <v>1940</v>
      </c>
      <c r="D11">
        <v>95</v>
      </c>
      <c r="E11">
        <v>753</v>
      </c>
      <c r="F11">
        <v>7537</v>
      </c>
    </row>
    <row r="12" spans="1:6" x14ac:dyDescent="0.25">
      <c r="A12" t="s">
        <v>8</v>
      </c>
      <c r="B12">
        <v>79501</v>
      </c>
      <c r="C12">
        <v>28833</v>
      </c>
      <c r="D12">
        <v>6047</v>
      </c>
      <c r="E12">
        <v>32966</v>
      </c>
      <c r="F12">
        <v>147347</v>
      </c>
    </row>
    <row r="13" spans="1:6" x14ac:dyDescent="0.25">
      <c r="A13" t="s">
        <v>9</v>
      </c>
      <c r="B13">
        <v>68484</v>
      </c>
      <c r="C13">
        <v>20548</v>
      </c>
      <c r="D13">
        <v>4457</v>
      </c>
      <c r="E13">
        <v>22418</v>
      </c>
      <c r="F13">
        <v>115907</v>
      </c>
    </row>
    <row r="14" spans="1:6" x14ac:dyDescent="0.25">
      <c r="A14" t="s">
        <v>10</v>
      </c>
      <c r="B14">
        <v>86521</v>
      </c>
      <c r="C14">
        <v>29840</v>
      </c>
      <c r="D14">
        <v>5425</v>
      </c>
      <c r="E14">
        <v>29146</v>
      </c>
      <c r="F14">
        <v>150932</v>
      </c>
    </row>
    <row r="15" spans="1:6" x14ac:dyDescent="0.25">
      <c r="A15" t="s">
        <v>11</v>
      </c>
      <c r="B15">
        <v>143987</v>
      </c>
      <c r="C15">
        <v>50214</v>
      </c>
      <c r="D15">
        <v>7780</v>
      </c>
      <c r="E15">
        <v>58475</v>
      </c>
      <c r="F15">
        <v>260456</v>
      </c>
    </row>
    <row r="16" spans="1:6" x14ac:dyDescent="0.25">
      <c r="A16" t="s">
        <v>12</v>
      </c>
      <c r="B16">
        <v>23783</v>
      </c>
      <c r="C16">
        <v>9477</v>
      </c>
      <c r="D16">
        <v>1214</v>
      </c>
      <c r="E16">
        <v>6161</v>
      </c>
      <c r="F16">
        <v>40635</v>
      </c>
    </row>
    <row r="17" spans="1:6" x14ac:dyDescent="0.25">
      <c r="A17" t="s">
        <v>13</v>
      </c>
      <c r="B17">
        <v>7919</v>
      </c>
      <c r="C17">
        <v>4033</v>
      </c>
      <c r="D17">
        <v>458</v>
      </c>
      <c r="E17">
        <v>3000</v>
      </c>
      <c r="F17">
        <v>15410</v>
      </c>
    </row>
    <row r="18" spans="1:6" x14ac:dyDescent="0.25">
      <c r="A18" t="s">
        <v>14</v>
      </c>
      <c r="B18">
        <v>6694</v>
      </c>
      <c r="C18">
        <v>1638</v>
      </c>
      <c r="D18">
        <v>224</v>
      </c>
      <c r="E18">
        <v>1320</v>
      </c>
      <c r="F18">
        <v>9876</v>
      </c>
    </row>
    <row r="19" spans="1:6" x14ac:dyDescent="0.25">
      <c r="A19" t="s">
        <v>15</v>
      </c>
      <c r="B19">
        <v>234357</v>
      </c>
      <c r="C19">
        <v>238971</v>
      </c>
      <c r="D19">
        <v>21789</v>
      </c>
      <c r="E19">
        <v>141329</v>
      </c>
      <c r="F19">
        <v>636446</v>
      </c>
    </row>
    <row r="20" spans="1:6" x14ac:dyDescent="0.25">
      <c r="A20" t="s">
        <v>16</v>
      </c>
      <c r="B20">
        <v>100182</v>
      </c>
      <c r="C20">
        <v>61154</v>
      </c>
      <c r="D20">
        <v>7056</v>
      </c>
      <c r="E20">
        <v>42088</v>
      </c>
      <c r="F20">
        <v>210480</v>
      </c>
    </row>
    <row r="21" spans="1:6" x14ac:dyDescent="0.25">
      <c r="A21" t="s">
        <v>17</v>
      </c>
      <c r="B21">
        <v>48652</v>
      </c>
      <c r="C21">
        <v>22890</v>
      </c>
      <c r="D21">
        <v>3763</v>
      </c>
      <c r="E21">
        <v>20338</v>
      </c>
      <c r="F21">
        <v>95643</v>
      </c>
    </row>
    <row r="22" spans="1:6" x14ac:dyDescent="0.25">
      <c r="A22" t="s">
        <v>18</v>
      </c>
      <c r="B22">
        <v>4091</v>
      </c>
      <c r="C22">
        <v>2230</v>
      </c>
      <c r="D22">
        <v>283</v>
      </c>
      <c r="E22">
        <v>1111</v>
      </c>
      <c r="F22">
        <v>7715</v>
      </c>
    </row>
    <row r="23" spans="1:6" x14ac:dyDescent="0.25">
      <c r="A23" t="s">
        <v>19</v>
      </c>
      <c r="B23">
        <v>5766</v>
      </c>
      <c r="C23">
        <v>17426</v>
      </c>
      <c r="D23">
        <v>458</v>
      </c>
      <c r="E23">
        <v>2760</v>
      </c>
      <c r="F23">
        <v>26410</v>
      </c>
    </row>
    <row r="24" spans="1:6" x14ac:dyDescent="0.25">
      <c r="A24" t="s">
        <v>20</v>
      </c>
      <c r="B24">
        <v>8971</v>
      </c>
      <c r="C24">
        <v>1758</v>
      </c>
      <c r="D24">
        <v>452</v>
      </c>
      <c r="E24">
        <v>1564</v>
      </c>
      <c r="F24">
        <v>12745</v>
      </c>
    </row>
    <row r="25" spans="1:6" x14ac:dyDescent="0.25">
      <c r="A25" t="s">
        <v>21</v>
      </c>
      <c r="B25">
        <v>3949</v>
      </c>
      <c r="C25">
        <v>1391</v>
      </c>
      <c r="D25">
        <v>201</v>
      </c>
      <c r="E25">
        <v>1053</v>
      </c>
      <c r="F25">
        <v>6594</v>
      </c>
    </row>
    <row r="26" spans="1:6" x14ac:dyDescent="0.25">
      <c r="A26" t="s">
        <v>22</v>
      </c>
      <c r="B26">
        <v>6955</v>
      </c>
      <c r="C26">
        <v>2329</v>
      </c>
      <c r="D26">
        <v>356</v>
      </c>
      <c r="E26">
        <v>1280</v>
      </c>
      <c r="F26">
        <v>10920</v>
      </c>
    </row>
    <row r="27" spans="1:6" x14ac:dyDescent="0.25">
      <c r="A27" t="s">
        <v>23</v>
      </c>
      <c r="B27">
        <v>3603</v>
      </c>
      <c r="C27">
        <v>2324</v>
      </c>
      <c r="D27">
        <v>183</v>
      </c>
      <c r="E27">
        <v>794</v>
      </c>
      <c r="F27">
        <v>6904</v>
      </c>
    </row>
    <row r="28" spans="1:6" x14ac:dyDescent="0.25">
      <c r="A28" t="s">
        <v>24</v>
      </c>
      <c r="B28">
        <v>6794</v>
      </c>
      <c r="C28">
        <v>2717</v>
      </c>
      <c r="D28">
        <v>352</v>
      </c>
      <c r="E28">
        <v>2219</v>
      </c>
      <c r="F28">
        <v>12082</v>
      </c>
    </row>
    <row r="29" spans="1:6" x14ac:dyDescent="0.25">
      <c r="A29" t="s">
        <v>25</v>
      </c>
      <c r="B29">
        <v>9127</v>
      </c>
      <c r="C29">
        <v>5243</v>
      </c>
      <c r="D29">
        <v>482</v>
      </c>
      <c r="E29">
        <v>3367</v>
      </c>
      <c r="F29">
        <v>18219</v>
      </c>
    </row>
    <row r="30" spans="1:6" x14ac:dyDescent="0.25">
      <c r="A30" t="s">
        <v>26</v>
      </c>
      <c r="B30">
        <v>68557</v>
      </c>
      <c r="C30">
        <v>30059</v>
      </c>
      <c r="D30">
        <v>5243</v>
      </c>
      <c r="E30">
        <v>29378</v>
      </c>
      <c r="F30">
        <v>133237</v>
      </c>
    </row>
    <row r="31" spans="1:6" x14ac:dyDescent="0.25">
      <c r="A31" t="s">
        <v>27</v>
      </c>
      <c r="B31">
        <v>34788</v>
      </c>
      <c r="C31">
        <v>13830</v>
      </c>
      <c r="D31">
        <v>2349</v>
      </c>
      <c r="E31">
        <v>12330</v>
      </c>
      <c r="F31">
        <v>63297</v>
      </c>
    </row>
    <row r="32" spans="1:6" x14ac:dyDescent="0.25">
      <c r="A32" t="s">
        <v>28</v>
      </c>
      <c r="B32">
        <v>291297</v>
      </c>
      <c r="C32">
        <v>272181</v>
      </c>
      <c r="D32">
        <v>27879</v>
      </c>
      <c r="E32">
        <v>216415</v>
      </c>
      <c r="F32">
        <v>807772</v>
      </c>
    </row>
    <row r="33" spans="1:6" x14ac:dyDescent="0.25">
      <c r="A33" t="s">
        <v>29</v>
      </c>
      <c r="B33">
        <v>8137</v>
      </c>
      <c r="C33">
        <v>1529</v>
      </c>
      <c r="D33">
        <v>258</v>
      </c>
      <c r="E33">
        <v>1176</v>
      </c>
      <c r="F33">
        <v>11100</v>
      </c>
    </row>
    <row r="34" spans="1:6" x14ac:dyDescent="0.25">
      <c r="A34" t="s">
        <v>30</v>
      </c>
      <c r="B34">
        <v>61272</v>
      </c>
      <c r="C34">
        <v>25871</v>
      </c>
      <c r="D34">
        <v>4608</v>
      </c>
      <c r="E34">
        <v>24545</v>
      </c>
      <c r="F34">
        <v>116296</v>
      </c>
    </row>
    <row r="35" spans="1:6" x14ac:dyDescent="0.25">
      <c r="A35" t="s">
        <v>31</v>
      </c>
      <c r="B35">
        <v>15603</v>
      </c>
      <c r="C35">
        <v>7845</v>
      </c>
      <c r="D35">
        <v>560</v>
      </c>
      <c r="E35">
        <v>2618</v>
      </c>
      <c r="F35">
        <v>26626</v>
      </c>
    </row>
    <row r="36" spans="1:6" x14ac:dyDescent="0.25">
      <c r="A36" t="s">
        <v>32</v>
      </c>
      <c r="B36">
        <v>4629</v>
      </c>
      <c r="C36">
        <v>3827</v>
      </c>
      <c r="D36">
        <v>188</v>
      </c>
      <c r="E36">
        <v>1161</v>
      </c>
      <c r="F36">
        <v>9805</v>
      </c>
    </row>
    <row r="37" spans="1:6" x14ac:dyDescent="0.25">
      <c r="A37" t="s">
        <v>33</v>
      </c>
      <c r="B37">
        <v>3283</v>
      </c>
      <c r="C37">
        <v>592</v>
      </c>
      <c r="D37">
        <v>70</v>
      </c>
      <c r="E37">
        <v>270</v>
      </c>
      <c r="F37">
        <v>4215</v>
      </c>
    </row>
    <row r="38" spans="1:6" x14ac:dyDescent="0.25">
      <c r="A38" t="s">
        <v>34</v>
      </c>
      <c r="B38">
        <v>129407</v>
      </c>
      <c r="C38">
        <v>66909</v>
      </c>
      <c r="D38">
        <v>9393</v>
      </c>
      <c r="E38">
        <v>64147</v>
      </c>
      <c r="F38">
        <v>269856</v>
      </c>
    </row>
    <row r="39" spans="1:6" x14ac:dyDescent="0.25">
      <c r="A39" t="s">
        <v>35</v>
      </c>
      <c r="B39">
        <v>237793</v>
      </c>
      <c r="C39">
        <v>103537</v>
      </c>
      <c r="D39">
        <v>16177</v>
      </c>
      <c r="E39">
        <v>124553</v>
      </c>
      <c r="F39">
        <v>482060</v>
      </c>
    </row>
    <row r="40" spans="1:6" x14ac:dyDescent="0.25">
      <c r="A40" t="s">
        <v>36</v>
      </c>
      <c r="B40">
        <v>54437</v>
      </c>
      <c r="C40">
        <v>87667</v>
      </c>
      <c r="D40">
        <v>5488</v>
      </c>
      <c r="E40">
        <v>35864</v>
      </c>
      <c r="F40">
        <v>183456</v>
      </c>
    </row>
    <row r="41" spans="1:6" x14ac:dyDescent="0.25">
      <c r="A41" t="s">
        <v>37</v>
      </c>
      <c r="B41">
        <v>18201</v>
      </c>
      <c r="C41">
        <v>6090</v>
      </c>
      <c r="D41">
        <v>1090</v>
      </c>
      <c r="E41">
        <v>4101</v>
      </c>
      <c r="F41">
        <v>29482</v>
      </c>
    </row>
    <row r="42" spans="1:6" x14ac:dyDescent="0.25">
      <c r="A42" t="s">
        <v>38</v>
      </c>
      <c r="B42">
        <v>2803</v>
      </c>
      <c r="C42">
        <v>1203</v>
      </c>
      <c r="D42">
        <v>23</v>
      </c>
      <c r="E42">
        <v>451</v>
      </c>
      <c r="F42">
        <v>4480</v>
      </c>
    </row>
    <row r="43" spans="1:6" x14ac:dyDescent="0.25">
      <c r="A43" t="s">
        <v>39</v>
      </c>
      <c r="B43">
        <v>5135</v>
      </c>
      <c r="C43">
        <v>3901</v>
      </c>
      <c r="D43">
        <v>128</v>
      </c>
      <c r="E43">
        <v>1183</v>
      </c>
      <c r="F43">
        <v>10347</v>
      </c>
    </row>
    <row r="44" spans="1:6" x14ac:dyDescent="0.25">
      <c r="A44" t="s">
        <v>40</v>
      </c>
      <c r="B44">
        <v>135958</v>
      </c>
      <c r="C44">
        <v>65657</v>
      </c>
      <c r="D44">
        <v>9015</v>
      </c>
      <c r="E44">
        <v>63147</v>
      </c>
      <c r="F44">
        <v>273777</v>
      </c>
    </row>
    <row r="45" spans="1:6" x14ac:dyDescent="0.25">
      <c r="A45" t="s">
        <v>41</v>
      </c>
      <c r="B45">
        <v>134356</v>
      </c>
      <c r="C45">
        <v>65467</v>
      </c>
      <c r="D45">
        <v>9464</v>
      </c>
      <c r="E45">
        <v>50116</v>
      </c>
      <c r="F45">
        <v>259403</v>
      </c>
    </row>
    <row r="46" spans="1:6" x14ac:dyDescent="0.25">
      <c r="A46" t="s">
        <v>42</v>
      </c>
      <c r="B46">
        <v>61698</v>
      </c>
      <c r="C46">
        <v>23434</v>
      </c>
      <c r="D46">
        <v>4613</v>
      </c>
      <c r="E46">
        <v>24023</v>
      </c>
      <c r="F46">
        <v>113768</v>
      </c>
    </row>
    <row r="47" spans="1:6" x14ac:dyDescent="0.25">
      <c r="A47" t="s">
        <v>43</v>
      </c>
      <c r="B47">
        <v>447934</v>
      </c>
      <c r="C47">
        <v>406964</v>
      </c>
      <c r="D47">
        <v>31353</v>
      </c>
      <c r="E47">
        <v>387164</v>
      </c>
      <c r="F47">
        <v>1273415</v>
      </c>
    </row>
    <row r="48" spans="1:6" x14ac:dyDescent="0.25">
      <c r="A48" t="s">
        <v>44</v>
      </c>
      <c r="B48">
        <v>24604</v>
      </c>
      <c r="C48">
        <v>14734</v>
      </c>
      <c r="D48">
        <v>1994</v>
      </c>
      <c r="E48">
        <v>12543</v>
      </c>
      <c r="F48">
        <v>53875</v>
      </c>
    </row>
    <row r="49" spans="1:6" x14ac:dyDescent="0.25">
      <c r="A49" t="s">
        <v>45</v>
      </c>
      <c r="B49">
        <v>48150</v>
      </c>
      <c r="C49">
        <v>13325</v>
      </c>
      <c r="D49">
        <v>2954</v>
      </c>
      <c r="E49">
        <v>14791</v>
      </c>
      <c r="F49">
        <v>79220</v>
      </c>
    </row>
    <row r="50" spans="1:6" x14ac:dyDescent="0.25">
      <c r="A50" t="s">
        <v>46</v>
      </c>
      <c r="B50">
        <v>84696</v>
      </c>
      <c r="C50">
        <v>23596</v>
      </c>
      <c r="D50">
        <v>5079</v>
      </c>
      <c r="E50">
        <v>30477</v>
      </c>
      <c r="F50">
        <v>143848</v>
      </c>
    </row>
    <row r="51" spans="1:6" x14ac:dyDescent="0.25">
      <c r="A51" t="s">
        <v>47</v>
      </c>
      <c r="B51">
        <v>12001</v>
      </c>
      <c r="C51">
        <v>4253</v>
      </c>
      <c r="D51">
        <v>762</v>
      </c>
      <c r="E51">
        <v>3082</v>
      </c>
      <c r="F51">
        <v>20098</v>
      </c>
    </row>
    <row r="52" spans="1:6" x14ac:dyDescent="0.25">
      <c r="A52" t="s">
        <v>48</v>
      </c>
      <c r="B52">
        <v>226457</v>
      </c>
      <c r="C52">
        <v>317412</v>
      </c>
      <c r="D52">
        <v>28876</v>
      </c>
      <c r="E52">
        <v>246209</v>
      </c>
      <c r="F52">
        <v>818954</v>
      </c>
    </row>
    <row r="53" spans="1:6" x14ac:dyDescent="0.25">
      <c r="A53" t="s">
        <v>49</v>
      </c>
      <c r="B53">
        <v>67484</v>
      </c>
      <c r="C53">
        <v>79567</v>
      </c>
      <c r="D53">
        <v>8491</v>
      </c>
      <c r="E53">
        <v>69234</v>
      </c>
      <c r="F53">
        <v>224776</v>
      </c>
    </row>
    <row r="54" spans="1:6" x14ac:dyDescent="0.25">
      <c r="A54" t="s">
        <v>50</v>
      </c>
      <c r="B54">
        <v>291830</v>
      </c>
      <c r="C54">
        <v>307504</v>
      </c>
      <c r="D54">
        <v>31378</v>
      </c>
      <c r="E54">
        <v>232612</v>
      </c>
      <c r="F54">
        <v>863324</v>
      </c>
    </row>
    <row r="55" spans="1:6" x14ac:dyDescent="0.25">
      <c r="A55" t="s">
        <v>51</v>
      </c>
      <c r="B55">
        <v>175971</v>
      </c>
      <c r="C55">
        <v>96683</v>
      </c>
      <c r="D55">
        <v>15942</v>
      </c>
      <c r="E55">
        <v>98877</v>
      </c>
      <c r="F55">
        <v>387473</v>
      </c>
    </row>
    <row r="56" spans="1:6" x14ac:dyDescent="0.25">
      <c r="A56" t="s">
        <v>52</v>
      </c>
      <c r="B56">
        <v>237789</v>
      </c>
      <c r="C56">
        <v>190906</v>
      </c>
      <c r="D56">
        <v>20738</v>
      </c>
      <c r="E56">
        <v>153912</v>
      </c>
      <c r="F56">
        <v>603345</v>
      </c>
    </row>
    <row r="57" spans="1:6" x14ac:dyDescent="0.25">
      <c r="A57" t="s">
        <v>53</v>
      </c>
      <c r="B57">
        <v>187355</v>
      </c>
      <c r="C57">
        <v>127949</v>
      </c>
      <c r="D57">
        <v>16414</v>
      </c>
      <c r="E57">
        <v>106929</v>
      </c>
      <c r="F57">
        <v>438647</v>
      </c>
    </row>
    <row r="58" spans="1:6" x14ac:dyDescent="0.25">
      <c r="A58" t="s">
        <v>54</v>
      </c>
      <c r="B58">
        <v>25326</v>
      </c>
      <c r="C58">
        <v>10573</v>
      </c>
      <c r="D58">
        <v>1269</v>
      </c>
      <c r="E58">
        <v>6886</v>
      </c>
      <c r="F58">
        <v>44054</v>
      </c>
    </row>
    <row r="59" spans="1:6" x14ac:dyDescent="0.25">
      <c r="A59" t="s">
        <v>55</v>
      </c>
      <c r="B59">
        <v>88159</v>
      </c>
      <c r="C59">
        <v>20043</v>
      </c>
      <c r="D59">
        <v>4854</v>
      </c>
      <c r="E59">
        <v>24821</v>
      </c>
      <c r="F59">
        <v>137877</v>
      </c>
    </row>
    <row r="60" spans="1:6" x14ac:dyDescent="0.25">
      <c r="A60" t="s">
        <v>56</v>
      </c>
      <c r="B60">
        <v>158396</v>
      </c>
      <c r="C60">
        <v>80212</v>
      </c>
      <c r="D60">
        <v>10602</v>
      </c>
      <c r="E60">
        <v>73609</v>
      </c>
      <c r="F60">
        <v>322819</v>
      </c>
    </row>
    <row r="61" spans="1:6" x14ac:dyDescent="0.25">
      <c r="A61" t="s">
        <v>57</v>
      </c>
      <c r="B61">
        <v>120853</v>
      </c>
      <c r="C61">
        <v>107283</v>
      </c>
      <c r="D61">
        <v>12417</v>
      </c>
      <c r="E61">
        <v>100219</v>
      </c>
      <c r="F61">
        <v>340772</v>
      </c>
    </row>
    <row r="62" spans="1:6" x14ac:dyDescent="0.25">
      <c r="A62" t="s">
        <v>58</v>
      </c>
      <c r="B62">
        <v>129799</v>
      </c>
      <c r="C62">
        <v>46856</v>
      </c>
      <c r="D62">
        <v>7167</v>
      </c>
      <c r="E62">
        <v>47715</v>
      </c>
      <c r="F62">
        <v>231537</v>
      </c>
    </row>
    <row r="63" spans="1:6" x14ac:dyDescent="0.25">
      <c r="A63" t="s">
        <v>59</v>
      </c>
      <c r="B63">
        <v>91683</v>
      </c>
      <c r="C63">
        <v>77606</v>
      </c>
      <c r="D63">
        <v>9534</v>
      </c>
      <c r="E63">
        <v>56274</v>
      </c>
      <c r="F63">
        <v>235097</v>
      </c>
    </row>
    <row r="64" spans="1:6" x14ac:dyDescent="0.25">
      <c r="A64" t="s">
        <v>60</v>
      </c>
      <c r="B64">
        <v>74557</v>
      </c>
      <c r="C64">
        <v>22746</v>
      </c>
      <c r="D64">
        <v>3263</v>
      </c>
      <c r="E64">
        <v>23272</v>
      </c>
      <c r="F64">
        <v>123838</v>
      </c>
    </row>
    <row r="65" spans="1:6" x14ac:dyDescent="0.25">
      <c r="A65" t="s">
        <v>61</v>
      </c>
      <c r="B65">
        <v>16534</v>
      </c>
      <c r="C65">
        <v>5070</v>
      </c>
      <c r="D65">
        <v>828</v>
      </c>
      <c r="E65">
        <v>3400</v>
      </c>
      <c r="F65">
        <v>25832</v>
      </c>
    </row>
    <row r="66" spans="1:6" x14ac:dyDescent="0.25">
      <c r="A66" t="s">
        <v>62</v>
      </c>
      <c r="B66">
        <v>7416</v>
      </c>
      <c r="C66">
        <v>2870</v>
      </c>
      <c r="D66">
        <v>244</v>
      </c>
      <c r="E66">
        <v>966</v>
      </c>
      <c r="F66">
        <v>11496</v>
      </c>
    </row>
    <row r="67" spans="1:6" x14ac:dyDescent="0.25">
      <c r="A67" t="s">
        <v>63</v>
      </c>
      <c r="B67">
        <v>4849</v>
      </c>
      <c r="C67">
        <v>1504</v>
      </c>
      <c r="D67">
        <v>135</v>
      </c>
      <c r="E67">
        <v>632</v>
      </c>
      <c r="F67">
        <v>7120</v>
      </c>
    </row>
    <row r="68" spans="1:6" x14ac:dyDescent="0.25">
      <c r="A68" t="s">
        <v>64</v>
      </c>
      <c r="B68">
        <v>170970</v>
      </c>
      <c r="C68">
        <v>107724</v>
      </c>
      <c r="D68">
        <v>15706</v>
      </c>
      <c r="E68">
        <v>105512</v>
      </c>
      <c r="F68">
        <v>399912</v>
      </c>
    </row>
    <row r="69" spans="1:6" x14ac:dyDescent="0.25">
      <c r="A69" t="s">
        <v>65</v>
      </c>
      <c r="B69">
        <v>13682</v>
      </c>
      <c r="C69">
        <v>6269</v>
      </c>
      <c r="D69">
        <v>877</v>
      </c>
      <c r="E69">
        <v>4104</v>
      </c>
      <c r="F69">
        <v>24932</v>
      </c>
    </row>
    <row r="70" spans="1:6" x14ac:dyDescent="0.25">
      <c r="A70" t="s">
        <v>66</v>
      </c>
      <c r="B70">
        <v>40974</v>
      </c>
      <c r="C70">
        <v>7432</v>
      </c>
      <c r="D70">
        <v>2033</v>
      </c>
      <c r="E70">
        <v>9567</v>
      </c>
      <c r="F70">
        <v>60006</v>
      </c>
    </row>
    <row r="71" spans="1:6" x14ac:dyDescent="0.25">
      <c r="A71" t="s">
        <v>67</v>
      </c>
      <c r="B71">
        <v>10407</v>
      </c>
      <c r="C71">
        <v>2865</v>
      </c>
      <c r="D71">
        <v>354</v>
      </c>
      <c r="E71">
        <v>1938</v>
      </c>
      <c r="F71">
        <v>15564</v>
      </c>
    </row>
    <row r="72" spans="1:6" s="11" customFormat="1" x14ac:dyDescent="0.25">
      <c r="A72" s="11" t="s">
        <v>0</v>
      </c>
      <c r="B72">
        <v>5509102</v>
      </c>
      <c r="C72">
        <v>4104990</v>
      </c>
      <c r="D72">
        <v>449849</v>
      </c>
      <c r="E72">
        <v>3374490</v>
      </c>
      <c r="F72">
        <v>13438431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2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  <col min="7" max="7" width="9" customWidth="1"/>
  </cols>
  <sheetData>
    <row r="1" spans="1:6" ht="18.75" customHeight="1" x14ac:dyDescent="0.3">
      <c r="A1" s="26" t="s">
        <v>79</v>
      </c>
      <c r="B1" s="27"/>
      <c r="C1" s="27"/>
      <c r="D1" s="27"/>
      <c r="E1" s="27"/>
      <c r="F1" s="28"/>
    </row>
    <row r="2" spans="1:6" x14ac:dyDescent="0.25">
      <c r="A2" s="20" t="s">
        <v>179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t="s">
        <v>1</v>
      </c>
      <c r="B5">
        <v>50029</v>
      </c>
      <c r="C5">
        <v>77877</v>
      </c>
      <c r="D5">
        <v>5474</v>
      </c>
      <c r="E5">
        <v>41290</v>
      </c>
      <c r="F5">
        <v>174670</v>
      </c>
    </row>
    <row r="6" spans="1:6" x14ac:dyDescent="0.25">
      <c r="A6" t="s">
        <v>2</v>
      </c>
      <c r="B6">
        <v>12282</v>
      </c>
      <c r="C6">
        <v>2847</v>
      </c>
      <c r="D6">
        <v>407</v>
      </c>
      <c r="E6">
        <v>1843</v>
      </c>
      <c r="F6">
        <v>17379</v>
      </c>
    </row>
    <row r="7" spans="1:6" x14ac:dyDescent="0.25">
      <c r="A7" t="s">
        <v>3</v>
      </c>
      <c r="B7">
        <v>72949</v>
      </c>
      <c r="C7">
        <v>23492</v>
      </c>
      <c r="D7">
        <v>4822</v>
      </c>
      <c r="E7">
        <v>23717</v>
      </c>
      <c r="F7">
        <v>124980</v>
      </c>
    </row>
    <row r="8" spans="1:6" x14ac:dyDescent="0.25">
      <c r="A8" t="s">
        <v>4</v>
      </c>
      <c r="B8">
        <v>10533</v>
      </c>
      <c r="C8">
        <v>3483</v>
      </c>
      <c r="D8">
        <v>453</v>
      </c>
      <c r="E8">
        <v>2050</v>
      </c>
      <c r="F8">
        <v>16519</v>
      </c>
    </row>
    <row r="9" spans="1:6" x14ac:dyDescent="0.25">
      <c r="A9" t="s">
        <v>5</v>
      </c>
      <c r="B9">
        <v>201228</v>
      </c>
      <c r="C9">
        <v>109688</v>
      </c>
      <c r="D9">
        <v>17135</v>
      </c>
      <c r="E9">
        <v>104949</v>
      </c>
      <c r="F9">
        <v>433000</v>
      </c>
    </row>
    <row r="10" spans="1:6" x14ac:dyDescent="0.25">
      <c r="A10" t="s">
        <v>6</v>
      </c>
      <c r="B10">
        <v>284190</v>
      </c>
      <c r="C10">
        <v>521401</v>
      </c>
      <c r="D10">
        <v>31270</v>
      </c>
      <c r="E10">
        <v>359449</v>
      </c>
      <c r="F10">
        <v>1196310</v>
      </c>
    </row>
    <row r="11" spans="1:6" x14ac:dyDescent="0.25">
      <c r="A11" t="s">
        <v>7</v>
      </c>
      <c r="B11">
        <v>4761</v>
      </c>
      <c r="C11">
        <v>1938</v>
      </c>
      <c r="D11">
        <v>98</v>
      </c>
      <c r="E11">
        <v>755</v>
      </c>
      <c r="F11">
        <v>7552</v>
      </c>
    </row>
    <row r="12" spans="1:6" x14ac:dyDescent="0.25">
      <c r="A12" t="s">
        <v>8</v>
      </c>
      <c r="B12">
        <v>79974</v>
      </c>
      <c r="C12">
        <v>28913</v>
      </c>
      <c r="D12">
        <v>6199</v>
      </c>
      <c r="E12">
        <v>33071</v>
      </c>
      <c r="F12">
        <v>148157</v>
      </c>
    </row>
    <row r="13" spans="1:6" x14ac:dyDescent="0.25">
      <c r="A13" t="s">
        <v>9</v>
      </c>
      <c r="B13">
        <v>68815</v>
      </c>
      <c r="C13">
        <v>20577</v>
      </c>
      <c r="D13">
        <v>4561</v>
      </c>
      <c r="E13">
        <v>22434</v>
      </c>
      <c r="F13">
        <v>116387</v>
      </c>
    </row>
    <row r="14" spans="1:6" x14ac:dyDescent="0.25">
      <c r="A14" t="s">
        <v>10</v>
      </c>
      <c r="B14">
        <v>86739</v>
      </c>
      <c r="C14">
        <v>29911</v>
      </c>
      <c r="D14">
        <v>5494</v>
      </c>
      <c r="E14">
        <v>29209</v>
      </c>
      <c r="F14">
        <v>151353</v>
      </c>
    </row>
    <row r="15" spans="1:6" x14ac:dyDescent="0.25">
      <c r="A15" t="s">
        <v>11</v>
      </c>
      <c r="B15">
        <v>144106</v>
      </c>
      <c r="C15">
        <v>50179</v>
      </c>
      <c r="D15">
        <v>7871</v>
      </c>
      <c r="E15">
        <v>58460</v>
      </c>
      <c r="F15">
        <v>260616</v>
      </c>
    </row>
    <row r="16" spans="1:6" x14ac:dyDescent="0.25">
      <c r="A16" t="s">
        <v>12</v>
      </c>
      <c r="B16">
        <v>23810</v>
      </c>
      <c r="C16">
        <v>9495</v>
      </c>
      <c r="D16">
        <v>1233</v>
      </c>
      <c r="E16">
        <v>6182</v>
      </c>
      <c r="F16">
        <v>40720</v>
      </c>
    </row>
    <row r="17" spans="1:6" x14ac:dyDescent="0.25">
      <c r="A17" t="s">
        <v>13</v>
      </c>
      <c r="B17">
        <v>7950</v>
      </c>
      <c r="C17">
        <v>4033</v>
      </c>
      <c r="D17">
        <v>465</v>
      </c>
      <c r="E17">
        <v>3010</v>
      </c>
      <c r="F17">
        <v>15458</v>
      </c>
    </row>
    <row r="18" spans="1:6" x14ac:dyDescent="0.25">
      <c r="A18" t="s">
        <v>14</v>
      </c>
      <c r="B18">
        <v>6716</v>
      </c>
      <c r="C18">
        <v>1633</v>
      </c>
      <c r="D18">
        <v>227</v>
      </c>
      <c r="E18">
        <v>1323</v>
      </c>
      <c r="F18">
        <v>9899</v>
      </c>
    </row>
    <row r="19" spans="1:6" x14ac:dyDescent="0.25">
      <c r="A19" t="s">
        <v>15</v>
      </c>
      <c r="B19">
        <v>234308</v>
      </c>
      <c r="C19">
        <v>238839</v>
      </c>
      <c r="D19">
        <v>21959</v>
      </c>
      <c r="E19">
        <v>141282</v>
      </c>
      <c r="F19">
        <v>636388</v>
      </c>
    </row>
    <row r="20" spans="1:6" x14ac:dyDescent="0.25">
      <c r="A20" t="s">
        <v>16</v>
      </c>
      <c r="B20">
        <v>100433</v>
      </c>
      <c r="C20">
        <v>61248</v>
      </c>
      <c r="D20">
        <v>7166</v>
      </c>
      <c r="E20">
        <v>42210</v>
      </c>
      <c r="F20">
        <v>211057</v>
      </c>
    </row>
    <row r="21" spans="1:6" x14ac:dyDescent="0.25">
      <c r="A21" t="s">
        <v>17</v>
      </c>
      <c r="B21">
        <v>48847</v>
      </c>
      <c r="C21">
        <v>22942</v>
      </c>
      <c r="D21">
        <v>3802</v>
      </c>
      <c r="E21">
        <v>20428</v>
      </c>
      <c r="F21">
        <v>96019</v>
      </c>
    </row>
    <row r="22" spans="1:6" x14ac:dyDescent="0.25">
      <c r="A22" t="s">
        <v>18</v>
      </c>
      <c r="B22">
        <v>4096</v>
      </c>
      <c r="C22">
        <v>2221</v>
      </c>
      <c r="D22">
        <v>283</v>
      </c>
      <c r="E22">
        <v>1125</v>
      </c>
      <c r="F22">
        <v>7725</v>
      </c>
    </row>
    <row r="23" spans="1:6" x14ac:dyDescent="0.25">
      <c r="A23" t="s">
        <v>19</v>
      </c>
      <c r="B23">
        <v>5784</v>
      </c>
      <c r="C23">
        <v>17442</v>
      </c>
      <c r="D23">
        <v>465</v>
      </c>
      <c r="E23">
        <v>2771</v>
      </c>
      <c r="F23">
        <v>26462</v>
      </c>
    </row>
    <row r="24" spans="1:6" x14ac:dyDescent="0.25">
      <c r="A24" t="s">
        <v>20</v>
      </c>
      <c r="B24">
        <v>8986</v>
      </c>
      <c r="C24">
        <v>1761</v>
      </c>
      <c r="D24">
        <v>457</v>
      </c>
      <c r="E24">
        <v>1577</v>
      </c>
      <c r="F24">
        <v>12781</v>
      </c>
    </row>
    <row r="25" spans="1:6" x14ac:dyDescent="0.25">
      <c r="A25" t="s">
        <v>21</v>
      </c>
      <c r="B25">
        <v>3964</v>
      </c>
      <c r="C25">
        <v>1396</v>
      </c>
      <c r="D25">
        <v>202</v>
      </c>
      <c r="E25">
        <v>1054</v>
      </c>
      <c r="F25">
        <v>6616</v>
      </c>
    </row>
    <row r="26" spans="1:6" x14ac:dyDescent="0.25">
      <c r="A26" t="s">
        <v>22</v>
      </c>
      <c r="B26">
        <v>6989</v>
      </c>
      <c r="C26">
        <v>2326</v>
      </c>
      <c r="D26">
        <v>360</v>
      </c>
      <c r="E26">
        <v>1283</v>
      </c>
      <c r="F26">
        <v>10958</v>
      </c>
    </row>
    <row r="27" spans="1:6" x14ac:dyDescent="0.25">
      <c r="A27" t="s">
        <v>23</v>
      </c>
      <c r="B27">
        <v>3623</v>
      </c>
      <c r="C27">
        <v>2322</v>
      </c>
      <c r="D27">
        <v>190</v>
      </c>
      <c r="E27">
        <v>803</v>
      </c>
      <c r="F27">
        <v>6938</v>
      </c>
    </row>
    <row r="28" spans="1:6" x14ac:dyDescent="0.25">
      <c r="A28" t="s">
        <v>24</v>
      </c>
      <c r="B28">
        <v>6790</v>
      </c>
      <c r="C28">
        <v>2713</v>
      </c>
      <c r="D28">
        <v>360</v>
      </c>
      <c r="E28">
        <v>2219</v>
      </c>
      <c r="F28">
        <v>12082</v>
      </c>
    </row>
    <row r="29" spans="1:6" x14ac:dyDescent="0.25">
      <c r="A29" t="s">
        <v>25</v>
      </c>
      <c r="B29">
        <v>9149</v>
      </c>
      <c r="C29">
        <v>5267</v>
      </c>
      <c r="D29">
        <v>495</v>
      </c>
      <c r="E29">
        <v>3398</v>
      </c>
      <c r="F29">
        <v>18309</v>
      </c>
    </row>
    <row r="30" spans="1:6" x14ac:dyDescent="0.25">
      <c r="A30" t="s">
        <v>26</v>
      </c>
      <c r="B30">
        <v>68752</v>
      </c>
      <c r="C30">
        <v>30095</v>
      </c>
      <c r="D30">
        <v>5293</v>
      </c>
      <c r="E30">
        <v>29436</v>
      </c>
      <c r="F30">
        <v>133576</v>
      </c>
    </row>
    <row r="31" spans="1:6" x14ac:dyDescent="0.25">
      <c r="A31" t="s">
        <v>27</v>
      </c>
      <c r="B31">
        <v>34931</v>
      </c>
      <c r="C31">
        <v>13845</v>
      </c>
      <c r="D31">
        <v>2389</v>
      </c>
      <c r="E31">
        <v>12322</v>
      </c>
      <c r="F31">
        <v>63487</v>
      </c>
    </row>
    <row r="32" spans="1:6" x14ac:dyDescent="0.25">
      <c r="A32" t="s">
        <v>28</v>
      </c>
      <c r="B32">
        <v>292121</v>
      </c>
      <c r="C32">
        <v>272909</v>
      </c>
      <c r="D32">
        <v>28345</v>
      </c>
      <c r="E32">
        <v>217242</v>
      </c>
      <c r="F32">
        <v>810617</v>
      </c>
    </row>
    <row r="33" spans="1:6" x14ac:dyDescent="0.25">
      <c r="A33" t="s">
        <v>29</v>
      </c>
      <c r="B33">
        <v>8168</v>
      </c>
      <c r="C33">
        <v>1519</v>
      </c>
      <c r="D33">
        <v>259</v>
      </c>
      <c r="E33">
        <v>1178</v>
      </c>
      <c r="F33">
        <v>11124</v>
      </c>
    </row>
    <row r="34" spans="1:6" x14ac:dyDescent="0.25">
      <c r="A34" t="s">
        <v>30</v>
      </c>
      <c r="B34">
        <v>61466</v>
      </c>
      <c r="C34">
        <v>25925</v>
      </c>
      <c r="D34">
        <v>4688</v>
      </c>
      <c r="E34">
        <v>24581</v>
      </c>
      <c r="F34">
        <v>116660</v>
      </c>
    </row>
    <row r="35" spans="1:6" x14ac:dyDescent="0.25">
      <c r="A35" t="s">
        <v>31</v>
      </c>
      <c r="B35">
        <v>15707</v>
      </c>
      <c r="C35">
        <v>7831</v>
      </c>
      <c r="D35">
        <v>565</v>
      </c>
      <c r="E35">
        <v>2634</v>
      </c>
      <c r="F35">
        <v>26737</v>
      </c>
    </row>
    <row r="36" spans="1:6" x14ac:dyDescent="0.25">
      <c r="A36" t="s">
        <v>32</v>
      </c>
      <c r="B36">
        <v>4643</v>
      </c>
      <c r="C36">
        <v>3822</v>
      </c>
      <c r="D36">
        <v>195</v>
      </c>
      <c r="E36">
        <v>1164</v>
      </c>
      <c r="F36">
        <v>9824</v>
      </c>
    </row>
    <row r="37" spans="1:6" x14ac:dyDescent="0.25">
      <c r="A37" t="s">
        <v>33</v>
      </c>
      <c r="B37">
        <v>3292</v>
      </c>
      <c r="C37">
        <v>592</v>
      </c>
      <c r="D37">
        <v>71</v>
      </c>
      <c r="E37">
        <v>267</v>
      </c>
      <c r="F37">
        <v>4222</v>
      </c>
    </row>
    <row r="38" spans="1:6" x14ac:dyDescent="0.25">
      <c r="A38" t="s">
        <v>34</v>
      </c>
      <c r="B38">
        <v>129746</v>
      </c>
      <c r="C38">
        <v>67033</v>
      </c>
      <c r="D38">
        <v>9496</v>
      </c>
      <c r="E38">
        <v>64341</v>
      </c>
      <c r="F38">
        <v>270616</v>
      </c>
    </row>
    <row r="39" spans="1:6" x14ac:dyDescent="0.25">
      <c r="A39" t="s">
        <v>35</v>
      </c>
      <c r="B39">
        <v>238718</v>
      </c>
      <c r="C39">
        <v>103749</v>
      </c>
      <c r="D39">
        <v>16466</v>
      </c>
      <c r="E39">
        <v>124900</v>
      </c>
      <c r="F39">
        <v>483833</v>
      </c>
    </row>
    <row r="40" spans="1:6" x14ac:dyDescent="0.25">
      <c r="A40" t="s">
        <v>36</v>
      </c>
      <c r="B40">
        <v>54472</v>
      </c>
      <c r="C40">
        <v>87702</v>
      </c>
      <c r="D40">
        <v>5546</v>
      </c>
      <c r="E40">
        <v>35963</v>
      </c>
      <c r="F40">
        <v>183683</v>
      </c>
    </row>
    <row r="41" spans="1:6" x14ac:dyDescent="0.25">
      <c r="A41" t="s">
        <v>37</v>
      </c>
      <c r="B41">
        <v>18253</v>
      </c>
      <c r="C41">
        <v>6092</v>
      </c>
      <c r="D41">
        <v>1116</v>
      </c>
      <c r="E41">
        <v>4098</v>
      </c>
      <c r="F41">
        <v>29559</v>
      </c>
    </row>
    <row r="42" spans="1:6" x14ac:dyDescent="0.25">
      <c r="A42" t="s">
        <v>38</v>
      </c>
      <c r="B42">
        <v>2807</v>
      </c>
      <c r="C42">
        <v>1199</v>
      </c>
      <c r="D42">
        <v>23</v>
      </c>
      <c r="E42">
        <v>451</v>
      </c>
      <c r="F42">
        <v>4480</v>
      </c>
    </row>
    <row r="43" spans="1:6" x14ac:dyDescent="0.25">
      <c r="A43" t="s">
        <v>39</v>
      </c>
      <c r="B43">
        <v>5144</v>
      </c>
      <c r="C43">
        <v>3896</v>
      </c>
      <c r="D43">
        <v>130</v>
      </c>
      <c r="E43">
        <v>1185</v>
      </c>
      <c r="F43">
        <v>10355</v>
      </c>
    </row>
    <row r="44" spans="1:6" x14ac:dyDescent="0.25">
      <c r="A44" t="s">
        <v>40</v>
      </c>
      <c r="B44">
        <v>136404</v>
      </c>
      <c r="C44">
        <v>65825</v>
      </c>
      <c r="D44">
        <v>9153</v>
      </c>
      <c r="E44">
        <v>63347</v>
      </c>
      <c r="F44">
        <v>274729</v>
      </c>
    </row>
    <row r="45" spans="1:6" x14ac:dyDescent="0.25">
      <c r="A45" t="s">
        <v>41</v>
      </c>
      <c r="B45">
        <v>134760</v>
      </c>
      <c r="C45">
        <v>65626</v>
      </c>
      <c r="D45">
        <v>9601</v>
      </c>
      <c r="E45">
        <v>50388</v>
      </c>
      <c r="F45">
        <v>260375</v>
      </c>
    </row>
    <row r="46" spans="1:6" x14ac:dyDescent="0.25">
      <c r="A46" t="s">
        <v>42</v>
      </c>
      <c r="B46">
        <v>61872</v>
      </c>
      <c r="C46">
        <v>23437</v>
      </c>
      <c r="D46">
        <v>4665</v>
      </c>
      <c r="E46">
        <v>24042</v>
      </c>
      <c r="F46">
        <v>114016</v>
      </c>
    </row>
    <row r="47" spans="1:6" x14ac:dyDescent="0.25">
      <c r="A47" t="s">
        <v>43</v>
      </c>
      <c r="B47">
        <v>448732</v>
      </c>
      <c r="C47">
        <v>407343</v>
      </c>
      <c r="D47">
        <v>31739</v>
      </c>
      <c r="E47">
        <v>388051</v>
      </c>
      <c r="F47">
        <v>1275865</v>
      </c>
    </row>
    <row r="48" spans="1:6" x14ac:dyDescent="0.25">
      <c r="A48" t="s">
        <v>44</v>
      </c>
      <c r="B48">
        <v>24671</v>
      </c>
      <c r="C48">
        <v>14719</v>
      </c>
      <c r="D48">
        <v>2031</v>
      </c>
      <c r="E48">
        <v>12545</v>
      </c>
      <c r="F48">
        <v>53966</v>
      </c>
    </row>
    <row r="49" spans="1:6" x14ac:dyDescent="0.25">
      <c r="A49" t="s">
        <v>45</v>
      </c>
      <c r="B49">
        <v>48332</v>
      </c>
      <c r="C49">
        <v>13350</v>
      </c>
      <c r="D49">
        <v>2989</v>
      </c>
      <c r="E49">
        <v>14808</v>
      </c>
      <c r="F49">
        <v>79479</v>
      </c>
    </row>
    <row r="50" spans="1:6" x14ac:dyDescent="0.25">
      <c r="A50" t="s">
        <v>46</v>
      </c>
      <c r="B50">
        <v>84855</v>
      </c>
      <c r="C50">
        <v>23640</v>
      </c>
      <c r="D50">
        <v>5152</v>
      </c>
      <c r="E50">
        <v>30546</v>
      </c>
      <c r="F50">
        <v>144193</v>
      </c>
    </row>
    <row r="51" spans="1:6" x14ac:dyDescent="0.25">
      <c r="A51" t="s">
        <v>47</v>
      </c>
      <c r="B51">
        <v>12045</v>
      </c>
      <c r="C51">
        <v>4263</v>
      </c>
      <c r="D51">
        <v>775</v>
      </c>
      <c r="E51">
        <v>3082</v>
      </c>
      <c r="F51">
        <v>20165</v>
      </c>
    </row>
    <row r="52" spans="1:6" x14ac:dyDescent="0.25">
      <c r="A52" t="s">
        <v>48</v>
      </c>
      <c r="B52">
        <v>226228</v>
      </c>
      <c r="C52">
        <v>317045</v>
      </c>
      <c r="D52">
        <v>29125</v>
      </c>
      <c r="E52">
        <v>245703</v>
      </c>
      <c r="F52">
        <v>818101</v>
      </c>
    </row>
    <row r="53" spans="1:6" x14ac:dyDescent="0.25">
      <c r="A53" t="s">
        <v>49</v>
      </c>
      <c r="B53">
        <v>67904</v>
      </c>
      <c r="C53">
        <v>79973</v>
      </c>
      <c r="D53">
        <v>8655</v>
      </c>
      <c r="E53">
        <v>69618</v>
      </c>
      <c r="F53">
        <v>226150</v>
      </c>
    </row>
    <row r="54" spans="1:6" x14ac:dyDescent="0.25">
      <c r="A54" t="s">
        <v>50</v>
      </c>
      <c r="B54">
        <v>293043</v>
      </c>
      <c r="C54">
        <v>308250</v>
      </c>
      <c r="D54">
        <v>31849</v>
      </c>
      <c r="E54">
        <v>233454</v>
      </c>
      <c r="F54">
        <v>866596</v>
      </c>
    </row>
    <row r="55" spans="1:6" x14ac:dyDescent="0.25">
      <c r="A55" t="s">
        <v>51</v>
      </c>
      <c r="B55">
        <v>176606</v>
      </c>
      <c r="C55">
        <v>96958</v>
      </c>
      <c r="D55">
        <v>16196</v>
      </c>
      <c r="E55">
        <v>99226</v>
      </c>
      <c r="F55">
        <v>388986</v>
      </c>
    </row>
    <row r="56" spans="1:6" x14ac:dyDescent="0.25">
      <c r="A56" t="s">
        <v>52</v>
      </c>
      <c r="B56">
        <v>237981</v>
      </c>
      <c r="C56">
        <v>190818</v>
      </c>
      <c r="D56">
        <v>20954</v>
      </c>
      <c r="E56">
        <v>154016</v>
      </c>
      <c r="F56">
        <v>603769</v>
      </c>
    </row>
    <row r="57" spans="1:6" x14ac:dyDescent="0.25">
      <c r="A57" t="s">
        <v>53</v>
      </c>
      <c r="B57">
        <v>187738</v>
      </c>
      <c r="C57">
        <v>128172</v>
      </c>
      <c r="D57">
        <v>16636</v>
      </c>
      <c r="E57">
        <v>107272</v>
      </c>
      <c r="F57">
        <v>439818</v>
      </c>
    </row>
    <row r="58" spans="1:6" x14ac:dyDescent="0.25">
      <c r="A58" t="s">
        <v>54</v>
      </c>
      <c r="B58">
        <v>25398</v>
      </c>
      <c r="C58">
        <v>10588</v>
      </c>
      <c r="D58">
        <v>1286</v>
      </c>
      <c r="E58">
        <v>6912</v>
      </c>
      <c r="F58">
        <v>44184</v>
      </c>
    </row>
    <row r="59" spans="1:6" x14ac:dyDescent="0.25">
      <c r="A59" t="s">
        <v>55</v>
      </c>
      <c r="B59">
        <v>88543</v>
      </c>
      <c r="C59">
        <v>20109</v>
      </c>
      <c r="D59">
        <v>4930</v>
      </c>
      <c r="E59">
        <v>24891</v>
      </c>
      <c r="F59">
        <v>138473</v>
      </c>
    </row>
    <row r="60" spans="1:6" x14ac:dyDescent="0.25">
      <c r="A60" t="s">
        <v>56</v>
      </c>
      <c r="B60">
        <v>158854</v>
      </c>
      <c r="C60">
        <v>80268</v>
      </c>
      <c r="D60">
        <v>10812</v>
      </c>
      <c r="E60">
        <v>73709</v>
      </c>
      <c r="F60">
        <v>323643</v>
      </c>
    </row>
    <row r="61" spans="1:6" x14ac:dyDescent="0.25">
      <c r="A61" t="s">
        <v>57</v>
      </c>
      <c r="B61">
        <v>120765</v>
      </c>
      <c r="C61">
        <v>107079</v>
      </c>
      <c r="D61">
        <v>12516</v>
      </c>
      <c r="E61">
        <v>100059</v>
      </c>
      <c r="F61">
        <v>340419</v>
      </c>
    </row>
    <row r="62" spans="1:6" x14ac:dyDescent="0.25">
      <c r="A62" t="s">
        <v>58</v>
      </c>
      <c r="B62">
        <v>130343</v>
      </c>
      <c r="C62">
        <v>46871</v>
      </c>
      <c r="D62">
        <v>7175</v>
      </c>
      <c r="E62">
        <v>48175</v>
      </c>
      <c r="F62">
        <v>232564</v>
      </c>
    </row>
    <row r="63" spans="1:6" x14ac:dyDescent="0.25">
      <c r="A63" t="s">
        <v>59</v>
      </c>
      <c r="B63">
        <v>91881</v>
      </c>
      <c r="C63">
        <v>77566</v>
      </c>
      <c r="D63">
        <v>9622</v>
      </c>
      <c r="E63">
        <v>56311</v>
      </c>
      <c r="F63">
        <v>235380</v>
      </c>
    </row>
    <row r="64" spans="1:6" x14ac:dyDescent="0.25">
      <c r="A64" t="s">
        <v>60</v>
      </c>
      <c r="B64">
        <v>75007</v>
      </c>
      <c r="C64">
        <v>22868</v>
      </c>
      <c r="D64">
        <v>3355</v>
      </c>
      <c r="E64">
        <v>23356</v>
      </c>
      <c r="F64">
        <v>124586</v>
      </c>
    </row>
    <row r="65" spans="1:7" x14ac:dyDescent="0.25">
      <c r="A65" t="s">
        <v>61</v>
      </c>
      <c r="B65">
        <v>16578</v>
      </c>
      <c r="C65">
        <v>5067</v>
      </c>
      <c r="D65">
        <v>849</v>
      </c>
      <c r="E65">
        <v>3404</v>
      </c>
      <c r="F65">
        <v>25898</v>
      </c>
    </row>
    <row r="66" spans="1:7" x14ac:dyDescent="0.25">
      <c r="A66" t="s">
        <v>62</v>
      </c>
      <c r="B66">
        <v>7431</v>
      </c>
      <c r="C66">
        <v>2881</v>
      </c>
      <c r="D66">
        <v>250</v>
      </c>
      <c r="E66">
        <v>975</v>
      </c>
      <c r="F66">
        <v>11537</v>
      </c>
    </row>
    <row r="67" spans="1:7" x14ac:dyDescent="0.25">
      <c r="A67" t="s">
        <v>63</v>
      </c>
      <c r="B67">
        <v>4850</v>
      </c>
      <c r="C67">
        <v>1507</v>
      </c>
      <c r="D67">
        <v>138</v>
      </c>
      <c r="E67">
        <v>636</v>
      </c>
      <c r="F67">
        <v>7131</v>
      </c>
    </row>
    <row r="68" spans="1:7" x14ac:dyDescent="0.25">
      <c r="A68" t="s">
        <v>64</v>
      </c>
      <c r="B68">
        <v>171519</v>
      </c>
      <c r="C68">
        <v>107965</v>
      </c>
      <c r="D68">
        <v>15942</v>
      </c>
      <c r="E68">
        <v>105656</v>
      </c>
      <c r="F68">
        <v>401082</v>
      </c>
    </row>
    <row r="69" spans="1:7" x14ac:dyDescent="0.25">
      <c r="A69" t="s">
        <v>65</v>
      </c>
      <c r="B69">
        <v>13721</v>
      </c>
      <c r="C69">
        <v>6260</v>
      </c>
      <c r="D69">
        <v>891</v>
      </c>
      <c r="E69">
        <v>4108</v>
      </c>
      <c r="F69">
        <v>24980</v>
      </c>
    </row>
    <row r="70" spans="1:7" x14ac:dyDescent="0.25">
      <c r="A70" t="s">
        <v>66</v>
      </c>
      <c r="B70">
        <v>41041</v>
      </c>
      <c r="C70">
        <v>7421</v>
      </c>
      <c r="D70">
        <v>2051</v>
      </c>
      <c r="E70">
        <v>9560</v>
      </c>
      <c r="F70">
        <v>60073</v>
      </c>
    </row>
    <row r="71" spans="1:7" x14ac:dyDescent="0.25">
      <c r="A71" t="s">
        <v>67</v>
      </c>
      <c r="B71">
        <v>10460</v>
      </c>
      <c r="C71">
        <v>2862</v>
      </c>
      <c r="D71">
        <v>358</v>
      </c>
      <c r="E71">
        <v>1939</v>
      </c>
      <c r="F71">
        <v>15619</v>
      </c>
    </row>
    <row r="72" spans="1:7" s="11" customFormat="1" x14ac:dyDescent="0.25">
      <c r="A72" s="11" t="s">
        <v>0</v>
      </c>
      <c r="B72">
        <v>5522833</v>
      </c>
      <c r="C72">
        <v>4108884</v>
      </c>
      <c r="D72">
        <v>455725</v>
      </c>
      <c r="E72">
        <v>3381443</v>
      </c>
      <c r="F72">
        <v>13468885</v>
      </c>
      <c r="G72" s="13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tabSelected="1"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customHeight="1" x14ac:dyDescent="0.3">
      <c r="A1" s="26" t="s">
        <v>80</v>
      </c>
      <c r="B1" s="27"/>
      <c r="C1" s="27"/>
      <c r="D1" s="27"/>
      <c r="E1" s="27"/>
      <c r="F1" s="28"/>
    </row>
    <row r="2" spans="1:6" x14ac:dyDescent="0.25">
      <c r="A2" s="20" t="s">
        <v>180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" customHeight="1" thickTop="1" x14ac:dyDescent="0.25">
      <c r="A5" s="7" t="s">
        <v>1</v>
      </c>
      <c r="B5">
        <v>47605</v>
      </c>
      <c r="C5">
        <v>72535</v>
      </c>
      <c r="D5">
        <v>5243</v>
      </c>
      <c r="E5">
        <v>36647</v>
      </c>
      <c r="F5">
        <v>162030</v>
      </c>
    </row>
    <row r="6" spans="1:6" x14ac:dyDescent="0.25">
      <c r="A6" s="8" t="s">
        <v>2</v>
      </c>
      <c r="B6">
        <v>12321</v>
      </c>
      <c r="C6">
        <v>2852</v>
      </c>
      <c r="D6">
        <v>420</v>
      </c>
      <c r="E6">
        <v>1862</v>
      </c>
      <c r="F6">
        <v>17455</v>
      </c>
    </row>
    <row r="7" spans="1:6" x14ac:dyDescent="0.25">
      <c r="A7" s="8" t="s">
        <v>3</v>
      </c>
      <c r="B7">
        <v>73223</v>
      </c>
      <c r="C7">
        <v>23521</v>
      </c>
      <c r="D7">
        <v>4902</v>
      </c>
      <c r="E7">
        <v>23806</v>
      </c>
      <c r="F7">
        <v>125452</v>
      </c>
    </row>
    <row r="8" spans="1:6" x14ac:dyDescent="0.25">
      <c r="A8" s="8" t="s">
        <v>4</v>
      </c>
      <c r="B8">
        <v>10568</v>
      </c>
      <c r="C8">
        <v>3484</v>
      </c>
      <c r="D8">
        <v>457</v>
      </c>
      <c r="E8">
        <v>2056</v>
      </c>
      <c r="F8">
        <v>16565</v>
      </c>
    </row>
    <row r="9" spans="1:6" x14ac:dyDescent="0.25">
      <c r="A9" s="8" t="s">
        <v>5</v>
      </c>
      <c r="B9">
        <v>201713</v>
      </c>
      <c r="C9">
        <v>109847</v>
      </c>
      <c r="D9">
        <v>17337</v>
      </c>
      <c r="E9">
        <v>105365</v>
      </c>
      <c r="F9">
        <v>434262</v>
      </c>
    </row>
    <row r="10" spans="1:6" x14ac:dyDescent="0.25">
      <c r="A10" s="8" t="s">
        <v>6</v>
      </c>
      <c r="B10">
        <v>263498</v>
      </c>
      <c r="C10">
        <v>461220</v>
      </c>
      <c r="D10">
        <v>28556</v>
      </c>
      <c r="E10">
        <v>308727</v>
      </c>
      <c r="F10">
        <v>1062001</v>
      </c>
    </row>
    <row r="11" spans="1:6" x14ac:dyDescent="0.25">
      <c r="A11" s="8" t="s">
        <v>7</v>
      </c>
      <c r="B11">
        <v>4770</v>
      </c>
      <c r="C11">
        <v>1931</v>
      </c>
      <c r="D11">
        <v>99</v>
      </c>
      <c r="E11">
        <v>760</v>
      </c>
      <c r="F11">
        <v>7560</v>
      </c>
    </row>
    <row r="12" spans="1:6" x14ac:dyDescent="0.25">
      <c r="A12" s="8" t="s">
        <v>8</v>
      </c>
      <c r="B12">
        <v>80445</v>
      </c>
      <c r="C12">
        <v>29002</v>
      </c>
      <c r="D12">
        <v>6305</v>
      </c>
      <c r="E12">
        <v>33202</v>
      </c>
      <c r="F12">
        <v>148954</v>
      </c>
    </row>
    <row r="13" spans="1:6" x14ac:dyDescent="0.25">
      <c r="A13" s="8" t="s">
        <v>9</v>
      </c>
      <c r="B13">
        <v>69057</v>
      </c>
      <c r="C13">
        <v>20566</v>
      </c>
      <c r="D13">
        <v>4656</v>
      </c>
      <c r="E13">
        <v>22444</v>
      </c>
      <c r="F13">
        <v>116723</v>
      </c>
    </row>
    <row r="14" spans="1:6" x14ac:dyDescent="0.25">
      <c r="A14" s="8" t="s">
        <v>10</v>
      </c>
      <c r="B14">
        <v>86930</v>
      </c>
      <c r="C14">
        <v>30041</v>
      </c>
      <c r="D14">
        <v>5579</v>
      </c>
      <c r="E14">
        <v>29298</v>
      </c>
      <c r="F14">
        <v>151848</v>
      </c>
    </row>
    <row r="15" spans="1:6" x14ac:dyDescent="0.25">
      <c r="A15" s="8" t="s">
        <v>11</v>
      </c>
      <c r="B15">
        <v>144768</v>
      </c>
      <c r="C15">
        <v>50327</v>
      </c>
      <c r="D15">
        <v>7993</v>
      </c>
      <c r="E15">
        <v>58660</v>
      </c>
      <c r="F15">
        <v>261748</v>
      </c>
    </row>
    <row r="16" spans="1:6" x14ac:dyDescent="0.25">
      <c r="A16" s="8" t="s">
        <v>12</v>
      </c>
      <c r="B16">
        <v>23836</v>
      </c>
      <c r="C16">
        <v>9499</v>
      </c>
      <c r="D16">
        <v>1255</v>
      </c>
      <c r="E16">
        <v>6190</v>
      </c>
      <c r="F16">
        <v>40780</v>
      </c>
    </row>
    <row r="17" spans="1:6" x14ac:dyDescent="0.25">
      <c r="A17" s="8" t="s">
        <v>13</v>
      </c>
      <c r="B17">
        <v>8007</v>
      </c>
      <c r="C17">
        <v>4040</v>
      </c>
      <c r="D17">
        <v>483</v>
      </c>
      <c r="E17">
        <v>3010</v>
      </c>
      <c r="F17">
        <v>15540</v>
      </c>
    </row>
    <row r="18" spans="1:6" x14ac:dyDescent="0.25">
      <c r="A18" s="8" t="s">
        <v>14</v>
      </c>
      <c r="B18">
        <v>6719</v>
      </c>
      <c r="C18">
        <v>1629</v>
      </c>
      <c r="D18">
        <v>232</v>
      </c>
      <c r="E18">
        <v>1326</v>
      </c>
      <c r="F18">
        <v>9906</v>
      </c>
    </row>
    <row r="19" spans="1:6" x14ac:dyDescent="0.25">
      <c r="A19" s="8" t="s">
        <v>15</v>
      </c>
      <c r="B19">
        <v>234274</v>
      </c>
      <c r="C19">
        <v>238810</v>
      </c>
      <c r="D19">
        <v>22168</v>
      </c>
      <c r="E19">
        <v>141279</v>
      </c>
      <c r="F19">
        <v>636531</v>
      </c>
    </row>
    <row r="20" spans="1:6" x14ac:dyDescent="0.25">
      <c r="A20" s="8" t="s">
        <v>16</v>
      </c>
      <c r="B20">
        <v>100289</v>
      </c>
      <c r="C20">
        <v>61009</v>
      </c>
      <c r="D20">
        <v>7241</v>
      </c>
      <c r="E20">
        <v>42004</v>
      </c>
      <c r="F20">
        <v>210543</v>
      </c>
    </row>
    <row r="21" spans="1:6" x14ac:dyDescent="0.25">
      <c r="A21" s="8" t="s">
        <v>17</v>
      </c>
      <c r="B21">
        <v>49093</v>
      </c>
      <c r="C21">
        <v>22983</v>
      </c>
      <c r="D21">
        <v>3844</v>
      </c>
      <c r="E21">
        <v>20449</v>
      </c>
      <c r="F21">
        <v>96369</v>
      </c>
    </row>
    <row r="22" spans="1:6" x14ac:dyDescent="0.25">
      <c r="A22" s="8" t="s">
        <v>18</v>
      </c>
      <c r="B22">
        <v>4112</v>
      </c>
      <c r="C22">
        <v>2212</v>
      </c>
      <c r="D22">
        <v>285</v>
      </c>
      <c r="E22">
        <v>1137</v>
      </c>
      <c r="F22">
        <v>7746</v>
      </c>
    </row>
    <row r="23" spans="1:6" x14ac:dyDescent="0.25">
      <c r="A23" s="8" t="s">
        <v>19</v>
      </c>
      <c r="B23">
        <v>5808</v>
      </c>
      <c r="C23">
        <v>17445</v>
      </c>
      <c r="D23">
        <v>474</v>
      </c>
      <c r="E23">
        <v>2789</v>
      </c>
      <c r="F23">
        <v>26516</v>
      </c>
    </row>
    <row r="24" spans="1:6" x14ac:dyDescent="0.25">
      <c r="A24" s="8" t="s">
        <v>20</v>
      </c>
      <c r="B24">
        <v>9006</v>
      </c>
      <c r="C24">
        <v>1752</v>
      </c>
      <c r="D24">
        <v>459</v>
      </c>
      <c r="E24">
        <v>1574</v>
      </c>
      <c r="F24">
        <v>12791</v>
      </c>
    </row>
    <row r="25" spans="1:6" x14ac:dyDescent="0.25">
      <c r="A25" s="8" t="s">
        <v>21</v>
      </c>
      <c r="B25">
        <v>3981</v>
      </c>
      <c r="C25">
        <v>1404</v>
      </c>
      <c r="D25">
        <v>204</v>
      </c>
      <c r="E25">
        <v>1064</v>
      </c>
      <c r="F25">
        <v>6653</v>
      </c>
    </row>
    <row r="26" spans="1:6" x14ac:dyDescent="0.25">
      <c r="A26" s="8" t="s">
        <v>22</v>
      </c>
      <c r="B26">
        <v>7027</v>
      </c>
      <c r="C26">
        <v>2325</v>
      </c>
      <c r="D26">
        <v>368</v>
      </c>
      <c r="E26">
        <v>1290</v>
      </c>
      <c r="F26">
        <v>11010</v>
      </c>
    </row>
    <row r="27" spans="1:6" x14ac:dyDescent="0.25">
      <c r="A27" s="8" t="s">
        <v>23</v>
      </c>
      <c r="B27">
        <v>3630</v>
      </c>
      <c r="C27">
        <v>2324</v>
      </c>
      <c r="D27">
        <v>195</v>
      </c>
      <c r="E27">
        <v>799</v>
      </c>
      <c r="F27">
        <v>6948</v>
      </c>
    </row>
    <row r="28" spans="1:6" x14ac:dyDescent="0.25">
      <c r="A28" s="8" t="s">
        <v>24</v>
      </c>
      <c r="B28">
        <v>6803</v>
      </c>
      <c r="C28">
        <v>2718</v>
      </c>
      <c r="D28">
        <v>364</v>
      </c>
      <c r="E28">
        <v>2225</v>
      </c>
      <c r="F28">
        <v>12110</v>
      </c>
    </row>
    <row r="29" spans="1:6" x14ac:dyDescent="0.25">
      <c r="A29" s="8" t="s">
        <v>25</v>
      </c>
      <c r="B29">
        <v>9216</v>
      </c>
      <c r="C29">
        <v>5324</v>
      </c>
      <c r="D29">
        <v>503</v>
      </c>
      <c r="E29">
        <v>3444</v>
      </c>
      <c r="F29">
        <v>18487</v>
      </c>
    </row>
    <row r="30" spans="1:6" x14ac:dyDescent="0.25">
      <c r="A30" s="8" t="s">
        <v>26</v>
      </c>
      <c r="B30">
        <v>68961</v>
      </c>
      <c r="C30">
        <v>30172</v>
      </c>
      <c r="D30">
        <v>5361</v>
      </c>
      <c r="E30">
        <v>29531</v>
      </c>
      <c r="F30">
        <v>134025</v>
      </c>
    </row>
    <row r="31" spans="1:6" x14ac:dyDescent="0.25">
      <c r="A31" s="8" t="s">
        <v>27</v>
      </c>
      <c r="B31">
        <v>35046</v>
      </c>
      <c r="C31">
        <v>13877</v>
      </c>
      <c r="D31">
        <v>2441</v>
      </c>
      <c r="E31">
        <v>12322</v>
      </c>
      <c r="F31">
        <v>63686</v>
      </c>
    </row>
    <row r="32" spans="1:6" x14ac:dyDescent="0.25">
      <c r="A32" s="8" t="s">
        <v>28</v>
      </c>
      <c r="B32">
        <v>292783</v>
      </c>
      <c r="C32">
        <v>273402</v>
      </c>
      <c r="D32">
        <v>28824</v>
      </c>
      <c r="E32">
        <v>217941</v>
      </c>
      <c r="F32">
        <v>812950</v>
      </c>
    </row>
    <row r="33" spans="1:6" x14ac:dyDescent="0.25">
      <c r="A33" s="8" t="s">
        <v>29</v>
      </c>
      <c r="B33">
        <v>8207</v>
      </c>
      <c r="C33">
        <v>1511</v>
      </c>
      <c r="D33">
        <v>263</v>
      </c>
      <c r="E33">
        <v>1181</v>
      </c>
      <c r="F33">
        <v>11162</v>
      </c>
    </row>
    <row r="34" spans="1:6" x14ac:dyDescent="0.25">
      <c r="A34" s="8" t="s">
        <v>30</v>
      </c>
      <c r="B34">
        <v>61719</v>
      </c>
      <c r="C34">
        <v>26010</v>
      </c>
      <c r="D34">
        <v>4757</v>
      </c>
      <c r="E34">
        <v>24655</v>
      </c>
      <c r="F34">
        <v>117141</v>
      </c>
    </row>
    <row r="35" spans="1:6" x14ac:dyDescent="0.25">
      <c r="A35" s="8" t="s">
        <v>31</v>
      </c>
      <c r="B35">
        <v>15758</v>
      </c>
      <c r="C35">
        <v>7843</v>
      </c>
      <c r="D35">
        <v>575</v>
      </c>
      <c r="E35">
        <v>2652</v>
      </c>
      <c r="F35">
        <v>26828</v>
      </c>
    </row>
    <row r="36" spans="1:6" x14ac:dyDescent="0.25">
      <c r="A36" s="8" t="s">
        <v>32</v>
      </c>
      <c r="B36">
        <v>4654</v>
      </c>
      <c r="C36">
        <v>3803</v>
      </c>
      <c r="D36">
        <v>203</v>
      </c>
      <c r="E36">
        <v>1157</v>
      </c>
      <c r="F36">
        <v>9817</v>
      </c>
    </row>
    <row r="37" spans="1:6" x14ac:dyDescent="0.25">
      <c r="A37" s="8" t="s">
        <v>33</v>
      </c>
      <c r="B37">
        <v>3290</v>
      </c>
      <c r="C37">
        <v>595</v>
      </c>
      <c r="D37">
        <v>71</v>
      </c>
      <c r="E37">
        <v>266</v>
      </c>
      <c r="F37">
        <v>4222</v>
      </c>
    </row>
    <row r="38" spans="1:6" x14ac:dyDescent="0.25">
      <c r="A38" s="8" t="s">
        <v>34</v>
      </c>
      <c r="B38">
        <v>129315</v>
      </c>
      <c r="C38">
        <v>66578</v>
      </c>
      <c r="D38">
        <v>9500</v>
      </c>
      <c r="E38">
        <v>64027</v>
      </c>
      <c r="F38">
        <v>269420</v>
      </c>
    </row>
    <row r="39" spans="1:6" x14ac:dyDescent="0.25">
      <c r="A39" s="8" t="s">
        <v>35</v>
      </c>
      <c r="B39">
        <v>239666</v>
      </c>
      <c r="C39">
        <v>104002</v>
      </c>
      <c r="D39">
        <v>16739</v>
      </c>
      <c r="E39">
        <v>125205</v>
      </c>
      <c r="F39">
        <v>485612</v>
      </c>
    </row>
    <row r="40" spans="1:6" x14ac:dyDescent="0.25">
      <c r="A40" s="8" t="s">
        <v>36</v>
      </c>
      <c r="B40">
        <v>54470</v>
      </c>
      <c r="C40">
        <v>87637</v>
      </c>
      <c r="D40">
        <v>5607</v>
      </c>
      <c r="E40">
        <v>35968</v>
      </c>
      <c r="F40">
        <v>183682</v>
      </c>
    </row>
    <row r="41" spans="1:6" x14ac:dyDescent="0.25">
      <c r="A41" s="8" t="s">
        <v>37</v>
      </c>
      <c r="B41">
        <v>18316</v>
      </c>
      <c r="C41">
        <v>6105</v>
      </c>
      <c r="D41">
        <v>1135</v>
      </c>
      <c r="E41">
        <v>4100</v>
      </c>
      <c r="F41">
        <v>29656</v>
      </c>
    </row>
    <row r="42" spans="1:6" x14ac:dyDescent="0.25">
      <c r="A42" s="8" t="s">
        <v>38</v>
      </c>
      <c r="B42">
        <v>2813</v>
      </c>
      <c r="C42">
        <v>1198</v>
      </c>
      <c r="D42">
        <v>24</v>
      </c>
      <c r="E42">
        <v>450</v>
      </c>
      <c r="F42">
        <v>4485</v>
      </c>
    </row>
    <row r="43" spans="1:6" x14ac:dyDescent="0.25">
      <c r="A43" s="8" t="s">
        <v>39</v>
      </c>
      <c r="B43">
        <v>5160</v>
      </c>
      <c r="C43">
        <v>3895</v>
      </c>
      <c r="D43">
        <v>134</v>
      </c>
      <c r="E43">
        <v>1188</v>
      </c>
      <c r="F43">
        <v>10377</v>
      </c>
    </row>
    <row r="44" spans="1:6" x14ac:dyDescent="0.25">
      <c r="A44" s="8" t="s">
        <v>40</v>
      </c>
      <c r="B44">
        <v>137047</v>
      </c>
      <c r="C44">
        <v>66081</v>
      </c>
      <c r="D44">
        <v>9262</v>
      </c>
      <c r="E44">
        <v>63640</v>
      </c>
      <c r="F44">
        <v>276030</v>
      </c>
    </row>
    <row r="45" spans="1:6" x14ac:dyDescent="0.25">
      <c r="A45" s="8" t="s">
        <v>41</v>
      </c>
      <c r="B45">
        <v>135306</v>
      </c>
      <c r="C45">
        <v>65933</v>
      </c>
      <c r="D45">
        <v>9783</v>
      </c>
      <c r="E45">
        <v>50753</v>
      </c>
      <c r="F45">
        <v>261775</v>
      </c>
    </row>
    <row r="46" spans="1:6" x14ac:dyDescent="0.25">
      <c r="A46" s="8" t="s">
        <v>42</v>
      </c>
      <c r="B46">
        <v>62089</v>
      </c>
      <c r="C46">
        <v>23481</v>
      </c>
      <c r="D46">
        <v>4734</v>
      </c>
      <c r="E46">
        <v>24077</v>
      </c>
      <c r="F46">
        <v>114381</v>
      </c>
    </row>
    <row r="47" spans="1:6" x14ac:dyDescent="0.25">
      <c r="A47" s="8" t="s">
        <v>43</v>
      </c>
      <c r="B47">
        <v>449428</v>
      </c>
      <c r="C47">
        <v>407810</v>
      </c>
      <c r="D47">
        <v>32118</v>
      </c>
      <c r="E47">
        <v>389080</v>
      </c>
      <c r="F47">
        <v>1278436</v>
      </c>
    </row>
    <row r="48" spans="1:6" x14ac:dyDescent="0.25">
      <c r="A48" s="8" t="s">
        <v>44</v>
      </c>
      <c r="B48">
        <v>24756</v>
      </c>
      <c r="C48">
        <v>14762</v>
      </c>
      <c r="D48">
        <v>2058</v>
      </c>
      <c r="E48">
        <v>12573</v>
      </c>
      <c r="F48">
        <v>54149</v>
      </c>
    </row>
    <row r="49" spans="1:6" x14ac:dyDescent="0.25">
      <c r="A49" s="8" t="s">
        <v>45</v>
      </c>
      <c r="B49">
        <v>48402</v>
      </c>
      <c r="C49">
        <v>13370</v>
      </c>
      <c r="D49">
        <v>2988</v>
      </c>
      <c r="E49">
        <v>14808</v>
      </c>
      <c r="F49">
        <v>79568</v>
      </c>
    </row>
    <row r="50" spans="1:6" x14ac:dyDescent="0.25">
      <c r="A50" s="8" t="s">
        <v>46</v>
      </c>
      <c r="B50">
        <v>85010</v>
      </c>
      <c r="C50">
        <v>23658</v>
      </c>
      <c r="D50">
        <v>5234</v>
      </c>
      <c r="E50">
        <v>30600</v>
      </c>
      <c r="F50">
        <v>144502</v>
      </c>
    </row>
    <row r="51" spans="1:6" x14ac:dyDescent="0.25">
      <c r="A51" s="8" t="s">
        <v>47</v>
      </c>
      <c r="B51">
        <v>12092</v>
      </c>
      <c r="C51">
        <v>4281</v>
      </c>
      <c r="D51">
        <v>789</v>
      </c>
      <c r="E51">
        <v>3099</v>
      </c>
      <c r="F51">
        <v>20261</v>
      </c>
    </row>
    <row r="52" spans="1:6" x14ac:dyDescent="0.25">
      <c r="A52" s="8" t="s">
        <v>48</v>
      </c>
      <c r="B52">
        <v>226534</v>
      </c>
      <c r="C52">
        <v>317412</v>
      </c>
      <c r="D52">
        <v>29590</v>
      </c>
      <c r="E52">
        <v>245814</v>
      </c>
      <c r="F52">
        <v>819350</v>
      </c>
    </row>
    <row r="53" spans="1:6" x14ac:dyDescent="0.25">
      <c r="A53" s="8" t="s">
        <v>49</v>
      </c>
      <c r="B53">
        <v>68156</v>
      </c>
      <c r="C53">
        <v>80275</v>
      </c>
      <c r="D53">
        <v>8799</v>
      </c>
      <c r="E53">
        <v>69916</v>
      </c>
      <c r="F53">
        <v>227146</v>
      </c>
    </row>
    <row r="54" spans="1:6" x14ac:dyDescent="0.25">
      <c r="A54" s="8" t="s">
        <v>50</v>
      </c>
      <c r="B54">
        <v>294233</v>
      </c>
      <c r="C54">
        <v>308936</v>
      </c>
      <c r="D54">
        <v>32150</v>
      </c>
      <c r="E54">
        <v>234385</v>
      </c>
      <c r="F54">
        <v>869704</v>
      </c>
    </row>
    <row r="55" spans="1:6" x14ac:dyDescent="0.25">
      <c r="A55" s="8" t="s">
        <v>51</v>
      </c>
      <c r="B55">
        <v>176954</v>
      </c>
      <c r="C55">
        <v>97026</v>
      </c>
      <c r="D55">
        <v>16357</v>
      </c>
      <c r="E55">
        <v>99344</v>
      </c>
      <c r="F55">
        <v>389681</v>
      </c>
    </row>
    <row r="56" spans="1:6" x14ac:dyDescent="0.25">
      <c r="A56" s="8" t="s">
        <v>52</v>
      </c>
      <c r="B56">
        <v>238556</v>
      </c>
      <c r="C56">
        <v>190967</v>
      </c>
      <c r="D56">
        <v>21254</v>
      </c>
      <c r="E56">
        <v>154388</v>
      </c>
      <c r="F56">
        <v>605165</v>
      </c>
    </row>
    <row r="57" spans="1:6" x14ac:dyDescent="0.25">
      <c r="A57" s="8" t="s">
        <v>53</v>
      </c>
      <c r="B57">
        <v>188526</v>
      </c>
      <c r="C57">
        <v>128742</v>
      </c>
      <c r="D57">
        <v>16942</v>
      </c>
      <c r="E57">
        <v>108036</v>
      </c>
      <c r="F57">
        <v>442246</v>
      </c>
    </row>
    <row r="58" spans="1:6" x14ac:dyDescent="0.25">
      <c r="A58" s="8" t="s">
        <v>54</v>
      </c>
      <c r="B58">
        <v>25459</v>
      </c>
      <c r="C58">
        <v>10606</v>
      </c>
      <c r="D58">
        <v>1306</v>
      </c>
      <c r="E58">
        <v>6941</v>
      </c>
      <c r="F58">
        <v>44312</v>
      </c>
    </row>
    <row r="59" spans="1:6" x14ac:dyDescent="0.25">
      <c r="A59" s="8" t="s">
        <v>55</v>
      </c>
      <c r="B59">
        <v>88905</v>
      </c>
      <c r="C59">
        <v>20152</v>
      </c>
      <c r="D59">
        <v>4997</v>
      </c>
      <c r="E59">
        <v>25005</v>
      </c>
      <c r="F59">
        <v>139059</v>
      </c>
    </row>
    <row r="60" spans="1:6" x14ac:dyDescent="0.25">
      <c r="A60" s="8" t="s">
        <v>56</v>
      </c>
      <c r="B60">
        <v>159603</v>
      </c>
      <c r="C60">
        <v>80398</v>
      </c>
      <c r="D60">
        <v>10984</v>
      </c>
      <c r="E60">
        <v>74009</v>
      </c>
      <c r="F60">
        <v>324994</v>
      </c>
    </row>
    <row r="61" spans="1:6" x14ac:dyDescent="0.25">
      <c r="A61" s="8" t="s">
        <v>57</v>
      </c>
      <c r="B61">
        <v>120658</v>
      </c>
      <c r="C61">
        <v>106794</v>
      </c>
      <c r="D61">
        <v>12585</v>
      </c>
      <c r="E61">
        <v>99755</v>
      </c>
      <c r="F61">
        <v>339792</v>
      </c>
    </row>
    <row r="62" spans="1:6" x14ac:dyDescent="0.25">
      <c r="A62" s="8" t="s">
        <v>58</v>
      </c>
      <c r="B62">
        <v>130673</v>
      </c>
      <c r="C62">
        <v>46784</v>
      </c>
      <c r="D62">
        <v>7178</v>
      </c>
      <c r="E62">
        <v>48419</v>
      </c>
      <c r="F62">
        <v>233054</v>
      </c>
    </row>
    <row r="63" spans="1:6" x14ac:dyDescent="0.25">
      <c r="A63" s="8" t="s">
        <v>59</v>
      </c>
      <c r="B63">
        <v>92229</v>
      </c>
      <c r="C63">
        <v>77782</v>
      </c>
      <c r="D63">
        <v>9755</v>
      </c>
      <c r="E63">
        <v>56458</v>
      </c>
      <c r="F63">
        <v>236224</v>
      </c>
    </row>
    <row r="64" spans="1:6" x14ac:dyDescent="0.25">
      <c r="A64" s="8" t="s">
        <v>60</v>
      </c>
      <c r="B64">
        <v>75623</v>
      </c>
      <c r="C64">
        <v>23027</v>
      </c>
      <c r="D64">
        <v>3476</v>
      </c>
      <c r="E64">
        <v>23476</v>
      </c>
      <c r="F64">
        <v>125602</v>
      </c>
    </row>
    <row r="65" spans="1:6" x14ac:dyDescent="0.25">
      <c r="A65" s="8" t="s">
        <v>61</v>
      </c>
      <c r="B65">
        <v>16648</v>
      </c>
      <c r="C65">
        <v>5068</v>
      </c>
      <c r="D65">
        <v>876</v>
      </c>
      <c r="E65">
        <v>3414</v>
      </c>
      <c r="F65">
        <v>26006</v>
      </c>
    </row>
    <row r="66" spans="1:6" x14ac:dyDescent="0.25">
      <c r="A66" s="8" t="s">
        <v>62</v>
      </c>
      <c r="B66">
        <v>7432</v>
      </c>
      <c r="C66">
        <v>2882</v>
      </c>
      <c r="D66">
        <v>256</v>
      </c>
      <c r="E66">
        <v>972</v>
      </c>
      <c r="F66">
        <v>11542</v>
      </c>
    </row>
    <row r="67" spans="1:6" x14ac:dyDescent="0.25">
      <c r="A67" s="8" t="s">
        <v>63</v>
      </c>
      <c r="B67">
        <v>4848</v>
      </c>
      <c r="C67">
        <v>1506</v>
      </c>
      <c r="D67">
        <v>139</v>
      </c>
      <c r="E67">
        <v>639</v>
      </c>
      <c r="F67">
        <v>7132</v>
      </c>
    </row>
    <row r="68" spans="1:6" x14ac:dyDescent="0.25">
      <c r="A68" s="8" t="s">
        <v>64</v>
      </c>
      <c r="B68">
        <v>167721</v>
      </c>
      <c r="C68">
        <v>104669</v>
      </c>
      <c r="D68">
        <v>15599</v>
      </c>
      <c r="E68">
        <v>102022</v>
      </c>
      <c r="F68">
        <v>390011</v>
      </c>
    </row>
    <row r="69" spans="1:6" x14ac:dyDescent="0.25">
      <c r="A69" s="8" t="s">
        <v>65</v>
      </c>
      <c r="B69">
        <v>13803</v>
      </c>
      <c r="C69">
        <v>6262</v>
      </c>
      <c r="D69">
        <v>908</v>
      </c>
      <c r="E69">
        <v>4102</v>
      </c>
      <c r="F69">
        <v>25075</v>
      </c>
    </row>
    <row r="70" spans="1:6" x14ac:dyDescent="0.25">
      <c r="A70" s="8" t="s">
        <v>66</v>
      </c>
      <c r="B70">
        <v>41294</v>
      </c>
      <c r="C70">
        <v>7435</v>
      </c>
      <c r="D70">
        <v>2100</v>
      </c>
      <c r="E70">
        <v>9598</v>
      </c>
      <c r="F70">
        <v>60427</v>
      </c>
    </row>
    <row r="71" spans="1:6" x14ac:dyDescent="0.25">
      <c r="A71" s="8" t="s">
        <v>67</v>
      </c>
      <c r="B71">
        <v>10512</v>
      </c>
      <c r="C71">
        <v>2863</v>
      </c>
      <c r="D71">
        <v>368</v>
      </c>
      <c r="E71">
        <v>1956</v>
      </c>
      <c r="F71">
        <v>15699</v>
      </c>
    </row>
    <row r="72" spans="1:6" s="11" customFormat="1" x14ac:dyDescent="0.25">
      <c r="A72" s="12" t="s">
        <v>0</v>
      </c>
      <c r="B72">
        <v>5509354</v>
      </c>
      <c r="C72">
        <v>4044390</v>
      </c>
      <c r="D72">
        <v>457841</v>
      </c>
      <c r="E72">
        <v>3329329</v>
      </c>
      <c r="F72">
        <v>13340914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workbookViewId="0">
      <selection activeCell="D64" sqref="D64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93</v>
      </c>
      <c r="B1" s="27"/>
      <c r="C1" s="27"/>
      <c r="D1" s="27"/>
      <c r="E1" s="27"/>
      <c r="F1" s="28"/>
    </row>
    <row r="2" spans="1:6" x14ac:dyDescent="0.25">
      <c r="A2" s="20" t="s">
        <v>181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[1]January!B5-[1]PriorDecember!B5</f>
        <v>57</v>
      </c>
      <c r="C5" s="15">
        <f>[1]January!C5-[1]PriorDecember!C5</f>
        <v>-257</v>
      </c>
      <c r="D5" s="15">
        <f>[1]January!D5-[1]PriorDecember!D5</f>
        <v>71</v>
      </c>
      <c r="E5" s="15">
        <f>[1]January!E5-[1]PriorDecember!E5</f>
        <v>10</v>
      </c>
      <c r="F5" s="14">
        <f>SUM(B5:E5)</f>
        <v>-119</v>
      </c>
    </row>
    <row r="6" spans="1:6" x14ac:dyDescent="0.25">
      <c r="A6" s="8" t="s">
        <v>101</v>
      </c>
      <c r="B6" s="15">
        <f>[1]January!B6-[1]PriorDecember!B6</f>
        <v>54</v>
      </c>
      <c r="C6" s="15">
        <f>[1]January!C6-[1]PriorDecember!C6</f>
        <v>-11</v>
      </c>
      <c r="D6" s="15">
        <f>[1]January!D6-[1]PriorDecember!D6</f>
        <v>8</v>
      </c>
      <c r="E6" s="15">
        <f>[1]January!E6-[1]PriorDecember!E6</f>
        <v>19</v>
      </c>
      <c r="F6" s="14">
        <f t="shared" ref="F6:F69" si="0">SUM(B6:E6)</f>
        <v>70</v>
      </c>
    </row>
    <row r="7" spans="1:6" x14ac:dyDescent="0.25">
      <c r="A7" s="8" t="s">
        <v>102</v>
      </c>
      <c r="B7" s="15">
        <f>[1]January!B7-[1]PriorDecember!B7</f>
        <v>296</v>
      </c>
      <c r="C7" s="15">
        <f>[1]January!C7-[1]PriorDecember!C7</f>
        <v>-24</v>
      </c>
      <c r="D7" s="15">
        <f>[1]January!D7-[1]PriorDecember!D7</f>
        <v>78</v>
      </c>
      <c r="E7" s="15">
        <f>[1]January!E7-[1]PriorDecember!E7</f>
        <v>28</v>
      </c>
      <c r="F7" s="14">
        <f t="shared" si="0"/>
        <v>378</v>
      </c>
    </row>
    <row r="8" spans="1:6" x14ac:dyDescent="0.25">
      <c r="A8" s="8" t="s">
        <v>103</v>
      </c>
      <c r="B8" s="15">
        <f>[1]January!B8-[1]PriorDecember!B8</f>
        <v>40</v>
      </c>
      <c r="C8" s="15">
        <f>[1]January!C8-[1]PriorDecember!C8</f>
        <v>7</v>
      </c>
      <c r="D8" s="15">
        <f>[1]January!D8-[1]PriorDecember!D8</f>
        <v>-6</v>
      </c>
      <c r="E8" s="15">
        <f>[1]January!E8-[1]PriorDecember!E8</f>
        <v>13</v>
      </c>
      <c r="F8" s="14">
        <f t="shared" si="0"/>
        <v>54</v>
      </c>
    </row>
    <row r="9" spans="1:6" x14ac:dyDescent="0.25">
      <c r="A9" s="8" t="s">
        <v>104</v>
      </c>
      <c r="B9" s="15">
        <f>[1]January!B9-[1]PriorDecember!B9</f>
        <v>-417</v>
      </c>
      <c r="C9" s="15">
        <f>[1]January!C9-[1]PriorDecember!C9</f>
        <v>-917</v>
      </c>
      <c r="D9" s="15">
        <f>[1]January!D9-[1]PriorDecember!D9</f>
        <v>39</v>
      </c>
      <c r="E9" s="15">
        <f>[1]January!E9-[1]PriorDecember!E9</f>
        <v>-359</v>
      </c>
      <c r="F9" s="14">
        <f t="shared" si="0"/>
        <v>-1654</v>
      </c>
    </row>
    <row r="10" spans="1:6" x14ac:dyDescent="0.25">
      <c r="A10" s="8" t="s">
        <v>105</v>
      </c>
      <c r="B10" s="15">
        <f>[1]January!B10-[1]PriorDecember!B10</f>
        <v>-347</v>
      </c>
      <c r="C10" s="15">
        <f>[1]January!C10-[1]PriorDecember!C10</f>
        <v>-2171</v>
      </c>
      <c r="D10" s="15">
        <f>[1]January!D10-[1]PriorDecember!D10</f>
        <v>70</v>
      </c>
      <c r="E10" s="15">
        <f>[1]January!E10-[1]PriorDecember!E10</f>
        <v>-712</v>
      </c>
      <c r="F10" s="14">
        <f t="shared" si="0"/>
        <v>-3160</v>
      </c>
    </row>
    <row r="11" spans="1:6" x14ac:dyDescent="0.25">
      <c r="A11" s="8" t="s">
        <v>106</v>
      </c>
      <c r="B11" s="15">
        <f>[1]January!B11-[1]PriorDecember!B11</f>
        <v>-7</v>
      </c>
      <c r="C11" s="15">
        <f>[1]January!C11-[1]PriorDecember!C11</f>
        <v>-21</v>
      </c>
      <c r="D11" s="15">
        <f>[1]January!D11-[1]PriorDecember!D11</f>
        <v>1</v>
      </c>
      <c r="E11" s="15">
        <f>[1]January!E11-[1]PriorDecember!E11</f>
        <v>1</v>
      </c>
      <c r="F11" s="14">
        <f t="shared" si="0"/>
        <v>-26</v>
      </c>
    </row>
    <row r="12" spans="1:6" x14ac:dyDescent="0.25">
      <c r="A12" s="8" t="s">
        <v>107</v>
      </c>
      <c r="B12" s="15">
        <f>[1]January!B12-[1]PriorDecember!B12</f>
        <v>-811</v>
      </c>
      <c r="C12" s="15">
        <f>[1]January!C12-[1]PriorDecember!C12</f>
        <v>-671</v>
      </c>
      <c r="D12" s="15">
        <f>[1]January!D12-[1]PriorDecember!D12</f>
        <v>-27</v>
      </c>
      <c r="E12" s="15">
        <f>[1]January!E12-[1]PriorDecember!E12</f>
        <v>-847</v>
      </c>
      <c r="F12" s="14">
        <f t="shared" si="0"/>
        <v>-2356</v>
      </c>
    </row>
    <row r="13" spans="1:6" x14ac:dyDescent="0.25">
      <c r="A13" s="8" t="s">
        <v>108</v>
      </c>
      <c r="B13" s="15">
        <f>[1]January!B13-[1]PriorDecember!B13</f>
        <v>261</v>
      </c>
      <c r="C13" s="15">
        <f>[1]January!C13-[1]PriorDecember!C13</f>
        <v>-17</v>
      </c>
      <c r="D13" s="15">
        <f>[1]January!D13-[1]PriorDecember!D13</f>
        <v>-42</v>
      </c>
      <c r="E13" s="15">
        <f>[1]January!E13-[1]PriorDecember!E13</f>
        <v>162</v>
      </c>
      <c r="F13" s="14">
        <f t="shared" si="0"/>
        <v>364</v>
      </c>
    </row>
    <row r="14" spans="1:6" x14ac:dyDescent="0.25">
      <c r="A14" s="8" t="s">
        <v>109</v>
      </c>
      <c r="B14" s="15">
        <f>[1]January!B14-[1]PriorDecember!B14</f>
        <v>199</v>
      </c>
      <c r="C14" s="15">
        <f>[1]January!C14-[1]PriorDecember!C14</f>
        <v>28</v>
      </c>
      <c r="D14" s="15">
        <f>[1]January!D14-[1]PriorDecember!D14</f>
        <v>-196</v>
      </c>
      <c r="E14" s="15">
        <f>[1]January!E14-[1]PriorDecember!E14</f>
        <v>292</v>
      </c>
      <c r="F14" s="14">
        <f t="shared" si="0"/>
        <v>323</v>
      </c>
    </row>
    <row r="15" spans="1:6" x14ac:dyDescent="0.25">
      <c r="A15" s="8" t="s">
        <v>110</v>
      </c>
      <c r="B15" s="15">
        <f>[1]January!B15-[1]PriorDecember!B15</f>
        <v>499</v>
      </c>
      <c r="C15" s="15">
        <f>[1]January!C15-[1]PriorDecember!C15</f>
        <v>47</v>
      </c>
      <c r="D15" s="15">
        <f>[1]January!D15-[1]PriorDecember!D15</f>
        <v>-152</v>
      </c>
      <c r="E15" s="15">
        <f>[1]January!E15-[1]PriorDecember!E15</f>
        <v>394</v>
      </c>
      <c r="F15" s="14">
        <f t="shared" si="0"/>
        <v>788</v>
      </c>
    </row>
    <row r="16" spans="1:6" x14ac:dyDescent="0.25">
      <c r="A16" s="8" t="s">
        <v>111</v>
      </c>
      <c r="B16" s="15">
        <f>[1]January!B16-[1]PriorDecember!B16</f>
        <v>62</v>
      </c>
      <c r="C16" s="15">
        <f>[1]January!C16-[1]PriorDecember!C16</f>
        <v>-18</v>
      </c>
      <c r="D16" s="15">
        <f>[1]January!D16-[1]PriorDecember!D16</f>
        <v>19</v>
      </c>
      <c r="E16" s="15">
        <f>[1]January!E16-[1]PriorDecember!E16</f>
        <v>20</v>
      </c>
      <c r="F16" s="14">
        <f t="shared" si="0"/>
        <v>83</v>
      </c>
    </row>
    <row r="17" spans="1:6" x14ac:dyDescent="0.25">
      <c r="A17" s="8" t="s">
        <v>112</v>
      </c>
      <c r="B17" s="15">
        <f>[1]January!B17-[1]PriorDecember!B17</f>
        <v>50</v>
      </c>
      <c r="C17" s="15">
        <f>[1]January!C17-[1]PriorDecember!C17</f>
        <v>-12</v>
      </c>
      <c r="D17" s="15">
        <f>[1]January!D17-[1]PriorDecember!D17</f>
        <v>11</v>
      </c>
      <c r="E17" s="15">
        <f>[1]January!E17-[1]PriorDecember!E17</f>
        <v>-2</v>
      </c>
      <c r="F17" s="14">
        <f t="shared" si="0"/>
        <v>47</v>
      </c>
    </row>
    <row r="18" spans="1:6" x14ac:dyDescent="0.25">
      <c r="A18" s="8" t="s">
        <v>113</v>
      </c>
      <c r="B18" s="15">
        <f>[1]January!B18-[1]PriorDecember!B18</f>
        <v>23</v>
      </c>
      <c r="C18" s="15">
        <f>[1]January!C18-[1]PriorDecember!C18</f>
        <v>-6</v>
      </c>
      <c r="D18" s="15">
        <f>[1]January!D18-[1]PriorDecember!D18</f>
        <v>0</v>
      </c>
      <c r="E18" s="15">
        <f>[1]January!E18-[1]PriorDecember!E18</f>
        <v>1</v>
      </c>
      <c r="F18" s="14">
        <f t="shared" si="0"/>
        <v>18</v>
      </c>
    </row>
    <row r="19" spans="1:6" x14ac:dyDescent="0.25">
      <c r="A19" s="8" t="s">
        <v>114</v>
      </c>
      <c r="B19" s="15">
        <f>[1]January!B19-[1]PriorDecember!B19</f>
        <v>-152</v>
      </c>
      <c r="C19" s="15">
        <f>[1]January!C19-[1]PriorDecember!C19</f>
        <v>-390</v>
      </c>
      <c r="D19" s="15">
        <f>[1]January!D19-[1]PriorDecember!D19</f>
        <v>259</v>
      </c>
      <c r="E19" s="15">
        <f>[1]January!E19-[1]PriorDecember!E19</f>
        <v>-247</v>
      </c>
      <c r="F19" s="14">
        <f t="shared" si="0"/>
        <v>-530</v>
      </c>
    </row>
    <row r="20" spans="1:6" x14ac:dyDescent="0.25">
      <c r="A20" s="8" t="s">
        <v>115</v>
      </c>
      <c r="B20" s="15">
        <f>[1]January!B20-[1]PriorDecember!B20</f>
        <v>308</v>
      </c>
      <c r="C20" s="15">
        <f>[1]January!C20-[1]PriorDecember!C20</f>
        <v>-64</v>
      </c>
      <c r="D20" s="15">
        <f>[1]January!D20-[1]PriorDecember!D20</f>
        <v>90</v>
      </c>
      <c r="E20" s="15">
        <f>[1]January!E20-[1]PriorDecember!E20</f>
        <v>-9</v>
      </c>
      <c r="F20" s="14">
        <f t="shared" si="0"/>
        <v>325</v>
      </c>
    </row>
    <row r="21" spans="1:6" x14ac:dyDescent="0.25">
      <c r="A21" s="8" t="s">
        <v>116</v>
      </c>
      <c r="B21" s="15">
        <f>[1]January!B21-[1]PriorDecember!B21</f>
        <v>313</v>
      </c>
      <c r="C21" s="15">
        <f>[1]January!C21-[1]PriorDecember!C21</f>
        <v>21</v>
      </c>
      <c r="D21" s="15">
        <f>[1]January!D21-[1]PriorDecember!D21</f>
        <v>41</v>
      </c>
      <c r="E21" s="15">
        <f>[1]January!E21-[1]PriorDecember!E21</f>
        <v>74</v>
      </c>
      <c r="F21" s="14">
        <f t="shared" si="0"/>
        <v>449</v>
      </c>
    </row>
    <row r="22" spans="1:6" x14ac:dyDescent="0.25">
      <c r="A22" s="8" t="s">
        <v>117</v>
      </c>
      <c r="B22" s="15">
        <f>[1]January!B22-[1]PriorDecember!B22</f>
        <v>18</v>
      </c>
      <c r="C22" s="15">
        <f>[1]January!C22-[1]PriorDecember!C22</f>
        <v>3</v>
      </c>
      <c r="D22" s="15">
        <f>[1]January!D22-[1]PriorDecember!D22</f>
        <v>4</v>
      </c>
      <c r="E22" s="15">
        <f>[1]January!E22-[1]PriorDecember!E22</f>
        <v>8</v>
      </c>
      <c r="F22" s="14">
        <f t="shared" si="0"/>
        <v>33</v>
      </c>
    </row>
    <row r="23" spans="1:6" x14ac:dyDescent="0.25">
      <c r="A23" s="8" t="s">
        <v>118</v>
      </c>
      <c r="B23" s="15">
        <f>[1]January!B23-[1]PriorDecember!B23</f>
        <v>11</v>
      </c>
      <c r="C23" s="15">
        <f>[1]January!C23-[1]PriorDecember!C23</f>
        <v>-7</v>
      </c>
      <c r="D23" s="15">
        <f>[1]January!D23-[1]PriorDecember!D23</f>
        <v>-5</v>
      </c>
      <c r="E23" s="15">
        <f>[1]January!E23-[1]PriorDecember!E23</f>
        <v>29</v>
      </c>
      <c r="F23" s="14">
        <f t="shared" si="0"/>
        <v>28</v>
      </c>
    </row>
    <row r="24" spans="1:6" x14ac:dyDescent="0.25">
      <c r="A24" s="8" t="s">
        <v>119</v>
      </c>
      <c r="B24" s="15">
        <f>[1]January!B24-[1]PriorDecember!B24</f>
        <v>43</v>
      </c>
      <c r="C24" s="15">
        <f>[1]January!C24-[1]PriorDecember!C24</f>
        <v>1</v>
      </c>
      <c r="D24" s="15">
        <f>[1]January!D24-[1]PriorDecember!D24</f>
        <v>7</v>
      </c>
      <c r="E24" s="15">
        <f>[1]January!E24-[1]PriorDecember!E24</f>
        <v>4</v>
      </c>
      <c r="F24" s="14">
        <f t="shared" si="0"/>
        <v>55</v>
      </c>
    </row>
    <row r="25" spans="1:6" x14ac:dyDescent="0.25">
      <c r="A25" s="8" t="s">
        <v>120</v>
      </c>
      <c r="B25" s="15">
        <f>[1]January!B25-[1]PriorDecember!B25</f>
        <v>28</v>
      </c>
      <c r="C25" s="15">
        <f>[1]January!C25-[1]PriorDecember!C25</f>
        <v>-1</v>
      </c>
      <c r="D25" s="15">
        <f>[1]January!D25-[1]PriorDecember!D25</f>
        <v>-15</v>
      </c>
      <c r="E25" s="15">
        <f>[1]January!E25-[1]PriorDecember!E25</f>
        <v>14</v>
      </c>
      <c r="F25" s="14">
        <f t="shared" si="0"/>
        <v>26</v>
      </c>
    </row>
    <row r="26" spans="1:6" x14ac:dyDescent="0.25">
      <c r="A26" s="8" t="s">
        <v>121</v>
      </c>
      <c r="B26" s="15">
        <f>[1]January!B26-[1]PriorDecember!B26</f>
        <v>35</v>
      </c>
      <c r="C26" s="15">
        <f>[1]January!C26-[1]PriorDecember!C26</f>
        <v>-10</v>
      </c>
      <c r="D26" s="15">
        <f>[1]January!D26-[1]PriorDecember!D26</f>
        <v>-2</v>
      </c>
      <c r="E26" s="15">
        <f>[1]January!E26-[1]PriorDecember!E26</f>
        <v>0</v>
      </c>
      <c r="F26" s="14">
        <f t="shared" si="0"/>
        <v>23</v>
      </c>
    </row>
    <row r="27" spans="1:6" x14ac:dyDescent="0.25">
      <c r="A27" s="8" t="s">
        <v>122</v>
      </c>
      <c r="B27" s="15">
        <f>[1]January!B27-[1]PriorDecember!B27</f>
        <v>14</v>
      </c>
      <c r="C27" s="15">
        <f>[1]January!C27-[1]PriorDecember!C27</f>
        <v>-1</v>
      </c>
      <c r="D27" s="15">
        <f>[1]January!D27-[1]PriorDecember!D27</f>
        <v>2</v>
      </c>
      <c r="E27" s="15">
        <f>[1]January!E27-[1]PriorDecember!E27</f>
        <v>-4</v>
      </c>
      <c r="F27" s="14">
        <f t="shared" si="0"/>
        <v>11</v>
      </c>
    </row>
    <row r="28" spans="1:6" x14ac:dyDescent="0.25">
      <c r="A28" s="8" t="s">
        <v>123</v>
      </c>
      <c r="B28" s="15">
        <f>[1]January!B28-[1]PriorDecember!B28</f>
        <v>38</v>
      </c>
      <c r="C28" s="15">
        <f>[1]January!C28-[1]PriorDecember!C28</f>
        <v>-13</v>
      </c>
      <c r="D28" s="15">
        <f>[1]January!D28-[1]PriorDecember!D28</f>
        <v>11</v>
      </c>
      <c r="E28" s="15">
        <f>[1]January!E28-[1]PriorDecember!E28</f>
        <v>-7</v>
      </c>
      <c r="F28" s="14">
        <f t="shared" si="0"/>
        <v>29</v>
      </c>
    </row>
    <row r="29" spans="1:6" x14ac:dyDescent="0.25">
      <c r="A29" s="8" t="s">
        <v>124</v>
      </c>
      <c r="B29" s="15">
        <f>[1]January!B29-[1]PriorDecember!B29</f>
        <v>45</v>
      </c>
      <c r="C29" s="15">
        <f>[1]January!C29-[1]PriorDecember!C29</f>
        <v>26</v>
      </c>
      <c r="D29" s="15">
        <f>[1]January!D29-[1]PriorDecember!D29</f>
        <v>-37</v>
      </c>
      <c r="E29" s="15">
        <f>[1]January!E29-[1]PriorDecember!E29</f>
        <v>99</v>
      </c>
      <c r="F29" s="14">
        <f t="shared" si="0"/>
        <v>133</v>
      </c>
    </row>
    <row r="30" spans="1:6" x14ac:dyDescent="0.25">
      <c r="A30" s="8" t="s">
        <v>125</v>
      </c>
      <c r="B30" s="15">
        <f>[1]January!B30-[1]PriorDecember!B30</f>
        <v>-61</v>
      </c>
      <c r="C30" s="15">
        <f>[1]January!C30-[1]PriorDecember!C30</f>
        <v>-169</v>
      </c>
      <c r="D30" s="15">
        <f>[1]January!D30-[1]PriorDecember!D30</f>
        <v>53</v>
      </c>
      <c r="E30" s="15">
        <f>[1]January!E30-[1]PriorDecember!E30</f>
        <v>-144</v>
      </c>
      <c r="F30" s="14">
        <f t="shared" si="0"/>
        <v>-321</v>
      </c>
    </row>
    <row r="31" spans="1:6" x14ac:dyDescent="0.25">
      <c r="A31" s="8" t="s">
        <v>126</v>
      </c>
      <c r="B31" s="15">
        <f>[1]January!B31-[1]PriorDecember!B31</f>
        <v>122</v>
      </c>
      <c r="C31" s="15">
        <f>[1]January!C31-[1]PriorDecember!C31</f>
        <v>8</v>
      </c>
      <c r="D31" s="15">
        <f>[1]January!D31-[1]PriorDecember!D31</f>
        <v>56</v>
      </c>
      <c r="E31" s="15">
        <f>[1]January!E31-[1]PriorDecember!E31</f>
        <v>-4</v>
      </c>
      <c r="F31" s="14">
        <f t="shared" si="0"/>
        <v>182</v>
      </c>
    </row>
    <row r="32" spans="1:6" x14ac:dyDescent="0.25">
      <c r="A32" s="8" t="s">
        <v>127</v>
      </c>
      <c r="B32" s="15">
        <f>[1]January!B32-[1]PriorDecember!B32</f>
        <v>-1033</v>
      </c>
      <c r="C32" s="15">
        <f>[1]January!C32-[1]PriorDecember!C32</f>
        <v>-4168</v>
      </c>
      <c r="D32" s="15">
        <f>[1]January!D32-[1]PriorDecember!D32</f>
        <v>-1306</v>
      </c>
      <c r="E32" s="15">
        <f>[1]January!E32-[1]PriorDecember!E32</f>
        <v>-2341</v>
      </c>
      <c r="F32" s="14">
        <f t="shared" si="0"/>
        <v>-8848</v>
      </c>
    </row>
    <row r="33" spans="1:6" x14ac:dyDescent="0.25">
      <c r="A33" s="8" t="s">
        <v>128</v>
      </c>
      <c r="B33" s="15">
        <f>[1]January!B33-[1]PriorDecember!B33</f>
        <v>10</v>
      </c>
      <c r="C33" s="15">
        <f>[1]January!C33-[1]PriorDecember!C33</f>
        <v>-5</v>
      </c>
      <c r="D33" s="15">
        <f>[1]January!D33-[1]PriorDecember!D33</f>
        <v>3</v>
      </c>
      <c r="E33" s="15">
        <f>[1]January!E33-[1]PriorDecember!E33</f>
        <v>5</v>
      </c>
      <c r="F33" s="14">
        <f t="shared" si="0"/>
        <v>13</v>
      </c>
    </row>
    <row r="34" spans="1:6" x14ac:dyDescent="0.25">
      <c r="A34" s="8" t="s">
        <v>129</v>
      </c>
      <c r="B34" s="15">
        <f>[1]January!B34-[1]PriorDecember!B34</f>
        <v>10</v>
      </c>
      <c r="C34" s="15">
        <f>[1]January!C34-[1]PriorDecember!C34</f>
        <v>-207</v>
      </c>
      <c r="D34" s="15">
        <f>[1]January!D34-[1]PriorDecember!D34</f>
        <v>-70</v>
      </c>
      <c r="E34" s="15">
        <f>[1]January!E34-[1]PriorDecember!E34</f>
        <v>-64</v>
      </c>
      <c r="F34" s="14">
        <f t="shared" si="0"/>
        <v>-331</v>
      </c>
    </row>
    <row r="35" spans="1:6" x14ac:dyDescent="0.25">
      <c r="A35" s="8" t="s">
        <v>130</v>
      </c>
      <c r="B35" s="15">
        <f>[1]January!B35-[1]PriorDecember!B35</f>
        <v>30</v>
      </c>
      <c r="C35" s="15">
        <f>[1]January!C35-[1]PriorDecember!C35</f>
        <v>-5</v>
      </c>
      <c r="D35" s="15">
        <f>[1]January!D35-[1]PriorDecember!D35</f>
        <v>-4</v>
      </c>
      <c r="E35" s="15">
        <f>[1]January!E35-[1]PriorDecember!E35</f>
        <v>19</v>
      </c>
      <c r="F35" s="14">
        <f t="shared" si="0"/>
        <v>40</v>
      </c>
    </row>
    <row r="36" spans="1:6" x14ac:dyDescent="0.25">
      <c r="A36" s="8" t="s">
        <v>131</v>
      </c>
      <c r="B36" s="15">
        <f>[1]January!B36-[1]PriorDecember!B36</f>
        <v>-2</v>
      </c>
      <c r="C36" s="15">
        <f>[1]January!C36-[1]PriorDecember!C36</f>
        <v>-49</v>
      </c>
      <c r="D36" s="15">
        <f>[1]January!D36-[1]PriorDecember!D36</f>
        <v>5</v>
      </c>
      <c r="E36" s="15">
        <f>[1]January!E36-[1]PriorDecember!E36</f>
        <v>-9</v>
      </c>
      <c r="F36" s="14">
        <f t="shared" si="0"/>
        <v>-55</v>
      </c>
    </row>
    <row r="37" spans="1:6" x14ac:dyDescent="0.25">
      <c r="A37" s="8" t="s">
        <v>132</v>
      </c>
      <c r="B37" s="15">
        <f>[1]January!B37-[1]PriorDecember!B37</f>
        <v>-10</v>
      </c>
      <c r="C37" s="15">
        <f>[1]January!C37-[1]PriorDecember!C37</f>
        <v>-4</v>
      </c>
      <c r="D37" s="15">
        <f>[1]January!D37-[1]PriorDecember!D37</f>
        <v>2</v>
      </c>
      <c r="E37" s="15">
        <f>[1]January!E37-[1]PriorDecember!E37</f>
        <v>-1</v>
      </c>
      <c r="F37" s="14">
        <f t="shared" si="0"/>
        <v>-13</v>
      </c>
    </row>
    <row r="38" spans="1:6" x14ac:dyDescent="0.25">
      <c r="A38" s="8" t="s">
        <v>133</v>
      </c>
      <c r="B38" s="15">
        <f>[1]January!B38-[1]PriorDecember!B38</f>
        <v>550</v>
      </c>
      <c r="C38" s="15">
        <f>[1]January!C38-[1]PriorDecember!C38</f>
        <v>91</v>
      </c>
      <c r="D38" s="15">
        <f>[1]January!D38-[1]PriorDecember!D38</f>
        <v>193</v>
      </c>
      <c r="E38" s="15">
        <f>[1]January!E38-[1]PriorDecember!E38</f>
        <v>228</v>
      </c>
      <c r="F38" s="14">
        <f t="shared" si="0"/>
        <v>1062</v>
      </c>
    </row>
    <row r="39" spans="1:6" x14ac:dyDescent="0.25">
      <c r="A39" s="8" t="s">
        <v>134</v>
      </c>
      <c r="B39" s="15">
        <f>[1]January!B39-[1]PriorDecember!B39</f>
        <v>772</v>
      </c>
      <c r="C39" s="15">
        <f>[1]January!C39-[1]PriorDecember!C39</f>
        <v>-125</v>
      </c>
      <c r="D39" s="15">
        <f>[1]January!D39-[1]PriorDecember!D39</f>
        <v>222</v>
      </c>
      <c r="E39" s="15">
        <f>[1]January!E39-[1]PriorDecember!E39</f>
        <v>295</v>
      </c>
      <c r="F39" s="14">
        <f t="shared" si="0"/>
        <v>1164</v>
      </c>
    </row>
    <row r="40" spans="1:6" x14ac:dyDescent="0.25">
      <c r="A40" s="8" t="s">
        <v>135</v>
      </c>
      <c r="B40" s="15">
        <f>[1]January!B40-[1]PriorDecember!B40</f>
        <v>-37</v>
      </c>
      <c r="C40" s="15">
        <f>[1]January!C40-[1]PriorDecember!C40</f>
        <v>-309</v>
      </c>
      <c r="D40" s="15">
        <f>[1]January!D40-[1]PriorDecember!D40</f>
        <v>-142</v>
      </c>
      <c r="E40" s="15">
        <f>[1]January!E40-[1]PriorDecember!E40</f>
        <v>248</v>
      </c>
      <c r="F40" s="14">
        <f t="shared" si="0"/>
        <v>-240</v>
      </c>
    </row>
    <row r="41" spans="1:6" x14ac:dyDescent="0.25">
      <c r="A41" s="8" t="s">
        <v>136</v>
      </c>
      <c r="B41" s="15">
        <f>[1]January!B41-[1]PriorDecember!B41</f>
        <v>-13</v>
      </c>
      <c r="C41" s="15">
        <f>[1]January!C41-[1]PriorDecember!C41</f>
        <v>-33</v>
      </c>
      <c r="D41" s="15">
        <f>[1]January!D41-[1]PriorDecember!D41</f>
        <v>10</v>
      </c>
      <c r="E41" s="15">
        <f>[1]January!E41-[1]PriorDecember!E41</f>
        <v>-14</v>
      </c>
      <c r="F41" s="14">
        <f t="shared" si="0"/>
        <v>-50</v>
      </c>
    </row>
    <row r="42" spans="1:6" x14ac:dyDescent="0.25">
      <c r="A42" s="8" t="s">
        <v>137</v>
      </c>
      <c r="B42" s="15">
        <f>[1]January!B42-[1]PriorDecember!B42</f>
        <v>1</v>
      </c>
      <c r="C42" s="15">
        <f>[1]January!C42-[1]PriorDecember!C42</f>
        <v>-6</v>
      </c>
      <c r="D42" s="15">
        <f>[1]January!D42-[1]PriorDecember!D42</f>
        <v>-2</v>
      </c>
      <c r="E42" s="15">
        <f>[1]January!E42-[1]PriorDecember!E42</f>
        <v>2</v>
      </c>
      <c r="F42" s="14">
        <f t="shared" si="0"/>
        <v>-5</v>
      </c>
    </row>
    <row r="43" spans="1:6" x14ac:dyDescent="0.25">
      <c r="A43" s="8" t="s">
        <v>138</v>
      </c>
      <c r="B43" s="15">
        <f>[1]January!B43-[1]PriorDecember!B43</f>
        <v>14</v>
      </c>
      <c r="C43" s="15">
        <f>[1]January!C43-[1]PriorDecember!C43</f>
        <v>-12</v>
      </c>
      <c r="D43" s="15">
        <f>[1]January!D43-[1]PriorDecember!D43</f>
        <v>7</v>
      </c>
      <c r="E43" s="15">
        <f>[1]January!E43-[1]PriorDecember!E43</f>
        <v>2</v>
      </c>
      <c r="F43" s="14">
        <f t="shared" si="0"/>
        <v>11</v>
      </c>
    </row>
    <row r="44" spans="1:6" x14ac:dyDescent="0.25">
      <c r="A44" s="8" t="s">
        <v>139</v>
      </c>
      <c r="B44" s="15">
        <f>[1]January!B44-[1]PriorDecember!B44</f>
        <v>-198</v>
      </c>
      <c r="C44" s="15">
        <f>[1]January!C44-[1]PriorDecember!C44</f>
        <v>-543</v>
      </c>
      <c r="D44" s="15">
        <f>[1]January!D44-[1]PriorDecember!D44</f>
        <v>19</v>
      </c>
      <c r="E44" s="15">
        <f>[1]January!E44-[1]PriorDecember!E44</f>
        <v>-236</v>
      </c>
      <c r="F44" s="14">
        <f t="shared" si="0"/>
        <v>-958</v>
      </c>
    </row>
    <row r="45" spans="1:6" x14ac:dyDescent="0.25">
      <c r="A45" s="8" t="s">
        <v>140</v>
      </c>
      <c r="B45" s="15">
        <f>[1]January!B45-[1]PriorDecember!B45</f>
        <v>736</v>
      </c>
      <c r="C45" s="15">
        <f>[1]January!C45-[1]PriorDecember!C45</f>
        <v>75</v>
      </c>
      <c r="D45" s="15">
        <f>[1]January!D45-[1]PriorDecember!D45</f>
        <v>-182</v>
      </c>
      <c r="E45" s="15">
        <f>[1]January!E45-[1]PriorDecember!E45</f>
        <v>582</v>
      </c>
      <c r="F45" s="14">
        <f t="shared" si="0"/>
        <v>1211</v>
      </c>
    </row>
    <row r="46" spans="1:6" x14ac:dyDescent="0.25">
      <c r="A46" s="8" t="s">
        <v>141</v>
      </c>
      <c r="B46" s="15">
        <f>[1]January!B46-[1]PriorDecember!B46</f>
        <v>97</v>
      </c>
      <c r="C46" s="15">
        <f>[1]January!C46-[1]PriorDecember!C46</f>
        <v>-40</v>
      </c>
      <c r="D46" s="15">
        <f>[1]January!D46-[1]PriorDecember!D46</f>
        <v>71</v>
      </c>
      <c r="E46" s="15">
        <f>[1]January!E46-[1]PriorDecember!E46</f>
        <v>-7</v>
      </c>
      <c r="F46" s="14">
        <f t="shared" si="0"/>
        <v>121</v>
      </c>
    </row>
    <row r="47" spans="1:6" x14ac:dyDescent="0.25">
      <c r="A47" s="8" t="s">
        <v>142</v>
      </c>
      <c r="B47" s="15">
        <f>[1]January!B47-[1]PriorDecember!B47</f>
        <v>246</v>
      </c>
      <c r="C47" s="15">
        <f>[1]January!C47-[1]PriorDecember!C47</f>
        <v>-1954</v>
      </c>
      <c r="D47" s="15">
        <f>[1]January!D47-[1]PriorDecember!D47</f>
        <v>295</v>
      </c>
      <c r="E47" s="15">
        <f>[1]January!E47-[1]PriorDecember!E47</f>
        <v>-435</v>
      </c>
      <c r="F47" s="14">
        <f t="shared" si="0"/>
        <v>-1848</v>
      </c>
    </row>
    <row r="48" spans="1:6" x14ac:dyDescent="0.25">
      <c r="A48" s="8" t="s">
        <v>143</v>
      </c>
      <c r="B48" s="15">
        <f>[1]January!B48-[1]PriorDecember!B48</f>
        <v>210</v>
      </c>
      <c r="C48" s="15">
        <f>[1]January!C48-[1]PriorDecember!C48</f>
        <v>3</v>
      </c>
      <c r="D48" s="15">
        <f>[1]January!D48-[1]PriorDecember!D48</f>
        <v>32</v>
      </c>
      <c r="E48" s="15">
        <f>[1]January!E48-[1]PriorDecember!E48</f>
        <v>45</v>
      </c>
      <c r="F48" s="14">
        <f t="shared" si="0"/>
        <v>290</v>
      </c>
    </row>
    <row r="49" spans="1:6" x14ac:dyDescent="0.25">
      <c r="A49" s="8" t="s">
        <v>144</v>
      </c>
      <c r="B49" s="15">
        <f>[1]January!B49-[1]PriorDecember!B49</f>
        <v>-121</v>
      </c>
      <c r="C49" s="15">
        <f>[1]January!C49-[1]PriorDecember!C49</f>
        <v>-95</v>
      </c>
      <c r="D49" s="15">
        <f>[1]January!D49-[1]PriorDecember!D49</f>
        <v>-87</v>
      </c>
      <c r="E49" s="15">
        <f>[1]January!E49-[1]PriorDecember!E49</f>
        <v>-26</v>
      </c>
      <c r="F49" s="14">
        <f t="shared" si="0"/>
        <v>-329</v>
      </c>
    </row>
    <row r="50" spans="1:6" x14ac:dyDescent="0.25">
      <c r="A50" s="8" t="s">
        <v>145</v>
      </c>
      <c r="B50" s="15">
        <f>[1]January!B50-[1]PriorDecember!B50</f>
        <v>45</v>
      </c>
      <c r="C50" s="15">
        <f>[1]January!C50-[1]PriorDecember!C50</f>
        <v>-103</v>
      </c>
      <c r="D50" s="15">
        <f>[1]January!D50-[1]PriorDecember!D50</f>
        <v>41</v>
      </c>
      <c r="E50" s="15">
        <f>[1]January!E50-[1]PriorDecember!E50</f>
        <v>-162</v>
      </c>
      <c r="F50" s="14">
        <f t="shared" si="0"/>
        <v>-179</v>
      </c>
    </row>
    <row r="51" spans="1:6" x14ac:dyDescent="0.25">
      <c r="A51" s="8" t="s">
        <v>146</v>
      </c>
      <c r="B51" s="15">
        <f>[1]January!B51-[1]PriorDecember!B51</f>
        <v>42</v>
      </c>
      <c r="C51" s="15">
        <f>[1]January!C51-[1]PriorDecember!C51</f>
        <v>4</v>
      </c>
      <c r="D51" s="15">
        <f>[1]January!D51-[1]PriorDecember!D51</f>
        <v>24</v>
      </c>
      <c r="E51" s="15">
        <f>[1]January!E51-[1]PriorDecember!E51</f>
        <v>14</v>
      </c>
      <c r="F51" s="14">
        <f t="shared" si="0"/>
        <v>84</v>
      </c>
    </row>
    <row r="52" spans="1:6" x14ac:dyDescent="0.25">
      <c r="A52" s="8" t="s">
        <v>147</v>
      </c>
      <c r="B52" s="15">
        <f>[1]January!B52-[1]PriorDecember!B52</f>
        <v>-277</v>
      </c>
      <c r="C52" s="15">
        <f>[1]January!C52-[1]PriorDecember!C52</f>
        <v>-1954</v>
      </c>
      <c r="D52" s="15">
        <f>[1]January!D52-[1]PriorDecember!D52</f>
        <v>-1242</v>
      </c>
      <c r="E52" s="15">
        <f>[1]January!E52-[1]PriorDecember!E52</f>
        <v>74</v>
      </c>
      <c r="F52" s="14">
        <f t="shared" si="0"/>
        <v>-3399</v>
      </c>
    </row>
    <row r="53" spans="1:6" x14ac:dyDescent="0.25">
      <c r="A53" s="8" t="s">
        <v>148</v>
      </c>
      <c r="B53" s="15">
        <f>[1]January!B53-[1]PriorDecember!B53</f>
        <v>919</v>
      </c>
      <c r="C53" s="15">
        <f>[1]January!C53-[1]PriorDecember!C53</f>
        <v>524</v>
      </c>
      <c r="D53" s="15">
        <f>[1]January!D53-[1]PriorDecember!D53</f>
        <v>391</v>
      </c>
      <c r="E53" s="15">
        <f>[1]January!E53-[1]PriorDecember!E53</f>
        <v>571</v>
      </c>
      <c r="F53" s="14">
        <f t="shared" si="0"/>
        <v>2405</v>
      </c>
    </row>
    <row r="54" spans="1:6" x14ac:dyDescent="0.25">
      <c r="A54" s="8" t="s">
        <v>149</v>
      </c>
      <c r="B54" s="15">
        <f>[1]January!B54-[1]PriorDecember!B54</f>
        <v>1168</v>
      </c>
      <c r="C54" s="15">
        <f>[1]January!C54-[1]PriorDecember!C54</f>
        <v>-7</v>
      </c>
      <c r="D54" s="15">
        <f>[1]January!D54-[1]PriorDecember!D54</f>
        <v>388</v>
      </c>
      <c r="E54" s="15">
        <f>[1]January!E54-[1]PriorDecember!E54</f>
        <v>830</v>
      </c>
      <c r="F54" s="14">
        <f t="shared" si="0"/>
        <v>2379</v>
      </c>
    </row>
    <row r="55" spans="1:6" x14ac:dyDescent="0.25">
      <c r="A55" s="8" t="s">
        <v>150</v>
      </c>
      <c r="B55" s="15">
        <f>[1]January!B55-[1]PriorDecember!B55</f>
        <v>770</v>
      </c>
      <c r="C55" s="15">
        <f>[1]January!C55-[1]PriorDecember!C55</f>
        <v>-73</v>
      </c>
      <c r="D55" s="15">
        <f>[1]January!D55-[1]PriorDecember!D55</f>
        <v>299</v>
      </c>
      <c r="E55" s="15">
        <f>[1]January!E55-[1]PriorDecember!E55</f>
        <v>262</v>
      </c>
      <c r="F55" s="14">
        <f t="shared" si="0"/>
        <v>1258</v>
      </c>
    </row>
    <row r="56" spans="1:6" x14ac:dyDescent="0.25">
      <c r="A56" s="8" t="s">
        <v>151</v>
      </c>
      <c r="B56" s="15">
        <f>[1]January!B56-[1]PriorDecember!B56</f>
        <v>-963</v>
      </c>
      <c r="C56" s="15">
        <f>[1]January!C56-[1]PriorDecember!C56</f>
        <v>-1960</v>
      </c>
      <c r="D56" s="15">
        <f>[1]January!D56-[1]PriorDecember!D56</f>
        <v>17</v>
      </c>
      <c r="E56" s="15">
        <f>[1]January!E56-[1]PriorDecember!E56</f>
        <v>-1030</v>
      </c>
      <c r="F56" s="14">
        <f t="shared" si="0"/>
        <v>-3936</v>
      </c>
    </row>
    <row r="57" spans="1:6" x14ac:dyDescent="0.25">
      <c r="A57" s="8" t="s">
        <v>152</v>
      </c>
      <c r="B57" s="15">
        <f>[1]January!B57-[1]PriorDecember!B57</f>
        <v>695</v>
      </c>
      <c r="C57" s="15">
        <f>[1]January!C57-[1]PriorDecember!C57</f>
        <v>229</v>
      </c>
      <c r="D57" s="15">
        <f>[1]January!D57-[1]PriorDecember!D57</f>
        <v>283</v>
      </c>
      <c r="E57" s="15">
        <f>[1]January!E57-[1]PriorDecember!E57</f>
        <v>614</v>
      </c>
      <c r="F57" s="14">
        <f t="shared" si="0"/>
        <v>1821</v>
      </c>
    </row>
    <row r="58" spans="1:6" x14ac:dyDescent="0.25">
      <c r="A58" s="8" t="s">
        <v>153</v>
      </c>
      <c r="B58" s="15">
        <f>[1]January!B58-[1]PriorDecember!B58</f>
        <v>120</v>
      </c>
      <c r="C58" s="15">
        <f>[1]January!C58-[1]PriorDecember!C58</f>
        <v>-6</v>
      </c>
      <c r="D58" s="15">
        <f>[1]January!D58-[1]PriorDecember!D58</f>
        <v>-14</v>
      </c>
      <c r="E58" s="15">
        <f>[1]January!E58-[1]PriorDecember!E58</f>
        <v>55</v>
      </c>
      <c r="F58" s="14">
        <f t="shared" si="0"/>
        <v>155</v>
      </c>
    </row>
    <row r="59" spans="1:6" x14ac:dyDescent="0.25">
      <c r="A59" s="8" t="s">
        <v>154</v>
      </c>
      <c r="B59" s="15">
        <f>[1]January!B59-[1]PriorDecember!B59</f>
        <v>470</v>
      </c>
      <c r="C59" s="15">
        <f>[1]January!C59-[1]PriorDecember!C59</f>
        <v>43</v>
      </c>
      <c r="D59" s="15">
        <f>[1]January!D59-[1]PriorDecember!D59</f>
        <v>43</v>
      </c>
      <c r="E59" s="15">
        <f>[1]January!E59-[1]PriorDecember!E59</f>
        <v>38</v>
      </c>
      <c r="F59" s="14">
        <f t="shared" si="0"/>
        <v>594</v>
      </c>
    </row>
    <row r="60" spans="1:6" x14ac:dyDescent="0.25">
      <c r="A60" s="8" t="s">
        <v>155</v>
      </c>
      <c r="B60" s="15">
        <f>[1]January!B60-[1]PriorDecember!B60</f>
        <v>-583</v>
      </c>
      <c r="C60" s="15">
        <f>[1]January!C60-[1]PriorDecember!C60</f>
        <v>-886</v>
      </c>
      <c r="D60" s="15">
        <f>[1]January!D60-[1]PriorDecember!D60</f>
        <v>43</v>
      </c>
      <c r="E60" s="15">
        <f>[1]January!E60-[1]PriorDecember!E60</f>
        <v>-561</v>
      </c>
      <c r="F60" s="14">
        <f t="shared" si="0"/>
        <v>-1987</v>
      </c>
    </row>
    <row r="61" spans="1:6" x14ac:dyDescent="0.25">
      <c r="A61" s="8" t="s">
        <v>156</v>
      </c>
      <c r="B61" s="15">
        <f>[1]January!B61-[1]PriorDecember!B61</f>
        <v>42</v>
      </c>
      <c r="C61" s="15">
        <f>[1]January!C61-[1]PriorDecember!C61</f>
        <v>-209</v>
      </c>
      <c r="D61" s="15">
        <f>[1]January!D61-[1]PriorDecember!D61</f>
        <v>167</v>
      </c>
      <c r="E61" s="15">
        <f>[1]January!E61-[1]PriorDecember!E61</f>
        <v>-100</v>
      </c>
      <c r="F61" s="14">
        <f t="shared" si="0"/>
        <v>-100</v>
      </c>
    </row>
    <row r="62" spans="1:6" x14ac:dyDescent="0.25">
      <c r="A62" s="8" t="s">
        <v>157</v>
      </c>
      <c r="B62" s="15">
        <f>[1]January!B62-[1]PriorDecember!B62</f>
        <v>812</v>
      </c>
      <c r="C62" s="15">
        <f>[1]January!C62-[1]PriorDecember!C62</f>
        <v>107</v>
      </c>
      <c r="D62" s="15">
        <f>[1]January!D62-[1]PriorDecember!D62</f>
        <v>119</v>
      </c>
      <c r="E62" s="15">
        <f>[1]January!E62-[1]PriorDecember!E62</f>
        <v>377</v>
      </c>
      <c r="F62" s="14">
        <f t="shared" si="0"/>
        <v>1415</v>
      </c>
    </row>
    <row r="63" spans="1:6" x14ac:dyDescent="0.25">
      <c r="A63" s="8" t="s">
        <v>158</v>
      </c>
      <c r="B63" s="15">
        <f>[1]January!B63-[1]PriorDecember!B63</f>
        <v>496</v>
      </c>
      <c r="C63" s="15">
        <f>[1]January!C63-[1]PriorDecember!C63</f>
        <v>197</v>
      </c>
      <c r="D63" s="15">
        <f>[1]January!D63-[1]PriorDecember!D63</f>
        <v>174</v>
      </c>
      <c r="E63" s="15">
        <f>[1]January!E63-[1]PriorDecember!E63</f>
        <v>276</v>
      </c>
      <c r="F63" s="14">
        <f t="shared" si="0"/>
        <v>1143</v>
      </c>
    </row>
    <row r="64" spans="1:6" x14ac:dyDescent="0.25">
      <c r="A64" s="8" t="s">
        <v>159</v>
      </c>
      <c r="B64" s="15">
        <f>[1]January!B64-[1]PriorDecember!B64</f>
        <v>184</v>
      </c>
      <c r="C64" s="15">
        <f>[1]January!C64-[1]PriorDecember!C64</f>
        <v>-85</v>
      </c>
      <c r="D64" s="15">
        <f>[1]January!D64-[1]PriorDecember!D64</f>
        <v>39</v>
      </c>
      <c r="E64" s="15">
        <f>[1]January!E64-[1]PriorDecember!E64</f>
        <v>48</v>
      </c>
      <c r="F64" s="14">
        <f t="shared" si="0"/>
        <v>186</v>
      </c>
    </row>
    <row r="65" spans="1:6" x14ac:dyDescent="0.25">
      <c r="A65" s="8" t="s">
        <v>160</v>
      </c>
      <c r="B65" s="15">
        <f>[1]January!B65-[1]PriorDecember!B65</f>
        <v>71</v>
      </c>
      <c r="C65" s="15">
        <f>[1]January!C65-[1]PriorDecember!C65</f>
        <v>-6</v>
      </c>
      <c r="D65" s="15">
        <f>[1]January!D65-[1]PriorDecember!D65</f>
        <v>23</v>
      </c>
      <c r="E65" s="15">
        <f>[1]January!E65-[1]PriorDecember!E65</f>
        <v>8</v>
      </c>
      <c r="F65" s="14">
        <f t="shared" si="0"/>
        <v>96</v>
      </c>
    </row>
    <row r="66" spans="1:6" x14ac:dyDescent="0.25">
      <c r="A66" s="8" t="s">
        <v>161</v>
      </c>
      <c r="B66" s="15">
        <f>[1]January!B66-[1]PriorDecember!B66</f>
        <v>-49</v>
      </c>
      <c r="C66" s="15">
        <f>[1]January!C66-[1]PriorDecember!C66</f>
        <v>-40</v>
      </c>
      <c r="D66" s="15">
        <f>[1]January!D66-[1]PriorDecember!D66</f>
        <v>-13</v>
      </c>
      <c r="E66" s="15">
        <f>[1]January!E66-[1]PriorDecember!E66</f>
        <v>1</v>
      </c>
      <c r="F66" s="14">
        <f t="shared" si="0"/>
        <v>-101</v>
      </c>
    </row>
    <row r="67" spans="1:6" x14ac:dyDescent="0.25">
      <c r="A67" s="8" t="s">
        <v>162</v>
      </c>
      <c r="B67" s="15">
        <f>[1]January!B67-[1]PriorDecember!B67</f>
        <v>-5</v>
      </c>
      <c r="C67" s="15">
        <f>[1]January!C67-[1]PriorDecember!C67</f>
        <v>-13</v>
      </c>
      <c r="D67" s="15">
        <f>[1]January!D67-[1]PriorDecember!D67</f>
        <v>1</v>
      </c>
      <c r="E67" s="15">
        <f>[1]January!E67-[1]PriorDecember!E67</f>
        <v>1</v>
      </c>
      <c r="F67" s="14">
        <f t="shared" si="0"/>
        <v>-16</v>
      </c>
    </row>
    <row r="68" spans="1:6" x14ac:dyDescent="0.25">
      <c r="A68" s="8" t="s">
        <v>163</v>
      </c>
      <c r="B68" s="15">
        <f>[1]January!B68-[1]PriorDecember!B68</f>
        <v>846</v>
      </c>
      <c r="C68" s="15">
        <f>[1]January!C68-[1]PriorDecember!C68</f>
        <v>57</v>
      </c>
      <c r="D68" s="15">
        <f>[1]January!D68-[1]PriorDecember!D68</f>
        <v>-265</v>
      </c>
      <c r="E68" s="15">
        <f>[1]January!E68-[1]PriorDecember!E68</f>
        <v>872</v>
      </c>
      <c r="F68" s="14">
        <f t="shared" si="0"/>
        <v>1510</v>
      </c>
    </row>
    <row r="69" spans="1:6" x14ac:dyDescent="0.25">
      <c r="A69" s="8" t="s">
        <v>164</v>
      </c>
      <c r="B69" s="15">
        <f>[1]January!B69-[1]PriorDecember!B69</f>
        <v>93</v>
      </c>
      <c r="C69" s="15">
        <f>[1]January!C69-[1]PriorDecember!C69</f>
        <v>10</v>
      </c>
      <c r="D69" s="15">
        <f>[1]January!D69-[1]PriorDecember!D69</f>
        <v>27</v>
      </c>
      <c r="E69" s="15">
        <f>[1]January!E69-[1]PriorDecember!E69</f>
        <v>22</v>
      </c>
      <c r="F69" s="14">
        <f t="shared" si="0"/>
        <v>152</v>
      </c>
    </row>
    <row r="70" spans="1:6" x14ac:dyDescent="0.25">
      <c r="A70" s="8" t="s">
        <v>165</v>
      </c>
      <c r="B70" s="15">
        <f>[1]January!B70-[1]PriorDecember!B70</f>
        <v>245</v>
      </c>
      <c r="C70" s="15">
        <f>[1]January!C70-[1]PriorDecember!C70</f>
        <v>-25</v>
      </c>
      <c r="D70" s="15">
        <f>[1]January!D70-[1]PriorDecember!D70</f>
        <v>-64</v>
      </c>
      <c r="E70" s="15">
        <f>[1]January!E70-[1]PriorDecember!E70</f>
        <v>79</v>
      </c>
      <c r="F70" s="14">
        <f t="shared" ref="F70:F71" si="1">SUM(B70:E70)</f>
        <v>235</v>
      </c>
    </row>
    <row r="71" spans="1:6" ht="15.75" thickBot="1" x14ac:dyDescent="0.3">
      <c r="A71" s="8" t="s">
        <v>166</v>
      </c>
      <c r="B71" s="15">
        <f>[1]January!B71-[1]PriorDecember!B71</f>
        <v>74</v>
      </c>
      <c r="C71" s="15">
        <f>[1]January!C71-[1]PriorDecember!C71</f>
        <v>-7</v>
      </c>
      <c r="D71" s="15">
        <f>[1]January!D71-[1]PriorDecember!D71</f>
        <v>7</v>
      </c>
      <c r="E71" s="15">
        <f>[1]January!E71-[1]PriorDecember!E71</f>
        <v>11</v>
      </c>
      <c r="F71" s="14">
        <f t="shared" si="1"/>
        <v>85</v>
      </c>
    </row>
    <row r="72" spans="1:6" ht="16.5" thickTop="1" thickBot="1" x14ac:dyDescent="0.3">
      <c r="A72" s="2" t="s">
        <v>0</v>
      </c>
      <c r="B72" s="6">
        <f>SUM(B5:B71)</f>
        <v>7198</v>
      </c>
      <c r="C72" s="6">
        <f>SUM(C5:C71)</f>
        <v>-16228</v>
      </c>
      <c r="D72" s="6">
        <f>SUM(D5:D71)</f>
        <v>-108</v>
      </c>
      <c r="E72" s="6">
        <f>SUM(E5:E71)</f>
        <v>-574</v>
      </c>
      <c r="F72" s="6">
        <f>SUM(F5:F71)</f>
        <v>-9712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3"/>
  <sheetViews>
    <sheetView workbookViewId="0">
      <selection activeCell="A2" sqref="A2:F2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x14ac:dyDescent="0.25">
      <c r="A1" s="17" t="s">
        <v>81</v>
      </c>
      <c r="B1" s="18"/>
      <c r="C1" s="18"/>
      <c r="D1" s="18"/>
      <c r="E1" s="18"/>
      <c r="F1" s="19"/>
    </row>
    <row r="2" spans="1:6" x14ac:dyDescent="0.25">
      <c r="A2" s="20" t="s">
        <v>182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February!B5-January!B5</f>
        <v>-62</v>
      </c>
      <c r="C5" s="15">
        <f>February!C5-January!C5</f>
        <v>-445</v>
      </c>
      <c r="D5" s="15">
        <f>February!D5-January!D5</f>
        <v>-185</v>
      </c>
      <c r="E5" s="15">
        <f>February!E5-January!E5</f>
        <v>112</v>
      </c>
      <c r="F5" s="15">
        <f t="shared" ref="F5:F36" si="0">SUM(B5:E5)</f>
        <v>-580</v>
      </c>
    </row>
    <row r="6" spans="1:6" x14ac:dyDescent="0.25">
      <c r="A6" s="8" t="s">
        <v>101</v>
      </c>
      <c r="B6" s="15">
        <f>February!B6-January!B6</f>
        <v>31</v>
      </c>
      <c r="C6" s="15">
        <f>February!C6-January!C6</f>
        <v>-4</v>
      </c>
      <c r="D6" s="15">
        <f>February!D6-January!D6</f>
        <v>-13</v>
      </c>
      <c r="E6" s="15">
        <f>February!E6-January!E6</f>
        <v>18</v>
      </c>
      <c r="F6" s="15">
        <f t="shared" si="0"/>
        <v>32</v>
      </c>
    </row>
    <row r="7" spans="1:6" x14ac:dyDescent="0.25">
      <c r="A7" s="8" t="s">
        <v>102</v>
      </c>
      <c r="B7" s="15">
        <f>February!B7-January!B7</f>
        <v>221</v>
      </c>
      <c r="C7" s="15">
        <f>February!C7-January!C7</f>
        <v>-13</v>
      </c>
      <c r="D7" s="15">
        <f>February!D7-January!D7</f>
        <v>-168</v>
      </c>
      <c r="E7" s="15">
        <f>February!E7-January!E7</f>
        <v>264</v>
      </c>
      <c r="F7" s="15">
        <f t="shared" si="0"/>
        <v>304</v>
      </c>
    </row>
    <row r="8" spans="1:6" x14ac:dyDescent="0.25">
      <c r="A8" s="8" t="s">
        <v>103</v>
      </c>
      <c r="B8" s="15">
        <f>February!B8-January!B8</f>
        <v>25</v>
      </c>
      <c r="C8" s="15">
        <f>February!C8-January!C8</f>
        <v>-4</v>
      </c>
      <c r="D8" s="15">
        <f>February!D8-January!D8</f>
        <v>10</v>
      </c>
      <c r="E8" s="15">
        <f>February!E8-January!E8</f>
        <v>-3</v>
      </c>
      <c r="F8" s="15">
        <f t="shared" si="0"/>
        <v>28</v>
      </c>
    </row>
    <row r="9" spans="1:6" x14ac:dyDescent="0.25">
      <c r="A9" s="8" t="s">
        <v>104</v>
      </c>
      <c r="B9" s="15">
        <f>February!B9-January!B9</f>
        <v>324</v>
      </c>
      <c r="C9" s="15">
        <f>February!C9-January!C9</f>
        <v>-146</v>
      </c>
      <c r="D9" s="15">
        <f>February!D9-January!D9</f>
        <v>-446</v>
      </c>
      <c r="E9" s="15">
        <f>February!E9-January!E9</f>
        <v>773</v>
      </c>
      <c r="F9" s="15">
        <f t="shared" si="0"/>
        <v>505</v>
      </c>
    </row>
    <row r="10" spans="1:6" x14ac:dyDescent="0.25">
      <c r="A10" s="8" t="s">
        <v>105</v>
      </c>
      <c r="B10" s="15">
        <f>February!B10-January!B10</f>
        <v>1598</v>
      </c>
      <c r="C10" s="15">
        <f>February!C10-January!C10</f>
        <v>763</v>
      </c>
      <c r="D10" s="15">
        <f>February!D10-January!D10</f>
        <v>-605</v>
      </c>
      <c r="E10" s="15">
        <f>February!E10-January!E10</f>
        <v>3186</v>
      </c>
      <c r="F10" s="15">
        <f t="shared" si="0"/>
        <v>4942</v>
      </c>
    </row>
    <row r="11" spans="1:6" x14ac:dyDescent="0.25">
      <c r="A11" s="8" t="s">
        <v>106</v>
      </c>
      <c r="B11" s="15">
        <f>February!B11-January!B11</f>
        <v>-237</v>
      </c>
      <c r="C11" s="15">
        <f>February!C11-January!C11</f>
        <v>-394</v>
      </c>
      <c r="D11" s="15">
        <f>February!D11-January!D11</f>
        <v>-5</v>
      </c>
      <c r="E11" s="15">
        <f>February!E11-January!E11</f>
        <v>-210</v>
      </c>
      <c r="F11" s="15">
        <f t="shared" si="0"/>
        <v>-846</v>
      </c>
    </row>
    <row r="12" spans="1:6" x14ac:dyDescent="0.25">
      <c r="A12" s="8" t="s">
        <v>107</v>
      </c>
      <c r="B12" s="15">
        <f>February!B12-January!B12</f>
        <v>485</v>
      </c>
      <c r="C12" s="15">
        <f>February!C12-January!C12</f>
        <v>17</v>
      </c>
      <c r="D12" s="15">
        <f>February!D12-January!D12</f>
        <v>-152</v>
      </c>
      <c r="E12" s="15">
        <f>February!E12-January!E12</f>
        <v>308</v>
      </c>
      <c r="F12" s="15">
        <f t="shared" si="0"/>
        <v>658</v>
      </c>
    </row>
    <row r="13" spans="1:6" x14ac:dyDescent="0.25">
      <c r="A13" s="8" t="s">
        <v>108</v>
      </c>
      <c r="B13" s="15">
        <f>February!B13-January!B13</f>
        <v>-3118</v>
      </c>
      <c r="C13" s="15">
        <f>February!C13-January!C13</f>
        <v>-1763</v>
      </c>
      <c r="D13" s="15">
        <f>February!D13-January!D13</f>
        <v>-137</v>
      </c>
      <c r="E13" s="15">
        <f>February!E13-January!E13</f>
        <v>-3149</v>
      </c>
      <c r="F13" s="15">
        <f t="shared" si="0"/>
        <v>-8167</v>
      </c>
    </row>
    <row r="14" spans="1:6" x14ac:dyDescent="0.25">
      <c r="A14" s="8" t="s">
        <v>109</v>
      </c>
      <c r="B14" s="15">
        <f>February!B14-January!B14</f>
        <v>-239</v>
      </c>
      <c r="C14" s="15">
        <f>February!C14-January!C14</f>
        <v>-222</v>
      </c>
      <c r="D14" s="15">
        <f>February!D14-January!D14</f>
        <v>26</v>
      </c>
      <c r="E14" s="15">
        <f>February!E14-January!E14</f>
        <v>-278</v>
      </c>
      <c r="F14" s="15">
        <f t="shared" si="0"/>
        <v>-713</v>
      </c>
    </row>
    <row r="15" spans="1:6" x14ac:dyDescent="0.25">
      <c r="A15" s="8" t="s">
        <v>110</v>
      </c>
      <c r="B15" s="15">
        <f>February!B15-January!B15</f>
        <v>486</v>
      </c>
      <c r="C15" s="15">
        <f>February!C15-January!C15</f>
        <v>44</v>
      </c>
      <c r="D15" s="15">
        <f>February!D15-January!D15</f>
        <v>120</v>
      </c>
      <c r="E15" s="15">
        <f>February!E15-January!E15</f>
        <v>55</v>
      </c>
      <c r="F15" s="15">
        <f t="shared" si="0"/>
        <v>705</v>
      </c>
    </row>
    <row r="16" spans="1:6" x14ac:dyDescent="0.25">
      <c r="A16" s="8" t="s">
        <v>111</v>
      </c>
      <c r="B16" s="15">
        <f>February!B16-January!B16</f>
        <v>65</v>
      </c>
      <c r="C16" s="15">
        <f>February!C16-January!C16</f>
        <v>-4</v>
      </c>
      <c r="D16" s="15">
        <f>February!D16-January!D16</f>
        <v>15</v>
      </c>
      <c r="E16" s="15">
        <f>February!E16-January!E16</f>
        <v>-11</v>
      </c>
      <c r="F16" s="15">
        <f t="shared" si="0"/>
        <v>65</v>
      </c>
    </row>
    <row r="17" spans="1:6" x14ac:dyDescent="0.25">
      <c r="A17" s="8" t="s">
        <v>112</v>
      </c>
      <c r="B17" s="15">
        <f>February!B17-January!B17</f>
        <v>21</v>
      </c>
      <c r="C17" s="15">
        <f>February!C17-January!C17</f>
        <v>-12</v>
      </c>
      <c r="D17" s="15">
        <f>February!D17-January!D17</f>
        <v>-22</v>
      </c>
      <c r="E17" s="15">
        <f>February!E17-January!E17</f>
        <v>22</v>
      </c>
      <c r="F17" s="15">
        <f t="shared" si="0"/>
        <v>9</v>
      </c>
    </row>
    <row r="18" spans="1:6" x14ac:dyDescent="0.25">
      <c r="A18" s="8" t="s">
        <v>113</v>
      </c>
      <c r="B18" s="15">
        <f>February!B18-January!B18</f>
        <v>-1</v>
      </c>
      <c r="C18" s="15">
        <f>February!C18-January!C18</f>
        <v>-8</v>
      </c>
      <c r="D18" s="15">
        <f>February!D18-January!D18</f>
        <v>-7</v>
      </c>
      <c r="E18" s="15">
        <f>February!E18-January!E18</f>
        <v>6</v>
      </c>
      <c r="F18" s="15">
        <f t="shared" si="0"/>
        <v>-10</v>
      </c>
    </row>
    <row r="19" spans="1:6" x14ac:dyDescent="0.25">
      <c r="A19" s="8" t="s">
        <v>114</v>
      </c>
      <c r="B19" s="15">
        <f>February!B19-January!B19</f>
        <v>-2188</v>
      </c>
      <c r="C19" s="15">
        <f>February!C19-January!C19</f>
        <v>-3290</v>
      </c>
      <c r="D19" s="15">
        <f>February!D19-January!D19</f>
        <v>-1052</v>
      </c>
      <c r="E19" s="15">
        <f>February!E19-January!E19</f>
        <v>-1650</v>
      </c>
      <c r="F19" s="15">
        <f t="shared" si="0"/>
        <v>-8180</v>
      </c>
    </row>
    <row r="20" spans="1:6" x14ac:dyDescent="0.25">
      <c r="A20" s="8" t="s">
        <v>115</v>
      </c>
      <c r="B20" s="15">
        <f>February!B20-January!B20</f>
        <v>387</v>
      </c>
      <c r="C20" s="15">
        <f>February!C20-January!C20</f>
        <v>40</v>
      </c>
      <c r="D20" s="15">
        <f>February!D20-January!D20</f>
        <v>-233</v>
      </c>
      <c r="E20" s="15">
        <f>February!E20-January!E20</f>
        <v>477</v>
      </c>
      <c r="F20" s="15">
        <f t="shared" si="0"/>
        <v>671</v>
      </c>
    </row>
    <row r="21" spans="1:6" x14ac:dyDescent="0.25">
      <c r="A21" s="8" t="s">
        <v>116</v>
      </c>
      <c r="B21" s="15">
        <f>February!B21-January!B21</f>
        <v>267</v>
      </c>
      <c r="C21" s="15">
        <f>February!C21-January!C21</f>
        <v>49</v>
      </c>
      <c r="D21" s="15">
        <f>February!D21-January!D21</f>
        <v>-49</v>
      </c>
      <c r="E21" s="15">
        <f>February!E21-January!E21</f>
        <v>173</v>
      </c>
      <c r="F21" s="15">
        <f t="shared" si="0"/>
        <v>440</v>
      </c>
    </row>
    <row r="22" spans="1:6" x14ac:dyDescent="0.25">
      <c r="A22" s="8" t="s">
        <v>117</v>
      </c>
      <c r="B22" s="15">
        <f>February!B22-January!B22</f>
        <v>9</v>
      </c>
      <c r="C22" s="15">
        <f>February!C22-January!C22</f>
        <v>2</v>
      </c>
      <c r="D22" s="15">
        <f>February!D22-January!D22</f>
        <v>-11</v>
      </c>
      <c r="E22" s="15">
        <f>February!E22-January!E22</f>
        <v>20</v>
      </c>
      <c r="F22" s="15">
        <f t="shared" si="0"/>
        <v>20</v>
      </c>
    </row>
    <row r="23" spans="1:6" x14ac:dyDescent="0.25">
      <c r="A23" s="8" t="s">
        <v>118</v>
      </c>
      <c r="B23" s="15">
        <f>February!B23-January!B23</f>
        <v>22</v>
      </c>
      <c r="C23" s="15">
        <f>February!C23-January!C23</f>
        <v>-12</v>
      </c>
      <c r="D23" s="15">
        <f>February!D23-January!D23</f>
        <v>6</v>
      </c>
      <c r="E23" s="15">
        <f>February!E23-January!E23</f>
        <v>7</v>
      </c>
      <c r="F23" s="15">
        <f t="shared" si="0"/>
        <v>23</v>
      </c>
    </row>
    <row r="24" spans="1:6" x14ac:dyDescent="0.25">
      <c r="A24" s="8" t="s">
        <v>119</v>
      </c>
      <c r="B24" s="15">
        <f>February!B24-January!B24</f>
        <v>1</v>
      </c>
      <c r="C24" s="15">
        <f>February!C24-January!C24</f>
        <v>-16</v>
      </c>
      <c r="D24" s="15">
        <f>February!D24-January!D24</f>
        <v>-14</v>
      </c>
      <c r="E24" s="15">
        <f>February!E24-January!E24</f>
        <v>-5</v>
      </c>
      <c r="F24" s="15">
        <f t="shared" si="0"/>
        <v>-34</v>
      </c>
    </row>
    <row r="25" spans="1:6" x14ac:dyDescent="0.25">
      <c r="A25" s="8" t="s">
        <v>120</v>
      </c>
      <c r="B25" s="15">
        <f>February!B25-January!B25</f>
        <v>6</v>
      </c>
      <c r="C25" s="15">
        <f>February!C25-January!C25</f>
        <v>-1</v>
      </c>
      <c r="D25" s="15">
        <f>February!D25-January!D25</f>
        <v>4</v>
      </c>
      <c r="E25" s="15">
        <f>February!E25-January!E25</f>
        <v>5</v>
      </c>
      <c r="F25" s="15">
        <f t="shared" si="0"/>
        <v>14</v>
      </c>
    </row>
    <row r="26" spans="1:6" x14ac:dyDescent="0.25">
      <c r="A26" s="8" t="s">
        <v>121</v>
      </c>
      <c r="B26" s="15">
        <f>February!B26-January!B26</f>
        <v>39</v>
      </c>
      <c r="C26" s="15">
        <f>February!C26-January!C26</f>
        <v>-4</v>
      </c>
      <c r="D26" s="15">
        <f>February!D26-January!D26</f>
        <v>-7</v>
      </c>
      <c r="E26" s="15">
        <f>February!E26-January!E26</f>
        <v>3</v>
      </c>
      <c r="F26" s="15">
        <f t="shared" si="0"/>
        <v>31</v>
      </c>
    </row>
    <row r="27" spans="1:6" x14ac:dyDescent="0.25">
      <c r="A27" s="8" t="s">
        <v>122</v>
      </c>
      <c r="B27" s="15">
        <f>February!B27-January!B27</f>
        <v>-13</v>
      </c>
      <c r="C27" s="15">
        <f>February!C27-January!C27</f>
        <v>6</v>
      </c>
      <c r="D27" s="15">
        <f>February!D27-January!D27</f>
        <v>-11</v>
      </c>
      <c r="E27" s="15">
        <f>February!E27-January!E27</f>
        <v>13</v>
      </c>
      <c r="F27" s="15">
        <f t="shared" si="0"/>
        <v>-5</v>
      </c>
    </row>
    <row r="28" spans="1:6" x14ac:dyDescent="0.25">
      <c r="A28" s="8" t="s">
        <v>123</v>
      </c>
      <c r="B28" s="15">
        <f>February!B28-January!B28</f>
        <v>29</v>
      </c>
      <c r="C28" s="15">
        <f>February!C28-January!C28</f>
        <v>-2</v>
      </c>
      <c r="D28" s="15">
        <f>February!D28-January!D28</f>
        <v>-16</v>
      </c>
      <c r="E28" s="15">
        <f>February!E28-January!E28</f>
        <v>17</v>
      </c>
      <c r="F28" s="15">
        <f t="shared" si="0"/>
        <v>28</v>
      </c>
    </row>
    <row r="29" spans="1:6" x14ac:dyDescent="0.25">
      <c r="A29" s="8" t="s">
        <v>124</v>
      </c>
      <c r="B29" s="15">
        <f>February!B29-January!B29</f>
        <v>19</v>
      </c>
      <c r="C29" s="15">
        <f>February!C29-January!C29</f>
        <v>-1</v>
      </c>
      <c r="D29" s="15">
        <f>February!D29-January!D29</f>
        <v>8</v>
      </c>
      <c r="E29" s="15">
        <f>February!E29-January!E29</f>
        <v>3</v>
      </c>
      <c r="F29" s="15">
        <f t="shared" si="0"/>
        <v>29</v>
      </c>
    </row>
    <row r="30" spans="1:6" x14ac:dyDescent="0.25">
      <c r="A30" s="8" t="s">
        <v>125</v>
      </c>
      <c r="B30" s="15">
        <f>February!B30-January!B30</f>
        <v>215</v>
      </c>
      <c r="C30" s="15">
        <f>February!C30-January!C30</f>
        <v>-5</v>
      </c>
      <c r="D30" s="15">
        <f>February!D30-January!D30</f>
        <v>-129</v>
      </c>
      <c r="E30" s="15">
        <f>February!E30-January!E30</f>
        <v>209</v>
      </c>
      <c r="F30" s="15">
        <f t="shared" si="0"/>
        <v>290</v>
      </c>
    </row>
    <row r="31" spans="1:6" x14ac:dyDescent="0.25">
      <c r="A31" s="8" t="s">
        <v>126</v>
      </c>
      <c r="B31" s="15">
        <f>February!B31-January!B31</f>
        <v>139</v>
      </c>
      <c r="C31" s="15">
        <f>February!C31-January!C31</f>
        <v>21</v>
      </c>
      <c r="D31" s="15">
        <f>February!D31-January!D31</f>
        <v>-62</v>
      </c>
      <c r="E31" s="15">
        <f>February!E31-January!E31</f>
        <v>133</v>
      </c>
      <c r="F31" s="15">
        <f t="shared" si="0"/>
        <v>231</v>
      </c>
    </row>
    <row r="32" spans="1:6" x14ac:dyDescent="0.25">
      <c r="A32" s="8" t="s">
        <v>127</v>
      </c>
      <c r="B32" s="15">
        <f>February!B32-January!B32</f>
        <v>-304</v>
      </c>
      <c r="C32" s="15">
        <f>February!C32-January!C32</f>
        <v>-1892</v>
      </c>
      <c r="D32" s="15">
        <f>February!D32-January!D32</f>
        <v>120</v>
      </c>
      <c r="E32" s="15">
        <f>February!E32-January!E32</f>
        <v>-1259</v>
      </c>
      <c r="F32" s="15">
        <f t="shared" si="0"/>
        <v>-3335</v>
      </c>
    </row>
    <row r="33" spans="1:6" x14ac:dyDescent="0.25">
      <c r="A33" s="8" t="s">
        <v>128</v>
      </c>
      <c r="B33" s="15">
        <f>February!B33-January!B33</f>
        <v>20</v>
      </c>
      <c r="C33" s="15">
        <f>February!C33-January!C33</f>
        <v>-4</v>
      </c>
      <c r="D33" s="15">
        <f>February!D33-January!D33</f>
        <v>-6</v>
      </c>
      <c r="E33" s="15">
        <f>February!E33-January!E33</f>
        <v>17</v>
      </c>
      <c r="F33" s="15">
        <f t="shared" si="0"/>
        <v>27</v>
      </c>
    </row>
    <row r="34" spans="1:6" x14ac:dyDescent="0.25">
      <c r="A34" s="8" t="s">
        <v>129</v>
      </c>
      <c r="B34" s="15">
        <f>February!B34-January!B34</f>
        <v>-2223</v>
      </c>
      <c r="C34" s="15">
        <f>February!C34-January!C34</f>
        <v>-2295</v>
      </c>
      <c r="D34" s="15">
        <f>February!D34-January!D34</f>
        <v>-160</v>
      </c>
      <c r="E34" s="15">
        <f>February!E34-January!E34</f>
        <v>-2794</v>
      </c>
      <c r="F34" s="15">
        <f t="shared" si="0"/>
        <v>-7472</v>
      </c>
    </row>
    <row r="35" spans="1:6" x14ac:dyDescent="0.25">
      <c r="A35" s="8" t="s">
        <v>130</v>
      </c>
      <c r="B35" s="15">
        <f>February!B35-January!B35</f>
        <v>-624</v>
      </c>
      <c r="C35" s="15">
        <f>February!C35-January!C35</f>
        <v>-765</v>
      </c>
      <c r="D35" s="15">
        <f>February!D35-January!D35</f>
        <v>-11</v>
      </c>
      <c r="E35" s="15">
        <f>February!E35-January!E35</f>
        <v>-320</v>
      </c>
      <c r="F35" s="15">
        <f t="shared" si="0"/>
        <v>-1720</v>
      </c>
    </row>
    <row r="36" spans="1:6" x14ac:dyDescent="0.25">
      <c r="A36" s="8" t="s">
        <v>131</v>
      </c>
      <c r="B36" s="15">
        <f>February!B36-January!B36</f>
        <v>-49</v>
      </c>
      <c r="C36" s="15">
        <f>February!C36-January!C36</f>
        <v>-192</v>
      </c>
      <c r="D36" s="15">
        <f>February!D36-January!D36</f>
        <v>-5</v>
      </c>
      <c r="E36" s="15">
        <f>February!E36-January!E36</f>
        <v>-59</v>
      </c>
      <c r="F36" s="15">
        <f t="shared" si="0"/>
        <v>-305</v>
      </c>
    </row>
    <row r="37" spans="1:6" x14ac:dyDescent="0.25">
      <c r="A37" s="8" t="s">
        <v>132</v>
      </c>
      <c r="B37" s="15">
        <f>February!B37-January!B37</f>
        <v>-1</v>
      </c>
      <c r="C37" s="15">
        <f>February!C37-January!C37</f>
        <v>-7</v>
      </c>
      <c r="D37" s="15">
        <f>February!D37-January!D37</f>
        <v>-1</v>
      </c>
      <c r="E37" s="15">
        <f>February!E37-January!E37</f>
        <v>-4</v>
      </c>
      <c r="F37" s="15">
        <f t="shared" ref="F37:F68" si="1">SUM(B37:E37)</f>
        <v>-13</v>
      </c>
    </row>
    <row r="38" spans="1:6" x14ac:dyDescent="0.25">
      <c r="A38" s="8" t="s">
        <v>133</v>
      </c>
      <c r="B38" s="15">
        <f>February!B38-January!B38</f>
        <v>449</v>
      </c>
      <c r="C38" s="15">
        <f>February!C38-January!C38</f>
        <v>83</v>
      </c>
      <c r="D38" s="15">
        <f>February!D38-January!D38</f>
        <v>-331</v>
      </c>
      <c r="E38" s="15">
        <f>February!E38-January!E38</f>
        <v>732</v>
      </c>
      <c r="F38" s="15">
        <f t="shared" si="1"/>
        <v>933</v>
      </c>
    </row>
    <row r="39" spans="1:6" x14ac:dyDescent="0.25">
      <c r="A39" s="8" t="s">
        <v>134</v>
      </c>
      <c r="B39" s="15">
        <f>February!B39-January!B39</f>
        <v>1020</v>
      </c>
      <c r="C39" s="15">
        <f>February!C39-January!C39</f>
        <v>168</v>
      </c>
      <c r="D39" s="15">
        <f>February!D39-January!D39</f>
        <v>221</v>
      </c>
      <c r="E39" s="15">
        <f>February!E39-January!E39</f>
        <v>418</v>
      </c>
      <c r="F39" s="15">
        <f t="shared" si="1"/>
        <v>1827</v>
      </c>
    </row>
    <row r="40" spans="1:6" x14ac:dyDescent="0.25">
      <c r="A40" s="8" t="s">
        <v>135</v>
      </c>
      <c r="B40" s="15">
        <f>February!B40-January!B40</f>
        <v>51</v>
      </c>
      <c r="C40" s="15">
        <f>February!C40-January!C40</f>
        <v>-178</v>
      </c>
      <c r="D40" s="15">
        <f>February!D40-January!D40</f>
        <v>84</v>
      </c>
      <c r="E40" s="15">
        <f>February!E40-January!E40</f>
        <v>84</v>
      </c>
      <c r="F40" s="15">
        <f t="shared" si="1"/>
        <v>41</v>
      </c>
    </row>
    <row r="41" spans="1:6" x14ac:dyDescent="0.25">
      <c r="A41" s="8" t="s">
        <v>136</v>
      </c>
      <c r="B41" s="15">
        <f>February!B41-January!B41</f>
        <v>-841</v>
      </c>
      <c r="C41" s="15">
        <f>February!C41-January!C41</f>
        <v>-627</v>
      </c>
      <c r="D41" s="15">
        <f>February!D41-January!D41</f>
        <v>-85</v>
      </c>
      <c r="E41" s="15">
        <f>February!E41-January!E41</f>
        <v>-635</v>
      </c>
      <c r="F41" s="15">
        <f t="shared" si="1"/>
        <v>-2188</v>
      </c>
    </row>
    <row r="42" spans="1:6" x14ac:dyDescent="0.25">
      <c r="A42" s="8" t="s">
        <v>137</v>
      </c>
      <c r="B42" s="15">
        <f>February!B42-January!B42</f>
        <v>6</v>
      </c>
      <c r="C42" s="15">
        <f>February!C42-January!C42</f>
        <v>-54</v>
      </c>
      <c r="D42" s="15">
        <f>February!D42-January!D42</f>
        <v>1</v>
      </c>
      <c r="E42" s="15">
        <f>February!E42-January!E42</f>
        <v>-3</v>
      </c>
      <c r="F42" s="15">
        <f t="shared" si="1"/>
        <v>-50</v>
      </c>
    </row>
    <row r="43" spans="1:6" x14ac:dyDescent="0.25">
      <c r="A43" s="8" t="s">
        <v>138</v>
      </c>
      <c r="B43" s="15">
        <f>February!B43-January!B43</f>
        <v>15</v>
      </c>
      <c r="C43" s="15">
        <f>February!C43-January!C43</f>
        <v>-15</v>
      </c>
      <c r="D43" s="15">
        <f>February!D43-January!D43</f>
        <v>-4</v>
      </c>
      <c r="E43" s="15">
        <f>February!E43-January!E43</f>
        <v>11</v>
      </c>
      <c r="F43" s="15">
        <f t="shared" si="1"/>
        <v>7</v>
      </c>
    </row>
    <row r="44" spans="1:6" x14ac:dyDescent="0.25">
      <c r="A44" s="8" t="s">
        <v>139</v>
      </c>
      <c r="B44" s="15">
        <f>February!B44-January!B44</f>
        <v>131</v>
      </c>
      <c r="C44" s="15">
        <f>February!C44-January!C44</f>
        <v>-175</v>
      </c>
      <c r="D44" s="15">
        <f>February!D44-January!D44</f>
        <v>-209</v>
      </c>
      <c r="E44" s="15">
        <f>February!E44-January!E44</f>
        <v>393</v>
      </c>
      <c r="F44" s="15">
        <f t="shared" si="1"/>
        <v>140</v>
      </c>
    </row>
    <row r="45" spans="1:6" x14ac:dyDescent="0.25">
      <c r="A45" s="8" t="s">
        <v>140</v>
      </c>
      <c r="B45" s="15">
        <f>February!B45-January!B45</f>
        <v>714</v>
      </c>
      <c r="C45" s="15">
        <f>February!C45-January!C45</f>
        <v>114</v>
      </c>
      <c r="D45" s="15">
        <f>February!D45-January!D45</f>
        <v>173</v>
      </c>
      <c r="E45" s="15">
        <f>February!E45-January!E45</f>
        <v>269</v>
      </c>
      <c r="F45" s="15">
        <f t="shared" si="1"/>
        <v>1270</v>
      </c>
    </row>
    <row r="46" spans="1:6" x14ac:dyDescent="0.25">
      <c r="A46" s="8" t="s">
        <v>141</v>
      </c>
      <c r="B46" s="15">
        <f>February!B46-January!B46</f>
        <v>131</v>
      </c>
      <c r="C46" s="15">
        <f>February!C46-January!C46</f>
        <v>-53</v>
      </c>
      <c r="D46" s="15">
        <f>February!D46-January!D46</f>
        <v>-49</v>
      </c>
      <c r="E46" s="15">
        <f>February!E46-January!E46</f>
        <v>73</v>
      </c>
      <c r="F46" s="15">
        <f t="shared" si="1"/>
        <v>102</v>
      </c>
    </row>
    <row r="47" spans="1:6" x14ac:dyDescent="0.25">
      <c r="A47" s="8" t="s">
        <v>142</v>
      </c>
      <c r="B47" s="15">
        <f>February!B47-January!B47</f>
        <v>-781</v>
      </c>
      <c r="C47" s="15">
        <f>February!C47-January!C47</f>
        <v>-3271</v>
      </c>
      <c r="D47" s="15">
        <f>February!D47-January!D47</f>
        <v>-857</v>
      </c>
      <c r="E47" s="15">
        <f>February!E47-January!E47</f>
        <v>-1024</v>
      </c>
      <c r="F47" s="15">
        <f t="shared" si="1"/>
        <v>-5933</v>
      </c>
    </row>
    <row r="48" spans="1:6" x14ac:dyDescent="0.25">
      <c r="A48" s="8" t="s">
        <v>143</v>
      </c>
      <c r="B48" s="15">
        <f>February!B48-January!B48</f>
        <v>143</v>
      </c>
      <c r="C48" s="15">
        <f>February!C48-January!C48</f>
        <v>-16</v>
      </c>
      <c r="D48" s="15">
        <f>February!D48-January!D48</f>
        <v>-52</v>
      </c>
      <c r="E48" s="15">
        <f>February!E48-January!E48</f>
        <v>117</v>
      </c>
      <c r="F48" s="15">
        <f t="shared" si="1"/>
        <v>192</v>
      </c>
    </row>
    <row r="49" spans="1:6" x14ac:dyDescent="0.25">
      <c r="A49" s="8" t="s">
        <v>144</v>
      </c>
      <c r="B49" s="15">
        <f>February!B49-January!B49</f>
        <v>147</v>
      </c>
      <c r="C49" s="15">
        <f>February!C49-January!C49</f>
        <v>-2</v>
      </c>
      <c r="D49" s="15">
        <f>February!D49-January!D49</f>
        <v>33</v>
      </c>
      <c r="E49" s="15">
        <f>February!E49-January!E49</f>
        <v>34</v>
      </c>
      <c r="F49" s="15">
        <f t="shared" si="1"/>
        <v>212</v>
      </c>
    </row>
    <row r="50" spans="1:6" x14ac:dyDescent="0.25">
      <c r="A50" s="8" t="s">
        <v>145</v>
      </c>
      <c r="B50" s="15">
        <f>February!B50-January!B50</f>
        <v>214</v>
      </c>
      <c r="C50" s="15">
        <f>February!C50-January!C50</f>
        <v>38</v>
      </c>
      <c r="D50" s="15">
        <f>February!D50-January!D50</f>
        <v>80</v>
      </c>
      <c r="E50" s="15">
        <f>February!E50-January!E50</f>
        <v>27</v>
      </c>
      <c r="F50" s="15">
        <f t="shared" si="1"/>
        <v>359</v>
      </c>
    </row>
    <row r="51" spans="1:6" x14ac:dyDescent="0.25">
      <c r="A51" s="8" t="s">
        <v>146</v>
      </c>
      <c r="B51" s="15">
        <f>February!B51-January!B51</f>
        <v>-13</v>
      </c>
      <c r="C51" s="15">
        <f>February!C51-January!C51</f>
        <v>-21</v>
      </c>
      <c r="D51" s="15">
        <f>February!D51-January!D51</f>
        <v>-25</v>
      </c>
      <c r="E51" s="15">
        <f>February!E51-January!E51</f>
        <v>-10</v>
      </c>
      <c r="F51" s="15">
        <f t="shared" si="1"/>
        <v>-69</v>
      </c>
    </row>
    <row r="52" spans="1:6" x14ac:dyDescent="0.25">
      <c r="A52" s="8" t="s">
        <v>147</v>
      </c>
      <c r="B52" s="15">
        <f>February!B52-January!B52</f>
        <v>604</v>
      </c>
      <c r="C52" s="15">
        <f>February!C52-January!C52</f>
        <v>0</v>
      </c>
      <c r="D52" s="15">
        <f>February!D52-January!D52</f>
        <v>375</v>
      </c>
      <c r="E52" s="15">
        <f>February!E52-January!E52</f>
        <v>105</v>
      </c>
      <c r="F52" s="15">
        <f t="shared" si="1"/>
        <v>1084</v>
      </c>
    </row>
    <row r="53" spans="1:6" x14ac:dyDescent="0.25">
      <c r="A53" s="8" t="s">
        <v>148</v>
      </c>
      <c r="B53" s="15">
        <f>February!B53-January!B53</f>
        <v>-96</v>
      </c>
      <c r="C53" s="15">
        <f>February!C53-January!C53</f>
        <v>-519</v>
      </c>
      <c r="D53" s="15">
        <f>February!D53-January!D53</f>
        <v>48</v>
      </c>
      <c r="E53" s="15">
        <f>February!E53-January!E53</f>
        <v>-596</v>
      </c>
      <c r="F53" s="15">
        <f t="shared" si="1"/>
        <v>-1163</v>
      </c>
    </row>
    <row r="54" spans="1:6" x14ac:dyDescent="0.25">
      <c r="A54" s="8" t="s">
        <v>149</v>
      </c>
      <c r="B54" s="15">
        <f>February!B54-January!B54</f>
        <v>221</v>
      </c>
      <c r="C54" s="15">
        <f>February!C54-January!C54</f>
        <v>-838</v>
      </c>
      <c r="D54" s="15">
        <f>February!D54-January!D54</f>
        <v>-694</v>
      </c>
      <c r="E54" s="15">
        <f>February!E54-January!E54</f>
        <v>1161</v>
      </c>
      <c r="F54" s="15">
        <f t="shared" si="1"/>
        <v>-150</v>
      </c>
    </row>
    <row r="55" spans="1:6" x14ac:dyDescent="0.25">
      <c r="A55" s="8" t="s">
        <v>150</v>
      </c>
      <c r="B55" s="15">
        <f>February!B55-January!B55</f>
        <v>-9585</v>
      </c>
      <c r="C55" s="15">
        <f>February!C55-January!C55</f>
        <v>-9967</v>
      </c>
      <c r="D55" s="15">
        <f>February!D55-January!D55</f>
        <v>-1457</v>
      </c>
      <c r="E55" s="15">
        <f>February!E55-January!E55</f>
        <v>-14274</v>
      </c>
      <c r="F55" s="15">
        <f t="shared" si="1"/>
        <v>-35283</v>
      </c>
    </row>
    <row r="56" spans="1:6" x14ac:dyDescent="0.25">
      <c r="A56" s="8" t="s">
        <v>151</v>
      </c>
      <c r="B56" s="15">
        <f>February!B56-January!B56</f>
        <v>334</v>
      </c>
      <c r="C56" s="15">
        <f>February!C56-January!C56</f>
        <v>-432</v>
      </c>
      <c r="D56" s="15">
        <f>February!D56-January!D56</f>
        <v>-390</v>
      </c>
      <c r="E56" s="15">
        <f>February!E56-January!E56</f>
        <v>627</v>
      </c>
      <c r="F56" s="15">
        <f t="shared" si="1"/>
        <v>139</v>
      </c>
    </row>
    <row r="57" spans="1:6" x14ac:dyDescent="0.25">
      <c r="A57" s="8" t="s">
        <v>152</v>
      </c>
      <c r="B57" s="15">
        <f>February!B57-January!B57</f>
        <v>855</v>
      </c>
      <c r="C57" s="15">
        <f>February!C57-January!C57</f>
        <v>379</v>
      </c>
      <c r="D57" s="15">
        <f>February!D57-January!D57</f>
        <v>323</v>
      </c>
      <c r="E57" s="15">
        <f>February!E57-January!E57</f>
        <v>669</v>
      </c>
      <c r="F57" s="15">
        <f t="shared" si="1"/>
        <v>2226</v>
      </c>
    </row>
    <row r="58" spans="1:6" x14ac:dyDescent="0.25">
      <c r="A58" s="8" t="s">
        <v>153</v>
      </c>
      <c r="B58" s="15">
        <f>February!B58-January!B58</f>
        <v>125</v>
      </c>
      <c r="C58" s="15">
        <f>February!C58-January!C58</f>
        <v>-1</v>
      </c>
      <c r="D58" s="15">
        <f>February!D58-January!D58</f>
        <v>27</v>
      </c>
      <c r="E58" s="15">
        <f>February!E58-January!E58</f>
        <v>34</v>
      </c>
      <c r="F58" s="15">
        <f t="shared" si="1"/>
        <v>185</v>
      </c>
    </row>
    <row r="59" spans="1:6" x14ac:dyDescent="0.25">
      <c r="A59" s="8" t="s">
        <v>154</v>
      </c>
      <c r="B59" s="15">
        <f>February!B59-January!B59</f>
        <v>378</v>
      </c>
      <c r="C59" s="15">
        <f>February!C59-January!C59</f>
        <v>29</v>
      </c>
      <c r="D59" s="15">
        <f>February!D59-January!D59</f>
        <v>-185</v>
      </c>
      <c r="E59" s="15">
        <f>February!E59-January!E59</f>
        <v>339</v>
      </c>
      <c r="F59" s="15">
        <f t="shared" si="1"/>
        <v>561</v>
      </c>
    </row>
    <row r="60" spans="1:6" x14ac:dyDescent="0.25">
      <c r="A60" s="8" t="s">
        <v>155</v>
      </c>
      <c r="B60" s="15">
        <f>February!B60-January!B60</f>
        <v>134</v>
      </c>
      <c r="C60" s="15">
        <f>February!C60-January!C60</f>
        <v>-354</v>
      </c>
      <c r="D60" s="15">
        <f>February!D60-January!D60</f>
        <v>-308</v>
      </c>
      <c r="E60" s="15">
        <f>February!E60-January!E60</f>
        <v>441</v>
      </c>
      <c r="F60" s="15">
        <f t="shared" si="1"/>
        <v>-87</v>
      </c>
    </row>
    <row r="61" spans="1:6" x14ac:dyDescent="0.25">
      <c r="A61" s="8" t="s">
        <v>156</v>
      </c>
      <c r="B61" s="15">
        <f>February!B61-January!B61</f>
        <v>315</v>
      </c>
      <c r="C61" s="15">
        <f>February!C61-January!C61</f>
        <v>203</v>
      </c>
      <c r="D61" s="15">
        <f>February!D61-January!D61</f>
        <v>-314</v>
      </c>
      <c r="E61" s="15">
        <f>February!E61-January!E61</f>
        <v>899</v>
      </c>
      <c r="F61" s="15">
        <f t="shared" si="1"/>
        <v>1103</v>
      </c>
    </row>
    <row r="62" spans="1:6" x14ac:dyDescent="0.25">
      <c r="A62" s="8" t="s">
        <v>157</v>
      </c>
      <c r="B62" s="15">
        <f>February!B62-January!B62</f>
        <v>608</v>
      </c>
      <c r="C62" s="15">
        <f>February!C62-January!C62</f>
        <v>99</v>
      </c>
      <c r="D62" s="15">
        <f>February!D62-January!D62</f>
        <v>-110</v>
      </c>
      <c r="E62" s="15">
        <f>February!E62-January!E62</f>
        <v>457</v>
      </c>
      <c r="F62" s="15">
        <f t="shared" si="1"/>
        <v>1054</v>
      </c>
    </row>
    <row r="63" spans="1:6" x14ac:dyDescent="0.25">
      <c r="A63" s="8" t="s">
        <v>158</v>
      </c>
      <c r="B63" s="15">
        <f>February!B63-January!B63</f>
        <v>539</v>
      </c>
      <c r="C63" s="15">
        <f>February!C63-January!C63</f>
        <v>279</v>
      </c>
      <c r="D63" s="15">
        <f>February!D63-January!D63</f>
        <v>135</v>
      </c>
      <c r="E63" s="15">
        <f>February!E63-January!E63</f>
        <v>287</v>
      </c>
      <c r="F63" s="15">
        <f t="shared" si="1"/>
        <v>1240</v>
      </c>
    </row>
    <row r="64" spans="1:6" x14ac:dyDescent="0.25">
      <c r="A64" s="8" t="s">
        <v>159</v>
      </c>
      <c r="B64" s="15">
        <f>February!B64-January!B64</f>
        <v>331</v>
      </c>
      <c r="C64" s="15">
        <f>February!C64-January!C64</f>
        <v>-25</v>
      </c>
      <c r="D64" s="15">
        <f>February!D64-January!D64</f>
        <v>54</v>
      </c>
      <c r="E64" s="15">
        <f>February!E64-January!E64</f>
        <v>131</v>
      </c>
      <c r="F64" s="15">
        <f t="shared" si="1"/>
        <v>491</v>
      </c>
    </row>
    <row r="65" spans="1:6" x14ac:dyDescent="0.25">
      <c r="A65" s="8" t="s">
        <v>160</v>
      </c>
      <c r="B65" s="15">
        <f>February!B65-January!B65</f>
        <v>51</v>
      </c>
      <c r="C65" s="15">
        <f>February!C65-January!C65</f>
        <v>1</v>
      </c>
      <c r="D65" s="15">
        <f>February!D65-January!D65</f>
        <v>21</v>
      </c>
      <c r="E65" s="15">
        <f>February!E65-January!E65</f>
        <v>2</v>
      </c>
      <c r="F65" s="15">
        <f t="shared" si="1"/>
        <v>75</v>
      </c>
    </row>
    <row r="66" spans="1:6" x14ac:dyDescent="0.25">
      <c r="A66" s="8" t="s">
        <v>161</v>
      </c>
      <c r="B66" s="15">
        <f>February!B66-January!B66</f>
        <v>28</v>
      </c>
      <c r="C66" s="15">
        <f>February!C66-January!C66</f>
        <v>-3</v>
      </c>
      <c r="D66" s="15">
        <f>February!D66-January!D66</f>
        <v>2</v>
      </c>
      <c r="E66" s="15">
        <f>February!E66-January!E66</f>
        <v>-7</v>
      </c>
      <c r="F66" s="15">
        <f t="shared" si="1"/>
        <v>20</v>
      </c>
    </row>
    <row r="67" spans="1:6" x14ac:dyDescent="0.25">
      <c r="A67" s="8" t="s">
        <v>162</v>
      </c>
      <c r="B67" s="15">
        <f>February!B67-January!B67</f>
        <v>3</v>
      </c>
      <c r="C67" s="15">
        <f>February!C67-January!C67</f>
        <v>-3</v>
      </c>
      <c r="D67" s="15">
        <f>February!D67-January!D67</f>
        <v>-4</v>
      </c>
      <c r="E67" s="15">
        <f>February!E67-January!E67</f>
        <v>5</v>
      </c>
      <c r="F67" s="15">
        <f t="shared" si="1"/>
        <v>1</v>
      </c>
    </row>
    <row r="68" spans="1:6" x14ac:dyDescent="0.25">
      <c r="A68" s="8" t="s">
        <v>163</v>
      </c>
      <c r="B68" s="15">
        <f>February!B68-January!B68</f>
        <v>730</v>
      </c>
      <c r="C68" s="15">
        <f>February!C68-January!C68</f>
        <v>29</v>
      </c>
      <c r="D68" s="15">
        <f>February!D68-January!D68</f>
        <v>211</v>
      </c>
      <c r="E68" s="15">
        <f>February!E68-January!E68</f>
        <v>252</v>
      </c>
      <c r="F68" s="15">
        <f t="shared" si="1"/>
        <v>1222</v>
      </c>
    </row>
    <row r="69" spans="1:6" x14ac:dyDescent="0.25">
      <c r="A69" s="8" t="s">
        <v>164</v>
      </c>
      <c r="B69" s="15">
        <f>February!B69-January!B69</f>
        <v>35</v>
      </c>
      <c r="C69" s="15">
        <f>February!C69-January!C69</f>
        <v>-24</v>
      </c>
      <c r="D69" s="15">
        <f>February!D69-January!D69</f>
        <v>-13</v>
      </c>
      <c r="E69" s="15">
        <f>February!E69-January!E69</f>
        <v>1</v>
      </c>
      <c r="F69" s="15">
        <f t="shared" ref="F69:F72" si="2">SUM(B69:E69)</f>
        <v>-1</v>
      </c>
    </row>
    <row r="70" spans="1:6" x14ac:dyDescent="0.25">
      <c r="A70" s="8" t="s">
        <v>165</v>
      </c>
      <c r="B70" s="15">
        <f>February!B70-January!B70</f>
        <v>237</v>
      </c>
      <c r="C70" s="15">
        <f>February!C70-January!C70</f>
        <v>-4</v>
      </c>
      <c r="D70" s="15">
        <f>February!D70-January!D70</f>
        <v>36</v>
      </c>
      <c r="E70" s="15">
        <f>February!E70-January!E70</f>
        <v>37</v>
      </c>
      <c r="F70" s="15">
        <f t="shared" si="2"/>
        <v>306</v>
      </c>
    </row>
    <row r="71" spans="1:6" ht="15.75" thickBot="1" x14ac:dyDescent="0.3">
      <c r="A71" s="8" t="s">
        <v>166</v>
      </c>
      <c r="B71" s="15">
        <f>February!B71-January!B71</f>
        <v>60</v>
      </c>
      <c r="C71" s="15">
        <f>February!C71-January!C71</f>
        <v>11</v>
      </c>
      <c r="D71" s="15">
        <f>February!D71-January!D71</f>
        <v>1</v>
      </c>
      <c r="E71" s="15">
        <f>February!E71-January!E71</f>
        <v>24</v>
      </c>
      <c r="F71" s="15">
        <f t="shared" si="2"/>
        <v>96</v>
      </c>
    </row>
    <row r="72" spans="1:6" ht="16.5" thickTop="1" thickBot="1" x14ac:dyDescent="0.3">
      <c r="A72" s="2" t="s">
        <v>0</v>
      </c>
      <c r="B72" s="6">
        <f>SUM(B5:B71)</f>
        <v>-7357</v>
      </c>
      <c r="C72" s="6">
        <f>SUM(C5:C71)</f>
        <v>-25708</v>
      </c>
      <c r="D72" s="6">
        <f>SUM(D5:D71)</f>
        <v>-6460</v>
      </c>
      <c r="E72" s="6">
        <f>SUM(E5:E71)</f>
        <v>-12841</v>
      </c>
      <c r="F72" s="6">
        <f t="shared" si="2"/>
        <v>-52366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82</v>
      </c>
      <c r="B1" s="27"/>
      <c r="C1" s="27"/>
      <c r="D1" s="27"/>
      <c r="E1" s="27"/>
      <c r="F1" s="28"/>
    </row>
    <row r="2" spans="1:6" x14ac:dyDescent="0.25">
      <c r="A2" s="20" t="s">
        <v>183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[1]March!B5-[1]February!B5</f>
        <v>45</v>
      </c>
      <c r="C5" s="15">
        <f>[1]March!C5-[1]February!C5</f>
        <v>-86</v>
      </c>
      <c r="D5" s="15">
        <f>[1]March!D5-[1]February!D5</f>
        <v>77</v>
      </c>
      <c r="E5" s="15">
        <f>[1]March!E5-[1]February!E5</f>
        <v>95</v>
      </c>
      <c r="F5" s="15">
        <f>[1]March!F5-[1]February!F5</f>
        <v>131</v>
      </c>
    </row>
    <row r="6" spans="1:6" x14ac:dyDescent="0.25">
      <c r="A6" s="8" t="s">
        <v>101</v>
      </c>
      <c r="B6" s="15">
        <f>[1]March!B6-[1]February!B6</f>
        <v>-8</v>
      </c>
      <c r="C6" s="15">
        <f>[1]March!C6-[1]February!C6</f>
        <v>-22</v>
      </c>
      <c r="D6" s="15">
        <f>[1]March!D6-[1]February!D6</f>
        <v>-3</v>
      </c>
      <c r="E6" s="15">
        <f>[1]March!E6-[1]February!E6</f>
        <v>-14</v>
      </c>
      <c r="F6" s="15">
        <f>[1]March!F6-[1]February!F6</f>
        <v>-47</v>
      </c>
    </row>
    <row r="7" spans="1:6" x14ac:dyDescent="0.25">
      <c r="A7" s="8" t="s">
        <v>102</v>
      </c>
      <c r="B7" s="15">
        <f>[1]March!B7-[1]February!B7</f>
        <v>311</v>
      </c>
      <c r="C7" s="15">
        <f>[1]March!C7-[1]February!C7</f>
        <v>54</v>
      </c>
      <c r="D7" s="15">
        <f>[1]March!D7-[1]February!D7</f>
        <v>107</v>
      </c>
      <c r="E7" s="15">
        <f>[1]March!E7-[1]February!E7</f>
        <v>54</v>
      </c>
      <c r="F7" s="15">
        <f>[1]March!F7-[1]February!F7</f>
        <v>526</v>
      </c>
    </row>
    <row r="8" spans="1:6" x14ac:dyDescent="0.25">
      <c r="A8" s="8" t="s">
        <v>103</v>
      </c>
      <c r="B8" s="15">
        <f>[1]March!B8-[1]February!B8</f>
        <v>-60</v>
      </c>
      <c r="C8" s="15">
        <f>[1]March!C8-[1]February!C8</f>
        <v>-49</v>
      </c>
      <c r="D8" s="15">
        <f>[1]March!D8-[1]February!D8</f>
        <v>-3</v>
      </c>
      <c r="E8" s="15">
        <f>[1]March!E8-[1]February!E8</f>
        <v>-28</v>
      </c>
      <c r="F8" s="15">
        <f>[1]March!F8-[1]February!F8</f>
        <v>-140</v>
      </c>
    </row>
    <row r="9" spans="1:6" x14ac:dyDescent="0.25">
      <c r="A9" s="8" t="s">
        <v>104</v>
      </c>
      <c r="B9" s="15">
        <f>[1]March!B9-[1]February!B9</f>
        <v>-281</v>
      </c>
      <c r="C9" s="15">
        <f>[1]March!C9-[1]February!C9</f>
        <v>-654</v>
      </c>
      <c r="D9" s="15">
        <f>[1]March!D9-[1]February!D9</f>
        <v>51</v>
      </c>
      <c r="E9" s="15">
        <f>[1]March!E9-[1]February!E9</f>
        <v>-599</v>
      </c>
      <c r="F9" s="15">
        <f>[1]March!F9-[1]February!F9</f>
        <v>-1483</v>
      </c>
    </row>
    <row r="10" spans="1:6" x14ac:dyDescent="0.25">
      <c r="A10" s="8" t="s">
        <v>105</v>
      </c>
      <c r="B10" s="15">
        <f>[1]March!B10-[1]February!B10</f>
        <v>852</v>
      </c>
      <c r="C10" s="15">
        <f>[1]March!C10-[1]February!C10</f>
        <v>-111</v>
      </c>
      <c r="D10" s="15">
        <f>[1]March!D10-[1]February!D10</f>
        <v>379</v>
      </c>
      <c r="E10" s="15">
        <f>[1]March!E10-[1]February!E10</f>
        <v>1281</v>
      </c>
      <c r="F10" s="15">
        <f>[1]March!F10-[1]February!F10</f>
        <v>2401</v>
      </c>
    </row>
    <row r="11" spans="1:6" x14ac:dyDescent="0.25">
      <c r="A11" s="8" t="s">
        <v>106</v>
      </c>
      <c r="B11" s="15">
        <f>[1]March!B11-[1]February!B11</f>
        <v>7</v>
      </c>
      <c r="C11" s="15">
        <f>[1]March!C11-[1]February!C11</f>
        <v>-11</v>
      </c>
      <c r="D11" s="15">
        <f>[1]March!D11-[1]February!D11</f>
        <v>0</v>
      </c>
      <c r="E11" s="15">
        <f>[1]March!E11-[1]February!E11</f>
        <v>8</v>
      </c>
      <c r="F11" s="15">
        <f>[1]March!F11-[1]February!F11</f>
        <v>4</v>
      </c>
    </row>
    <row r="12" spans="1:6" x14ac:dyDescent="0.25">
      <c r="A12" s="8" t="s">
        <v>107</v>
      </c>
      <c r="B12" s="15">
        <f>[1]March!B12-[1]February!B12</f>
        <v>373</v>
      </c>
      <c r="C12" s="15">
        <f>[1]March!C12-[1]February!C12</f>
        <v>12</v>
      </c>
      <c r="D12" s="15">
        <f>[1]March!D12-[1]February!D12</f>
        <v>73</v>
      </c>
      <c r="E12" s="15">
        <f>[1]March!E12-[1]February!E12</f>
        <v>113</v>
      </c>
      <c r="F12" s="15">
        <f>[1]March!F12-[1]February!F12</f>
        <v>571</v>
      </c>
    </row>
    <row r="13" spans="1:6" x14ac:dyDescent="0.25">
      <c r="A13" s="8" t="s">
        <v>108</v>
      </c>
      <c r="B13" s="15">
        <f>[1]March!B13-[1]February!B13</f>
        <v>-90</v>
      </c>
      <c r="C13" s="15">
        <f>[1]March!C13-[1]February!C13</f>
        <v>-143</v>
      </c>
      <c r="D13" s="15">
        <f>[1]March!D13-[1]February!D13</f>
        <v>47</v>
      </c>
      <c r="E13" s="15">
        <f>[1]March!E13-[1]February!E13</f>
        <v>-62</v>
      </c>
      <c r="F13" s="15">
        <f>[1]March!F13-[1]February!F13</f>
        <v>-248</v>
      </c>
    </row>
    <row r="14" spans="1:6" x14ac:dyDescent="0.25">
      <c r="A14" s="8" t="s">
        <v>109</v>
      </c>
      <c r="B14" s="15">
        <f>[1]March!B14-[1]February!B14</f>
        <v>230</v>
      </c>
      <c r="C14" s="15">
        <f>[1]March!C14-[1]February!C14</f>
        <v>106</v>
      </c>
      <c r="D14" s="15">
        <f>[1]March!D14-[1]February!D14</f>
        <v>94</v>
      </c>
      <c r="E14" s="15">
        <f>[1]March!E14-[1]February!E14</f>
        <v>70</v>
      </c>
      <c r="F14" s="15">
        <f>[1]March!F14-[1]February!F14</f>
        <v>500</v>
      </c>
    </row>
    <row r="15" spans="1:6" x14ac:dyDescent="0.25">
      <c r="A15" s="8" t="s">
        <v>110</v>
      </c>
      <c r="B15" s="15">
        <f>[1]March!B15-[1]February!B15</f>
        <v>170</v>
      </c>
      <c r="C15" s="15">
        <f>[1]March!C15-[1]February!C15</f>
        <v>-144</v>
      </c>
      <c r="D15" s="15">
        <f>[1]March!D15-[1]February!D15</f>
        <v>121</v>
      </c>
      <c r="E15" s="15">
        <f>[1]March!E15-[1]February!E15</f>
        <v>-58</v>
      </c>
      <c r="F15" s="15">
        <f>[1]March!F15-[1]February!F15</f>
        <v>89</v>
      </c>
    </row>
    <row r="16" spans="1:6" x14ac:dyDescent="0.25">
      <c r="A16" s="8" t="s">
        <v>111</v>
      </c>
      <c r="B16" s="15">
        <f>[1]March!B16-[1]February!B16</f>
        <v>85</v>
      </c>
      <c r="C16" s="15">
        <f>[1]March!C16-[1]February!C16</f>
        <v>3</v>
      </c>
      <c r="D16" s="15">
        <f>[1]March!D16-[1]February!D16</f>
        <v>-50</v>
      </c>
      <c r="E16" s="15">
        <f>[1]March!E16-[1]February!E16</f>
        <v>123</v>
      </c>
      <c r="F16" s="15">
        <f>[1]March!F16-[1]February!F16</f>
        <v>161</v>
      </c>
    </row>
    <row r="17" spans="1:6" x14ac:dyDescent="0.25">
      <c r="A17" s="8" t="s">
        <v>112</v>
      </c>
      <c r="B17" s="15">
        <f>[1]March!B17-[1]February!B17</f>
        <v>30</v>
      </c>
      <c r="C17" s="15">
        <f>[1]March!C17-[1]February!C17</f>
        <v>-6</v>
      </c>
      <c r="D17" s="15">
        <f>[1]March!D17-[1]February!D17</f>
        <v>13</v>
      </c>
      <c r="E17" s="15">
        <f>[1]March!E17-[1]February!E17</f>
        <v>15</v>
      </c>
      <c r="F17" s="15">
        <f>[1]March!F17-[1]February!F17</f>
        <v>52</v>
      </c>
    </row>
    <row r="18" spans="1:6" x14ac:dyDescent="0.25">
      <c r="A18" s="8" t="s">
        <v>113</v>
      </c>
      <c r="B18" s="15">
        <f>[1]March!B18-[1]February!B18</f>
        <v>7</v>
      </c>
      <c r="C18" s="15">
        <f>[1]March!C18-[1]February!C18</f>
        <v>-13</v>
      </c>
      <c r="D18" s="15">
        <f>[1]March!D18-[1]February!D18</f>
        <v>4</v>
      </c>
      <c r="E18" s="15">
        <f>[1]March!E18-[1]February!E18</f>
        <v>3</v>
      </c>
      <c r="F18" s="15">
        <f>[1]March!F18-[1]February!F18</f>
        <v>1</v>
      </c>
    </row>
    <row r="19" spans="1:6" x14ac:dyDescent="0.25">
      <c r="A19" s="8" t="s">
        <v>114</v>
      </c>
      <c r="B19" s="15">
        <f>[1]March!B19-[1]February!B19</f>
        <v>240</v>
      </c>
      <c r="C19" s="15">
        <f>[1]March!C19-[1]February!C19</f>
        <v>86</v>
      </c>
      <c r="D19" s="15">
        <f>[1]March!D19-[1]February!D19</f>
        <v>298</v>
      </c>
      <c r="E19" s="15">
        <f>[1]March!E19-[1]February!E19</f>
        <v>222</v>
      </c>
      <c r="F19" s="15">
        <f>[1]March!F19-[1]February!F19</f>
        <v>846</v>
      </c>
    </row>
    <row r="20" spans="1:6" x14ac:dyDescent="0.25">
      <c r="A20" s="8" t="s">
        <v>115</v>
      </c>
      <c r="B20" s="15">
        <f>[1]March!B20-[1]February!B20</f>
        <v>341</v>
      </c>
      <c r="C20" s="15">
        <f>[1]March!C20-[1]February!C20</f>
        <v>128</v>
      </c>
      <c r="D20" s="15">
        <f>[1]March!D20-[1]February!D20</f>
        <v>110</v>
      </c>
      <c r="E20" s="15">
        <f>[1]March!E20-[1]February!E20</f>
        <v>175</v>
      </c>
      <c r="F20" s="15">
        <f>[1]March!F20-[1]February!F20</f>
        <v>754</v>
      </c>
    </row>
    <row r="21" spans="1:6" x14ac:dyDescent="0.25">
      <c r="A21" s="8" t="s">
        <v>116</v>
      </c>
      <c r="B21" s="15">
        <f>[1]March!B21-[1]February!B21</f>
        <v>177</v>
      </c>
      <c r="C21" s="15">
        <f>[1]March!C21-[1]February!C21</f>
        <v>44</v>
      </c>
      <c r="D21" s="15">
        <f>[1]March!D21-[1]February!D21</f>
        <v>60</v>
      </c>
      <c r="E21" s="15">
        <f>[1]March!E21-[1]February!E21</f>
        <v>37</v>
      </c>
      <c r="F21" s="15">
        <f>[1]March!F21-[1]February!F21</f>
        <v>318</v>
      </c>
    </row>
    <row r="22" spans="1:6" x14ac:dyDescent="0.25">
      <c r="A22" s="8" t="s">
        <v>117</v>
      </c>
      <c r="B22" s="15">
        <f>[1]March!B22-[1]February!B22</f>
        <v>-35</v>
      </c>
      <c r="C22" s="15">
        <f>[1]March!C22-[1]February!C22</f>
        <v>-22</v>
      </c>
      <c r="D22" s="15">
        <f>[1]March!D22-[1]February!D22</f>
        <v>0</v>
      </c>
      <c r="E22" s="15">
        <f>[1]March!E22-[1]February!E22</f>
        <v>-11</v>
      </c>
      <c r="F22" s="15">
        <f>[1]March!F22-[1]February!F22</f>
        <v>-68</v>
      </c>
    </row>
    <row r="23" spans="1:6" x14ac:dyDescent="0.25">
      <c r="A23" s="8" t="s">
        <v>118</v>
      </c>
      <c r="B23" s="15">
        <f>[1]March!B23-[1]February!B23</f>
        <v>7</v>
      </c>
      <c r="C23" s="15">
        <f>[1]March!C23-[1]February!C23</f>
        <v>-13</v>
      </c>
      <c r="D23" s="15">
        <f>[1]March!D23-[1]February!D23</f>
        <v>4</v>
      </c>
      <c r="E23" s="15">
        <f>[1]March!E23-[1]February!E23</f>
        <v>6</v>
      </c>
      <c r="F23" s="15">
        <f>[1]March!F23-[1]February!F23</f>
        <v>4</v>
      </c>
    </row>
    <row r="24" spans="1:6" x14ac:dyDescent="0.25">
      <c r="A24" s="8" t="s">
        <v>119</v>
      </c>
      <c r="B24" s="15">
        <f>[1]March!B24-[1]February!B24</f>
        <v>-436</v>
      </c>
      <c r="C24" s="15">
        <f>[1]March!C24-[1]February!C24</f>
        <v>-222</v>
      </c>
      <c r="D24" s="15">
        <f>[1]March!D24-[1]February!D24</f>
        <v>-17</v>
      </c>
      <c r="E24" s="15">
        <f>[1]March!E24-[1]February!E24</f>
        <v>-332</v>
      </c>
      <c r="F24" s="15">
        <f>[1]March!F24-[1]February!F24</f>
        <v>-1007</v>
      </c>
    </row>
    <row r="25" spans="1:6" x14ac:dyDescent="0.25">
      <c r="A25" s="8" t="s">
        <v>120</v>
      </c>
      <c r="B25" s="15">
        <f>[1]March!B25-[1]February!B25</f>
        <v>9</v>
      </c>
      <c r="C25" s="15">
        <f>[1]March!C25-[1]February!C25</f>
        <v>5</v>
      </c>
      <c r="D25" s="15">
        <f>[1]March!D25-[1]February!D25</f>
        <v>1</v>
      </c>
      <c r="E25" s="15">
        <f>[1]March!E25-[1]February!E25</f>
        <v>6</v>
      </c>
      <c r="F25" s="15">
        <f>[1]March!F25-[1]February!F25</f>
        <v>21</v>
      </c>
    </row>
    <row r="26" spans="1:6" x14ac:dyDescent="0.25">
      <c r="A26" s="8" t="s">
        <v>121</v>
      </c>
      <c r="B26" s="15">
        <f>[1]March!B26-[1]February!B26</f>
        <v>-347</v>
      </c>
      <c r="C26" s="15">
        <f>[1]March!C26-[1]February!C26</f>
        <v>-234</v>
      </c>
      <c r="D26" s="15">
        <f>[1]March!D26-[1]February!D26</f>
        <v>-22</v>
      </c>
      <c r="E26" s="15">
        <f>[1]March!E26-[1]February!E26</f>
        <v>-265</v>
      </c>
      <c r="F26" s="15">
        <f>[1]March!F26-[1]February!F26</f>
        <v>-868</v>
      </c>
    </row>
    <row r="27" spans="1:6" x14ac:dyDescent="0.25">
      <c r="A27" s="8" t="s">
        <v>122</v>
      </c>
      <c r="B27" s="15">
        <f>[1]March!B27-[1]February!B27</f>
        <v>6</v>
      </c>
      <c r="C27" s="15">
        <f>[1]March!C27-[1]February!C27</f>
        <v>-1</v>
      </c>
      <c r="D27" s="15">
        <f>[1]March!D27-[1]February!D27</f>
        <v>5</v>
      </c>
      <c r="E27" s="15">
        <f>[1]March!E27-[1]February!E27</f>
        <v>0</v>
      </c>
      <c r="F27" s="15">
        <f>[1]March!F27-[1]February!F27</f>
        <v>10</v>
      </c>
    </row>
    <row r="28" spans="1:6" x14ac:dyDescent="0.25">
      <c r="A28" s="8" t="s">
        <v>123</v>
      </c>
      <c r="B28" s="15">
        <f>[1]March!B28-[1]February!B28</f>
        <v>-9</v>
      </c>
      <c r="C28" s="15">
        <f>[1]March!C28-[1]February!C28</f>
        <v>-5</v>
      </c>
      <c r="D28" s="15">
        <f>[1]March!D28-[1]February!D28</f>
        <v>6</v>
      </c>
      <c r="E28" s="15">
        <f>[1]March!E28-[1]February!E28</f>
        <v>-17</v>
      </c>
      <c r="F28" s="15">
        <f>[1]March!F28-[1]February!F28</f>
        <v>-25</v>
      </c>
    </row>
    <row r="29" spans="1:6" x14ac:dyDescent="0.25">
      <c r="A29" s="8" t="s">
        <v>124</v>
      </c>
      <c r="B29" s="15">
        <f>[1]March!B29-[1]February!B29</f>
        <v>91</v>
      </c>
      <c r="C29" s="15">
        <f>[1]March!C29-[1]February!C29</f>
        <v>3</v>
      </c>
      <c r="D29" s="15">
        <f>[1]March!D29-[1]February!D29</f>
        <v>21</v>
      </c>
      <c r="E29" s="15">
        <f>[1]March!E29-[1]February!E29</f>
        <v>39</v>
      </c>
      <c r="F29" s="15">
        <f>[1]March!F29-[1]February!F29</f>
        <v>154</v>
      </c>
    </row>
    <row r="30" spans="1:6" x14ac:dyDescent="0.25">
      <c r="A30" s="8" t="s">
        <v>125</v>
      </c>
      <c r="B30" s="15">
        <f>[1]March!B30-[1]February!B30</f>
        <v>-4220</v>
      </c>
      <c r="C30" s="15">
        <f>[1]March!C30-[1]February!C30</f>
        <v>-3938</v>
      </c>
      <c r="D30" s="15">
        <f>[1]March!D30-[1]February!D30</f>
        <v>-393</v>
      </c>
      <c r="E30" s="15">
        <f>[1]March!E30-[1]February!E30</f>
        <v>-5866</v>
      </c>
      <c r="F30" s="15">
        <f>[1]March!F30-[1]February!F30</f>
        <v>-14417</v>
      </c>
    </row>
    <row r="31" spans="1:6" x14ac:dyDescent="0.25">
      <c r="A31" s="8" t="s">
        <v>126</v>
      </c>
      <c r="B31" s="15">
        <f>[1]March!B31-[1]February!B31</f>
        <v>93</v>
      </c>
      <c r="C31" s="15">
        <f>[1]March!C31-[1]February!C31</f>
        <v>2</v>
      </c>
      <c r="D31" s="15">
        <f>[1]March!D31-[1]February!D31</f>
        <v>43</v>
      </c>
      <c r="E31" s="15">
        <f>[1]March!E31-[1]February!E31</f>
        <v>8</v>
      </c>
      <c r="F31" s="15">
        <f>[1]March!F31-[1]February!F31</f>
        <v>146</v>
      </c>
    </row>
    <row r="32" spans="1:6" x14ac:dyDescent="0.25">
      <c r="A32" s="8" t="s">
        <v>127</v>
      </c>
      <c r="B32" s="15">
        <f>[1]March!B32-[1]February!B32</f>
        <v>-323</v>
      </c>
      <c r="C32" s="15">
        <f>[1]March!C32-[1]February!C32</f>
        <v>-948</v>
      </c>
      <c r="D32" s="15">
        <f>[1]March!D32-[1]February!D32</f>
        <v>229</v>
      </c>
      <c r="E32" s="15">
        <f>[1]March!E32-[1]February!E32</f>
        <v>-799</v>
      </c>
      <c r="F32" s="15">
        <f>[1]March!F32-[1]February!F32</f>
        <v>-1841</v>
      </c>
    </row>
    <row r="33" spans="1:6" x14ac:dyDescent="0.25">
      <c r="A33" s="8" t="s">
        <v>128</v>
      </c>
      <c r="B33" s="15">
        <f>[1]March!B33-[1]February!B33</f>
        <v>23</v>
      </c>
      <c r="C33" s="15">
        <f>[1]March!C33-[1]February!C33</f>
        <v>-5</v>
      </c>
      <c r="D33" s="15">
        <f>[1]March!D33-[1]February!D33</f>
        <v>6</v>
      </c>
      <c r="E33" s="15">
        <f>[1]March!E33-[1]February!E33</f>
        <v>5</v>
      </c>
      <c r="F33" s="15">
        <f>[1]March!F33-[1]February!F33</f>
        <v>29</v>
      </c>
    </row>
    <row r="34" spans="1:6" x14ac:dyDescent="0.25">
      <c r="A34" s="8" t="s">
        <v>129</v>
      </c>
      <c r="B34" s="15">
        <f>[1]March!B34-[1]February!B34</f>
        <v>22</v>
      </c>
      <c r="C34" s="15">
        <f>[1]March!C34-[1]February!C34</f>
        <v>-31</v>
      </c>
      <c r="D34" s="15">
        <f>[1]March!D34-[1]February!D34</f>
        <v>55</v>
      </c>
      <c r="E34" s="15">
        <f>[1]March!E34-[1]February!E34</f>
        <v>44</v>
      </c>
      <c r="F34" s="15">
        <f>[1]March!F34-[1]February!F34</f>
        <v>90</v>
      </c>
    </row>
    <row r="35" spans="1:6" x14ac:dyDescent="0.25">
      <c r="A35" s="8" t="s">
        <v>130</v>
      </c>
      <c r="B35" s="15">
        <f>[1]March!B35-[1]February!B35</f>
        <v>89</v>
      </c>
      <c r="C35" s="15">
        <f>[1]March!C35-[1]February!C35</f>
        <v>-6</v>
      </c>
      <c r="D35" s="15">
        <f>[1]March!D35-[1]February!D35</f>
        <v>14</v>
      </c>
      <c r="E35" s="15">
        <f>[1]March!E35-[1]February!E35</f>
        <v>16</v>
      </c>
      <c r="F35" s="15">
        <f>[1]March!F35-[1]February!F35</f>
        <v>113</v>
      </c>
    </row>
    <row r="36" spans="1:6" x14ac:dyDescent="0.25">
      <c r="A36" s="8" t="s">
        <v>131</v>
      </c>
      <c r="B36" s="15">
        <f>[1]March!B36-[1]February!B36</f>
        <v>19</v>
      </c>
      <c r="C36" s="15">
        <f>[1]March!C36-[1]February!C36</f>
        <v>0</v>
      </c>
      <c r="D36" s="15">
        <f>[1]March!D36-[1]February!D36</f>
        <v>6</v>
      </c>
      <c r="E36" s="15">
        <f>[1]March!E36-[1]February!E36</f>
        <v>-7</v>
      </c>
      <c r="F36" s="15">
        <f>[1]March!F36-[1]February!F36</f>
        <v>18</v>
      </c>
    </row>
    <row r="37" spans="1:6" x14ac:dyDescent="0.25">
      <c r="A37" s="8" t="s">
        <v>132</v>
      </c>
      <c r="B37" s="15">
        <f>[1]March!B37-[1]February!B37</f>
        <v>6</v>
      </c>
      <c r="C37" s="15">
        <f>[1]March!C37-[1]February!C37</f>
        <v>2</v>
      </c>
      <c r="D37" s="15">
        <f>[1]March!D37-[1]February!D37</f>
        <v>2</v>
      </c>
      <c r="E37" s="15">
        <f>[1]March!E37-[1]February!E37</f>
        <v>-1</v>
      </c>
      <c r="F37" s="15">
        <f>[1]March!F37-[1]February!F37</f>
        <v>9</v>
      </c>
    </row>
    <row r="38" spans="1:6" x14ac:dyDescent="0.25">
      <c r="A38" s="8" t="s">
        <v>133</v>
      </c>
      <c r="B38" s="15">
        <f>[1]March!B38-[1]February!B38</f>
        <v>870</v>
      </c>
      <c r="C38" s="15">
        <f>[1]March!C38-[1]February!C38</f>
        <v>467</v>
      </c>
      <c r="D38" s="15">
        <f>[1]March!D38-[1]February!D38</f>
        <v>183</v>
      </c>
      <c r="E38" s="15">
        <f>[1]March!E38-[1]February!E38</f>
        <v>638</v>
      </c>
      <c r="F38" s="15">
        <f>[1]March!F38-[1]February!F38</f>
        <v>2158</v>
      </c>
    </row>
    <row r="39" spans="1:6" x14ac:dyDescent="0.25">
      <c r="A39" s="8" t="s">
        <v>134</v>
      </c>
      <c r="B39" s="15">
        <f>[1]March!B39-[1]February!B39</f>
        <v>154</v>
      </c>
      <c r="C39" s="15">
        <f>[1]March!C39-[1]February!C39</f>
        <v>-162</v>
      </c>
      <c r="D39" s="15">
        <f>[1]March!D39-[1]February!D39</f>
        <v>-445</v>
      </c>
      <c r="E39" s="15">
        <f>[1]March!E39-[1]February!E39</f>
        <v>527</v>
      </c>
      <c r="F39" s="15">
        <f>[1]March!F39-[1]February!F39</f>
        <v>74</v>
      </c>
    </row>
    <row r="40" spans="1:6" x14ac:dyDescent="0.25">
      <c r="A40" s="8" t="s">
        <v>135</v>
      </c>
      <c r="B40" s="15">
        <f>[1]March!B40-[1]February!B40</f>
        <v>-58</v>
      </c>
      <c r="C40" s="15">
        <f>[1]March!C40-[1]February!C40</f>
        <v>-430</v>
      </c>
      <c r="D40" s="15">
        <f>[1]March!D40-[1]February!D40</f>
        <v>54</v>
      </c>
      <c r="E40" s="15">
        <f>[1]March!E40-[1]February!E40</f>
        <v>-67</v>
      </c>
      <c r="F40" s="15">
        <f>[1]March!F40-[1]February!F40</f>
        <v>-501</v>
      </c>
    </row>
    <row r="41" spans="1:6" x14ac:dyDescent="0.25">
      <c r="A41" s="8" t="s">
        <v>136</v>
      </c>
      <c r="B41" s="15">
        <f>[1]March!B41-[1]February!B41</f>
        <v>65</v>
      </c>
      <c r="C41" s="15">
        <f>[1]March!C41-[1]February!C41</f>
        <v>12</v>
      </c>
      <c r="D41" s="15">
        <f>[1]March!D41-[1]February!D41</f>
        <v>20</v>
      </c>
      <c r="E41" s="15">
        <f>[1]March!E41-[1]February!E41</f>
        <v>28</v>
      </c>
      <c r="F41" s="15">
        <f>[1]March!F41-[1]February!F41</f>
        <v>125</v>
      </c>
    </row>
    <row r="42" spans="1:6" x14ac:dyDescent="0.25">
      <c r="A42" s="8" t="s">
        <v>137</v>
      </c>
      <c r="B42" s="15">
        <f>[1]March!B42-[1]February!B42</f>
        <v>13</v>
      </c>
      <c r="C42" s="15">
        <f>[1]March!C42-[1]February!C42</f>
        <v>-6</v>
      </c>
      <c r="D42" s="15">
        <f>[1]March!D42-[1]February!D42</f>
        <v>0</v>
      </c>
      <c r="E42" s="15">
        <f>[1]March!E42-[1]February!E42</f>
        <v>0</v>
      </c>
      <c r="F42" s="15">
        <f>[1]March!F42-[1]February!F42</f>
        <v>7</v>
      </c>
    </row>
    <row r="43" spans="1:6" x14ac:dyDescent="0.25">
      <c r="A43" s="8" t="s">
        <v>138</v>
      </c>
      <c r="B43" s="15">
        <f>[1]March!B43-[1]February!B43</f>
        <v>-546</v>
      </c>
      <c r="C43" s="15">
        <f>[1]March!C43-[1]February!C43</f>
        <v>-1157</v>
      </c>
      <c r="D43" s="15">
        <f>[1]March!D43-[1]February!D43</f>
        <v>-13</v>
      </c>
      <c r="E43" s="15">
        <f>[1]March!E43-[1]February!E43</f>
        <v>-430</v>
      </c>
      <c r="F43" s="15">
        <f>[1]March!F43-[1]February!F43</f>
        <v>-2146</v>
      </c>
    </row>
    <row r="44" spans="1:6" x14ac:dyDescent="0.25">
      <c r="A44" s="8" t="s">
        <v>139</v>
      </c>
      <c r="B44" s="15">
        <f>[1]March!B44-[1]February!B44</f>
        <v>-93</v>
      </c>
      <c r="C44" s="15">
        <f>[1]March!C44-[1]February!C44</f>
        <v>-226</v>
      </c>
      <c r="D44" s="15">
        <f>[1]March!D44-[1]February!D44</f>
        <v>95</v>
      </c>
      <c r="E44" s="15">
        <f>[1]March!E44-[1]February!E44</f>
        <v>-152</v>
      </c>
      <c r="F44" s="15">
        <f>[1]March!F44-[1]February!F44</f>
        <v>-376</v>
      </c>
    </row>
    <row r="45" spans="1:6" x14ac:dyDescent="0.25">
      <c r="A45" s="8" t="s">
        <v>140</v>
      </c>
      <c r="B45" s="15">
        <f>[1]March!B45-[1]February!B45</f>
        <v>162</v>
      </c>
      <c r="C45" s="15">
        <f>[1]March!C45-[1]February!C45</f>
        <v>-75</v>
      </c>
      <c r="D45" s="15">
        <f>[1]March!D45-[1]February!D45</f>
        <v>125</v>
      </c>
      <c r="E45" s="15">
        <f>[1]March!E45-[1]February!E45</f>
        <v>56</v>
      </c>
      <c r="F45" s="15">
        <f>[1]March!F45-[1]February!F45</f>
        <v>268</v>
      </c>
    </row>
    <row r="46" spans="1:6" x14ac:dyDescent="0.25">
      <c r="A46" s="8" t="s">
        <v>141</v>
      </c>
      <c r="B46" s="15">
        <f>[1]March!B46-[1]February!B46</f>
        <v>-1677</v>
      </c>
      <c r="C46" s="15">
        <f>[1]March!C46-[1]February!C46</f>
        <v>-1387</v>
      </c>
      <c r="D46" s="15">
        <f>[1]March!D46-[1]February!D46</f>
        <v>-92</v>
      </c>
      <c r="E46" s="15">
        <f>[1]March!E46-[1]February!E46</f>
        <v>-1876</v>
      </c>
      <c r="F46" s="15">
        <f>[1]March!F46-[1]February!F46</f>
        <v>-5032</v>
      </c>
    </row>
    <row r="47" spans="1:6" x14ac:dyDescent="0.25">
      <c r="A47" s="8" t="s">
        <v>142</v>
      </c>
      <c r="B47" s="15">
        <f>[1]March!B47-[1]February!B47</f>
        <v>-618</v>
      </c>
      <c r="C47" s="15">
        <f>[1]March!C47-[1]February!C47</f>
        <v>-2429</v>
      </c>
      <c r="D47" s="15">
        <f>[1]March!D47-[1]February!D47</f>
        <v>160</v>
      </c>
      <c r="E47" s="15">
        <f>[1]March!E47-[1]February!E47</f>
        <v>-1012</v>
      </c>
      <c r="F47" s="15">
        <f>[1]March!F47-[1]February!F47</f>
        <v>-3899</v>
      </c>
    </row>
    <row r="48" spans="1:6" x14ac:dyDescent="0.25">
      <c r="A48" s="8" t="s">
        <v>143</v>
      </c>
      <c r="B48" s="15">
        <f>[1]March!B48-[1]February!B48</f>
        <v>128</v>
      </c>
      <c r="C48" s="15">
        <f>[1]March!C48-[1]February!C48</f>
        <v>3</v>
      </c>
      <c r="D48" s="15">
        <f>[1]March!D48-[1]February!D48</f>
        <v>43</v>
      </c>
      <c r="E48" s="15">
        <f>[1]March!E48-[1]February!E48</f>
        <v>8</v>
      </c>
      <c r="F48" s="15">
        <f>[1]March!F48-[1]February!F48</f>
        <v>182</v>
      </c>
    </row>
    <row r="49" spans="1:6" x14ac:dyDescent="0.25">
      <c r="A49" s="8" t="s">
        <v>144</v>
      </c>
      <c r="B49" s="15">
        <f>[1]March!B49-[1]February!B49</f>
        <v>134</v>
      </c>
      <c r="C49" s="15">
        <f>[1]March!C49-[1]February!C49</f>
        <v>-19</v>
      </c>
      <c r="D49" s="15">
        <f>[1]March!D49-[1]February!D49</f>
        <v>27</v>
      </c>
      <c r="E49" s="15">
        <f>[1]March!E49-[1]February!E49</f>
        <v>-14</v>
      </c>
      <c r="F49" s="15">
        <f>[1]March!F49-[1]February!F49</f>
        <v>128</v>
      </c>
    </row>
    <row r="50" spans="1:6" x14ac:dyDescent="0.25">
      <c r="A50" s="8" t="s">
        <v>145</v>
      </c>
      <c r="B50" s="15">
        <f>[1]March!B50-[1]February!B50</f>
        <v>302</v>
      </c>
      <c r="C50" s="15">
        <f>[1]March!C50-[1]February!C50</f>
        <v>84</v>
      </c>
      <c r="D50" s="15">
        <f>[1]March!D50-[1]February!D50</f>
        <v>90</v>
      </c>
      <c r="E50" s="15">
        <f>[1]March!E50-[1]February!E50</f>
        <v>115</v>
      </c>
      <c r="F50" s="15">
        <f>[1]March!F50-[1]February!F50</f>
        <v>591</v>
      </c>
    </row>
    <row r="51" spans="1:6" x14ac:dyDescent="0.25">
      <c r="A51" s="8" t="s">
        <v>146</v>
      </c>
      <c r="B51" s="15">
        <f>[1]March!B51-[1]February!B51</f>
        <v>54</v>
      </c>
      <c r="C51" s="15">
        <f>[1]March!C51-[1]February!C51</f>
        <v>-5</v>
      </c>
      <c r="D51" s="15">
        <f>[1]March!D51-[1]February!D51</f>
        <v>14</v>
      </c>
      <c r="E51" s="15">
        <f>[1]March!E51-[1]February!E51</f>
        <v>-7</v>
      </c>
      <c r="F51" s="15">
        <f>[1]March!F51-[1]February!F51</f>
        <v>56</v>
      </c>
    </row>
    <row r="52" spans="1:6" x14ac:dyDescent="0.25">
      <c r="A52" s="8" t="s">
        <v>147</v>
      </c>
      <c r="B52" s="15">
        <f>[1]March!B52-[1]February!B52</f>
        <v>-300</v>
      </c>
      <c r="C52" s="15">
        <f>[1]March!C52-[1]February!C52</f>
        <v>-975</v>
      </c>
      <c r="D52" s="15">
        <f>[1]March!D52-[1]February!D52</f>
        <v>339</v>
      </c>
      <c r="E52" s="15">
        <f>[1]March!E52-[1]February!E52</f>
        <v>-606</v>
      </c>
      <c r="F52" s="15">
        <f>[1]March!F52-[1]February!F52</f>
        <v>-1542</v>
      </c>
    </row>
    <row r="53" spans="1:6" x14ac:dyDescent="0.25">
      <c r="A53" s="8" t="s">
        <v>148</v>
      </c>
      <c r="B53" s="15">
        <f>[1]March!B53-[1]February!B53</f>
        <v>402</v>
      </c>
      <c r="C53" s="15">
        <f>[1]March!C53-[1]February!C53</f>
        <v>298</v>
      </c>
      <c r="D53" s="15">
        <f>[1]March!D53-[1]February!D53</f>
        <v>184</v>
      </c>
      <c r="E53" s="15">
        <f>[1]March!E53-[1]February!E53</f>
        <v>346</v>
      </c>
      <c r="F53" s="15">
        <f>[1]March!F53-[1]February!F53</f>
        <v>1230</v>
      </c>
    </row>
    <row r="54" spans="1:6" x14ac:dyDescent="0.25">
      <c r="A54" s="8" t="s">
        <v>149</v>
      </c>
      <c r="B54" s="15">
        <f>[1]March!B54-[1]February!B54</f>
        <v>880</v>
      </c>
      <c r="C54" s="15">
        <f>[1]March!C54-[1]February!C54</f>
        <v>-213</v>
      </c>
      <c r="D54" s="15">
        <f>[1]March!D54-[1]February!D54</f>
        <v>396</v>
      </c>
      <c r="E54" s="15">
        <f>[1]March!E54-[1]February!E54</f>
        <v>528</v>
      </c>
      <c r="F54" s="15">
        <f>[1]March!F54-[1]February!F54</f>
        <v>1591</v>
      </c>
    </row>
    <row r="55" spans="1:6" x14ac:dyDescent="0.25">
      <c r="A55" s="8" t="s">
        <v>150</v>
      </c>
      <c r="B55" s="15">
        <f>[1]March!B55-[1]February!B55</f>
        <v>620</v>
      </c>
      <c r="C55" s="15">
        <f>[1]March!C55-[1]February!C55</f>
        <v>336</v>
      </c>
      <c r="D55" s="15">
        <f>[1]March!D55-[1]February!D55</f>
        <v>275</v>
      </c>
      <c r="E55" s="15">
        <f>[1]March!E55-[1]February!E55</f>
        <v>867</v>
      </c>
      <c r="F55" s="15">
        <f>[1]March!F55-[1]February!F55</f>
        <v>2098</v>
      </c>
    </row>
    <row r="56" spans="1:6" x14ac:dyDescent="0.25">
      <c r="A56" s="8" t="s">
        <v>151</v>
      </c>
      <c r="B56" s="15">
        <f>[1]March!B56-[1]February!B56</f>
        <v>-638</v>
      </c>
      <c r="C56" s="15">
        <f>[1]March!C56-[1]February!C56</f>
        <v>-1096</v>
      </c>
      <c r="D56" s="15">
        <f>[1]March!D56-[1]February!D56</f>
        <v>208</v>
      </c>
      <c r="E56" s="15">
        <f>[1]March!E56-[1]February!E56</f>
        <v>-631</v>
      </c>
      <c r="F56" s="15">
        <f>[1]March!F56-[1]February!F56</f>
        <v>-2157</v>
      </c>
    </row>
    <row r="57" spans="1:6" x14ac:dyDescent="0.25">
      <c r="A57" s="8" t="s">
        <v>152</v>
      </c>
      <c r="B57" s="15">
        <f>[1]March!B57-[1]February!B57</f>
        <v>875</v>
      </c>
      <c r="C57" s="15">
        <f>[1]March!C57-[1]February!C57</f>
        <v>589</v>
      </c>
      <c r="D57" s="15">
        <f>[1]March!D57-[1]February!D57</f>
        <v>352</v>
      </c>
      <c r="E57" s="15">
        <f>[1]March!E57-[1]February!E57</f>
        <v>799</v>
      </c>
      <c r="F57" s="15">
        <f>[1]March!F57-[1]February!F57</f>
        <v>2615</v>
      </c>
    </row>
    <row r="58" spans="1:6" x14ac:dyDescent="0.25">
      <c r="A58" s="8" t="s">
        <v>153</v>
      </c>
      <c r="B58" s="15">
        <f>[1]March!B58-[1]February!B58</f>
        <v>143</v>
      </c>
      <c r="C58" s="15">
        <f>[1]March!C58-[1]February!C58</f>
        <v>-6</v>
      </c>
      <c r="D58" s="15">
        <f>[1]March!D58-[1]February!D58</f>
        <v>25</v>
      </c>
      <c r="E58" s="15">
        <f>[1]March!E58-[1]February!E58</f>
        <v>41</v>
      </c>
      <c r="F58" s="15">
        <f>[1]March!F58-[1]February!F58</f>
        <v>203</v>
      </c>
    </row>
    <row r="59" spans="1:6" x14ac:dyDescent="0.25">
      <c r="A59" s="8" t="s">
        <v>154</v>
      </c>
      <c r="B59" s="15">
        <f>[1]March!B59-[1]February!B59</f>
        <v>376</v>
      </c>
      <c r="C59" s="15">
        <f>[1]March!C59-[1]February!C59</f>
        <v>62</v>
      </c>
      <c r="D59" s="15">
        <f>[1]March!D59-[1]February!D59</f>
        <v>83</v>
      </c>
      <c r="E59" s="15">
        <f>[1]March!E59-[1]February!E59</f>
        <v>51</v>
      </c>
      <c r="F59" s="15">
        <f>[1]March!F59-[1]February!F59</f>
        <v>572</v>
      </c>
    </row>
    <row r="60" spans="1:6" x14ac:dyDescent="0.25">
      <c r="A60" s="8" t="s">
        <v>155</v>
      </c>
      <c r="B60" s="15">
        <f>[1]March!B60-[1]February!B60</f>
        <v>-469</v>
      </c>
      <c r="C60" s="15">
        <f>[1]March!C60-[1]February!C60</f>
        <v>-741</v>
      </c>
      <c r="D60" s="15">
        <f>[1]March!D60-[1]February!D60</f>
        <v>54</v>
      </c>
      <c r="E60" s="15">
        <f>[1]March!E60-[1]February!E60</f>
        <v>-520</v>
      </c>
      <c r="F60" s="15">
        <f>[1]March!F60-[1]February!F60</f>
        <v>-1676</v>
      </c>
    </row>
    <row r="61" spans="1:6" x14ac:dyDescent="0.25">
      <c r="A61" s="8" t="s">
        <v>156</v>
      </c>
      <c r="B61" s="15">
        <f>[1]March!B61-[1]February!B61</f>
        <v>511</v>
      </c>
      <c r="C61" s="15">
        <f>[1]March!C61-[1]February!C61</f>
        <v>323</v>
      </c>
      <c r="D61" s="15">
        <f>[1]March!D61-[1]February!D61</f>
        <v>200</v>
      </c>
      <c r="E61" s="15">
        <f>[1]March!E61-[1]February!E61</f>
        <v>316</v>
      </c>
      <c r="F61" s="15">
        <f>[1]March!F61-[1]February!F61</f>
        <v>1350</v>
      </c>
    </row>
    <row r="62" spans="1:6" x14ac:dyDescent="0.25">
      <c r="A62" s="8" t="s">
        <v>157</v>
      </c>
      <c r="B62" s="15">
        <f>[1]March!B62-[1]February!B62</f>
        <v>557</v>
      </c>
      <c r="C62" s="15">
        <f>[1]March!C62-[1]February!C62</f>
        <v>128</v>
      </c>
      <c r="D62" s="15">
        <f>[1]March!D62-[1]February!D62</f>
        <v>92</v>
      </c>
      <c r="E62" s="15">
        <f>[1]March!E62-[1]February!E62</f>
        <v>279</v>
      </c>
      <c r="F62" s="15">
        <f>[1]March!F62-[1]February!F62</f>
        <v>1056</v>
      </c>
    </row>
    <row r="63" spans="1:6" x14ac:dyDescent="0.25">
      <c r="A63" s="8" t="s">
        <v>158</v>
      </c>
      <c r="B63" s="15">
        <f>[1]March!B63-[1]February!B63</f>
        <v>410</v>
      </c>
      <c r="C63" s="15">
        <f>[1]March!C63-[1]February!C63</f>
        <v>121</v>
      </c>
      <c r="D63" s="15">
        <f>[1]March!D63-[1]February!D63</f>
        <v>156</v>
      </c>
      <c r="E63" s="15">
        <f>[1]March!E63-[1]February!E63</f>
        <v>197</v>
      </c>
      <c r="F63" s="15">
        <f>[1]March!F63-[1]February!F63</f>
        <v>884</v>
      </c>
    </row>
    <row r="64" spans="1:6" x14ac:dyDescent="0.25">
      <c r="A64" s="8" t="s">
        <v>159</v>
      </c>
      <c r="B64" s="15">
        <f>[1]March!B64-[1]February!B64</f>
        <v>149</v>
      </c>
      <c r="C64" s="15">
        <f>[1]March!C64-[1]February!C64</f>
        <v>-50</v>
      </c>
      <c r="D64" s="15">
        <f>[1]March!D64-[1]February!D64</f>
        <v>55</v>
      </c>
      <c r="E64" s="15">
        <f>[1]March!E64-[1]February!E64</f>
        <v>220</v>
      </c>
      <c r="F64" s="15">
        <f>[1]March!F64-[1]February!F64</f>
        <v>374</v>
      </c>
    </row>
    <row r="65" spans="1:6" x14ac:dyDescent="0.25">
      <c r="A65" s="8" t="s">
        <v>160</v>
      </c>
      <c r="B65" s="15">
        <f>[1]March!B65-[1]February!B65</f>
        <v>-37</v>
      </c>
      <c r="C65" s="15">
        <f>[1]March!C65-[1]February!C65</f>
        <v>-37</v>
      </c>
      <c r="D65" s="15">
        <f>[1]March!D65-[1]February!D65</f>
        <v>-28</v>
      </c>
      <c r="E65" s="15">
        <f>[1]March!E65-[1]February!E65</f>
        <v>26</v>
      </c>
      <c r="F65" s="15">
        <f>[1]March!F65-[1]February!F65</f>
        <v>-76</v>
      </c>
    </row>
    <row r="66" spans="1:6" x14ac:dyDescent="0.25">
      <c r="A66" s="8" t="s">
        <v>161</v>
      </c>
      <c r="B66" s="15">
        <f>[1]March!B66-[1]February!B66</f>
        <v>-155</v>
      </c>
      <c r="C66" s="15">
        <f>[1]March!C66-[1]February!C66</f>
        <v>-106</v>
      </c>
      <c r="D66" s="15">
        <f>[1]March!D66-[1]February!D66</f>
        <v>-1</v>
      </c>
      <c r="E66" s="15">
        <f>[1]March!E66-[1]February!E66</f>
        <v>-121</v>
      </c>
      <c r="F66" s="15">
        <f>[1]March!F66-[1]February!F66</f>
        <v>-383</v>
      </c>
    </row>
    <row r="67" spans="1:6" x14ac:dyDescent="0.25">
      <c r="A67" s="8" t="s">
        <v>162</v>
      </c>
      <c r="B67" s="15">
        <f>[1]March!B67-[1]February!B67</f>
        <v>-246</v>
      </c>
      <c r="C67" s="15">
        <f>[1]March!C67-[1]February!C67</f>
        <v>-166</v>
      </c>
      <c r="D67" s="15">
        <f>[1]March!D67-[1]February!D67</f>
        <v>-18</v>
      </c>
      <c r="E67" s="15">
        <f>[1]March!E67-[1]February!E67</f>
        <v>-109</v>
      </c>
      <c r="F67" s="15">
        <f>[1]March!F67-[1]February!F67</f>
        <v>-539</v>
      </c>
    </row>
    <row r="68" spans="1:6" x14ac:dyDescent="0.25">
      <c r="A68" s="8" t="s">
        <v>163</v>
      </c>
      <c r="B68" s="15">
        <f>[1]March!B68-[1]February!B68</f>
        <v>579</v>
      </c>
      <c r="C68" s="15">
        <f>[1]March!C68-[1]February!C68</f>
        <v>184</v>
      </c>
      <c r="D68" s="15">
        <f>[1]March!D68-[1]February!D68</f>
        <v>256</v>
      </c>
      <c r="E68" s="15">
        <f>[1]March!E68-[1]February!E68</f>
        <v>215</v>
      </c>
      <c r="F68" s="15">
        <f>[1]March!F68-[1]February!F68</f>
        <v>1234</v>
      </c>
    </row>
    <row r="69" spans="1:6" x14ac:dyDescent="0.25">
      <c r="A69" s="8" t="s">
        <v>164</v>
      </c>
      <c r="B69" s="15">
        <f>[1]March!B69-[1]February!B69</f>
        <v>64</v>
      </c>
      <c r="C69" s="15">
        <f>[1]March!C69-[1]February!C69</f>
        <v>-17</v>
      </c>
      <c r="D69" s="15">
        <f>[1]March!D69-[1]February!D69</f>
        <v>16</v>
      </c>
      <c r="E69" s="15">
        <f>[1]March!E69-[1]February!E69</f>
        <v>9</v>
      </c>
      <c r="F69" s="15">
        <f>[1]March!F69-[1]February!F69</f>
        <v>72</v>
      </c>
    </row>
    <row r="70" spans="1:6" x14ac:dyDescent="0.25">
      <c r="A70" s="8" t="s">
        <v>165</v>
      </c>
      <c r="B70" s="15">
        <f>[1]March!B70-[1]February!B70</f>
        <v>-59</v>
      </c>
      <c r="C70" s="15">
        <f>[1]March!C70-[1]February!C70</f>
        <v>-72</v>
      </c>
      <c r="D70" s="15">
        <f>[1]March!D70-[1]February!D70</f>
        <v>11</v>
      </c>
      <c r="E70" s="15">
        <f>[1]March!E70-[1]February!E70</f>
        <v>-78</v>
      </c>
      <c r="F70" s="15">
        <f>[1]March!F70-[1]February!F70</f>
        <v>-198</v>
      </c>
    </row>
    <row r="71" spans="1:6" ht="15.75" thickBot="1" x14ac:dyDescent="0.3">
      <c r="A71" s="8" t="s">
        <v>166</v>
      </c>
      <c r="B71" s="15">
        <f>[1]March!B71-[1]February!B71</f>
        <v>52</v>
      </c>
      <c r="C71" s="15">
        <f>[1]March!C71-[1]February!C71</f>
        <v>-9</v>
      </c>
      <c r="D71" s="15">
        <f>[1]March!D71-[1]February!D71</f>
        <v>5</v>
      </c>
      <c r="E71" s="15">
        <f>[1]March!E71-[1]February!E71</f>
        <v>12</v>
      </c>
      <c r="F71" s="15">
        <f>[1]March!F71-[1]February!F71</f>
        <v>60</v>
      </c>
    </row>
    <row r="72" spans="1:6" ht="16.5" thickTop="1" thickBot="1" x14ac:dyDescent="0.3">
      <c r="A72" s="2" t="s">
        <v>0</v>
      </c>
      <c r="B72" s="6">
        <f>SUM(B5:B71)</f>
        <v>28</v>
      </c>
      <c r="C72" s="6">
        <f>SUM(C5:C71)</f>
        <v>-12996</v>
      </c>
      <c r="D72" s="6">
        <f>SUM(D5:D71)</f>
        <v>4259</v>
      </c>
      <c r="E72" s="6">
        <f>SUM(E5:E71)</f>
        <v>-6084</v>
      </c>
      <c r="F72" s="6">
        <f>SUM(F5:F71)</f>
        <v>-14793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83</v>
      </c>
      <c r="B1" s="27"/>
      <c r="C1" s="27"/>
      <c r="D1" s="27"/>
      <c r="E1" s="27"/>
      <c r="F1" s="28"/>
    </row>
    <row r="2" spans="1:6" x14ac:dyDescent="0.25">
      <c r="A2" s="20" t="s">
        <v>184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[1]April!B5-[1]March!B5</f>
        <v>125</v>
      </c>
      <c r="C5" s="15">
        <f>[1]April!C5-[1]March!C5</f>
        <v>40</v>
      </c>
      <c r="D5" s="15">
        <f>[1]April!D5-[1]March!D5</f>
        <v>47</v>
      </c>
      <c r="E5" s="15">
        <f>[1]April!E5-[1]March!E5</f>
        <v>148</v>
      </c>
      <c r="F5" s="15">
        <f>[1]April!F5-[1]March!F5</f>
        <v>360</v>
      </c>
    </row>
    <row r="6" spans="1:6" x14ac:dyDescent="0.25">
      <c r="A6" s="8" t="s">
        <v>101</v>
      </c>
      <c r="B6" s="15">
        <f>[1]April!B6-[1]March!B6</f>
        <v>33</v>
      </c>
      <c r="C6" s="15">
        <f>[1]April!C6-[1]March!C6</f>
        <v>-10</v>
      </c>
      <c r="D6" s="15">
        <f>[1]April!D6-[1]March!D6</f>
        <v>4</v>
      </c>
      <c r="E6" s="15">
        <f>[1]April!E6-[1]March!E6</f>
        <v>-1</v>
      </c>
      <c r="F6" s="15">
        <f>[1]April!F6-[1]March!F6</f>
        <v>26</v>
      </c>
    </row>
    <row r="7" spans="1:6" x14ac:dyDescent="0.25">
      <c r="A7" s="8" t="s">
        <v>102</v>
      </c>
      <c r="B7" s="15">
        <f>[1]April!B7-[1]March!B7</f>
        <v>340</v>
      </c>
      <c r="C7" s="15">
        <f>[1]April!C7-[1]March!C7</f>
        <v>31</v>
      </c>
      <c r="D7" s="15">
        <f>[1]April!D7-[1]March!D7</f>
        <v>67</v>
      </c>
      <c r="E7" s="15">
        <f>[1]April!E7-[1]March!E7</f>
        <v>85</v>
      </c>
      <c r="F7" s="15">
        <f>[1]April!F7-[1]March!F7</f>
        <v>523</v>
      </c>
    </row>
    <row r="8" spans="1:6" x14ac:dyDescent="0.25">
      <c r="A8" s="8" t="s">
        <v>103</v>
      </c>
      <c r="B8" s="15">
        <f>[1]April!B8-[1]March!B8</f>
        <v>-19</v>
      </c>
      <c r="C8" s="15">
        <f>[1]April!C8-[1]March!C8</f>
        <v>-57</v>
      </c>
      <c r="D8" s="15">
        <f>[1]April!D8-[1]March!D8</f>
        <v>-3</v>
      </c>
      <c r="E8" s="15">
        <f>[1]April!E8-[1]March!E8</f>
        <v>-22</v>
      </c>
      <c r="F8" s="15">
        <f>[1]April!F8-[1]March!F8</f>
        <v>-101</v>
      </c>
    </row>
    <row r="9" spans="1:6" x14ac:dyDescent="0.25">
      <c r="A9" s="8" t="s">
        <v>104</v>
      </c>
      <c r="B9" s="15">
        <f>[1]April!B9-[1]March!B9</f>
        <v>430</v>
      </c>
      <c r="C9" s="15">
        <f>[1]April!C9-[1]March!C9</f>
        <v>-21</v>
      </c>
      <c r="D9" s="15">
        <f>[1]April!D9-[1]March!D9</f>
        <v>168</v>
      </c>
      <c r="E9" s="15">
        <f>[1]April!E9-[1]March!E9</f>
        <v>243</v>
      </c>
      <c r="F9" s="15">
        <f>[1]April!F9-[1]March!F9</f>
        <v>820</v>
      </c>
    </row>
    <row r="10" spans="1:6" x14ac:dyDescent="0.25">
      <c r="A10" s="8" t="s">
        <v>105</v>
      </c>
      <c r="B10" s="15">
        <f>[1]April!B10-[1]March!B10</f>
        <v>706</v>
      </c>
      <c r="C10" s="15">
        <f>[1]April!C10-[1]March!C10</f>
        <v>-87</v>
      </c>
      <c r="D10" s="15">
        <f>[1]April!D10-[1]March!D10</f>
        <v>250</v>
      </c>
      <c r="E10" s="15">
        <f>[1]April!E10-[1]March!E10</f>
        <v>1538</v>
      </c>
      <c r="F10" s="15">
        <f>[1]April!F10-[1]March!F10</f>
        <v>2407</v>
      </c>
    </row>
    <row r="11" spans="1:6" x14ac:dyDescent="0.25">
      <c r="A11" s="8" t="s">
        <v>106</v>
      </c>
      <c r="B11" s="15">
        <f>[1]April!B11-[1]March!B11</f>
        <v>17</v>
      </c>
      <c r="C11" s="15">
        <f>[1]April!C11-[1]March!C11</f>
        <v>3</v>
      </c>
      <c r="D11" s="15">
        <f>[1]April!D11-[1]March!D11</f>
        <v>1</v>
      </c>
      <c r="E11" s="15">
        <f>[1]April!E11-[1]March!E11</f>
        <v>12</v>
      </c>
      <c r="F11" s="15">
        <f>[1]April!F11-[1]March!F11</f>
        <v>33</v>
      </c>
    </row>
    <row r="12" spans="1:6" x14ac:dyDescent="0.25">
      <c r="A12" s="8" t="s">
        <v>107</v>
      </c>
      <c r="B12" s="15">
        <f>[1]April!B12-[1]March!B12</f>
        <v>-3172</v>
      </c>
      <c r="C12" s="15">
        <f>[1]April!C12-[1]March!C12</f>
        <v>-2314</v>
      </c>
      <c r="D12" s="15">
        <f>[1]April!D12-[1]March!D12</f>
        <v>-307</v>
      </c>
      <c r="E12" s="15">
        <f>[1]April!E12-[1]March!E12</f>
        <v>-4096</v>
      </c>
      <c r="F12" s="15">
        <f>[1]April!F12-[1]March!F12</f>
        <v>-9889</v>
      </c>
    </row>
    <row r="13" spans="1:6" x14ac:dyDescent="0.25">
      <c r="A13" s="8" t="s">
        <v>108</v>
      </c>
      <c r="B13" s="15">
        <f>[1]April!B13-[1]March!B13</f>
        <v>231</v>
      </c>
      <c r="C13" s="15">
        <f>[1]April!C13-[1]March!C13</f>
        <v>43</v>
      </c>
      <c r="D13" s="15">
        <f>[1]April!D13-[1]March!D13</f>
        <v>73</v>
      </c>
      <c r="E13" s="15">
        <f>[1]April!E13-[1]March!E13</f>
        <v>78</v>
      </c>
      <c r="F13" s="15">
        <f>[1]April!F13-[1]March!F13</f>
        <v>425</v>
      </c>
    </row>
    <row r="14" spans="1:6" x14ac:dyDescent="0.25">
      <c r="A14" s="8" t="s">
        <v>109</v>
      </c>
      <c r="B14" s="15">
        <f>[1]April!B14-[1]March!B14</f>
        <v>-206</v>
      </c>
      <c r="C14" s="15">
        <f>[1]April!C14-[1]March!C14</f>
        <v>-67</v>
      </c>
      <c r="D14" s="15">
        <f>[1]April!D14-[1]March!D14</f>
        <v>-2</v>
      </c>
      <c r="E14" s="15">
        <f>[1]April!E14-[1]March!E14</f>
        <v>-194</v>
      </c>
      <c r="F14" s="15">
        <f>[1]April!F14-[1]March!F14</f>
        <v>-469</v>
      </c>
    </row>
    <row r="15" spans="1:6" x14ac:dyDescent="0.25">
      <c r="A15" s="8" t="s">
        <v>110</v>
      </c>
      <c r="B15" s="15">
        <f>[1]April!B15-[1]March!B15</f>
        <v>-3647</v>
      </c>
      <c r="C15" s="15">
        <f>[1]April!C15-[1]March!C15</f>
        <v>-3749</v>
      </c>
      <c r="D15" s="15">
        <f>[1]April!D15-[1]March!D15</f>
        <v>-160</v>
      </c>
      <c r="E15" s="15">
        <f>[1]April!E15-[1]March!E15</f>
        <v>-4807</v>
      </c>
      <c r="F15" s="15">
        <f>[1]April!F15-[1]March!F15</f>
        <v>-12363</v>
      </c>
    </row>
    <row r="16" spans="1:6" x14ac:dyDescent="0.25">
      <c r="A16" s="8" t="s">
        <v>111</v>
      </c>
      <c r="B16" s="15">
        <f>[1]April!B16-[1]March!B16</f>
        <v>85</v>
      </c>
      <c r="C16" s="15">
        <f>[1]April!C16-[1]March!C16</f>
        <v>24</v>
      </c>
      <c r="D16" s="15">
        <f>[1]April!D16-[1]March!D16</f>
        <v>13</v>
      </c>
      <c r="E16" s="15">
        <f>[1]April!E16-[1]March!E16</f>
        <v>24</v>
      </c>
      <c r="F16" s="15">
        <f>[1]April!F16-[1]March!F16</f>
        <v>146</v>
      </c>
    </row>
    <row r="17" spans="1:6" x14ac:dyDescent="0.25">
      <c r="A17" s="8" t="s">
        <v>112</v>
      </c>
      <c r="B17" s="15">
        <f>[1]April!B17-[1]March!B17</f>
        <v>10</v>
      </c>
      <c r="C17" s="15">
        <f>[1]April!C17-[1]March!C17</f>
        <v>-34</v>
      </c>
      <c r="D17" s="15">
        <f>[1]April!D17-[1]March!D17</f>
        <v>1</v>
      </c>
      <c r="E17" s="15">
        <f>[1]April!E17-[1]March!E17</f>
        <v>-17</v>
      </c>
      <c r="F17" s="15">
        <f>[1]April!F17-[1]March!F17</f>
        <v>-40</v>
      </c>
    </row>
    <row r="18" spans="1:6" x14ac:dyDescent="0.25">
      <c r="A18" s="8" t="s">
        <v>113</v>
      </c>
      <c r="B18" s="15">
        <f>[1]April!B18-[1]March!B18</f>
        <v>12</v>
      </c>
      <c r="C18" s="15">
        <f>[1]April!C18-[1]March!C18</f>
        <v>-9</v>
      </c>
      <c r="D18" s="15">
        <f>[1]April!D18-[1]March!D18</f>
        <v>8</v>
      </c>
      <c r="E18" s="15">
        <f>[1]April!E18-[1]March!E18</f>
        <v>-6</v>
      </c>
      <c r="F18" s="15">
        <f>[1]April!F18-[1]March!F18</f>
        <v>5</v>
      </c>
    </row>
    <row r="19" spans="1:6" x14ac:dyDescent="0.25">
      <c r="A19" s="8" t="s">
        <v>114</v>
      </c>
      <c r="B19" s="15">
        <f>[1]April!B19-[1]March!B19</f>
        <v>-94</v>
      </c>
      <c r="C19" s="15">
        <f>[1]April!C19-[1]March!C19</f>
        <v>-312</v>
      </c>
      <c r="D19" s="15">
        <f>[1]April!D19-[1]March!D19</f>
        <v>196</v>
      </c>
      <c r="E19" s="15">
        <f>[1]April!E19-[1]March!E19</f>
        <v>-58</v>
      </c>
      <c r="F19" s="15">
        <f>[1]April!F19-[1]March!F19</f>
        <v>-268</v>
      </c>
    </row>
    <row r="20" spans="1:6" x14ac:dyDescent="0.25">
      <c r="A20" s="8" t="s">
        <v>115</v>
      </c>
      <c r="B20" s="15">
        <f>[1]April!B20-[1]March!B20</f>
        <v>375</v>
      </c>
      <c r="C20" s="15">
        <f>[1]April!C20-[1]March!C20</f>
        <v>149</v>
      </c>
      <c r="D20" s="15">
        <f>[1]April!D20-[1]March!D20</f>
        <v>77</v>
      </c>
      <c r="E20" s="15">
        <f>[1]April!E20-[1]March!E20</f>
        <v>205</v>
      </c>
      <c r="F20" s="15">
        <f>[1]April!F20-[1]March!F20</f>
        <v>806</v>
      </c>
    </row>
    <row r="21" spans="1:6" x14ac:dyDescent="0.25">
      <c r="A21" s="8" t="s">
        <v>116</v>
      </c>
      <c r="B21" s="15">
        <f>[1]April!B21-[1]March!B21</f>
        <v>80</v>
      </c>
      <c r="C21" s="15">
        <f>[1]April!C21-[1]March!C21</f>
        <v>-26</v>
      </c>
      <c r="D21" s="15">
        <f>[1]April!D21-[1]March!D21</f>
        <v>65</v>
      </c>
      <c r="E21" s="15">
        <f>[1]April!E21-[1]March!E21</f>
        <v>-5</v>
      </c>
      <c r="F21" s="15">
        <f>[1]April!F21-[1]March!F21</f>
        <v>114</v>
      </c>
    </row>
    <row r="22" spans="1:6" x14ac:dyDescent="0.25">
      <c r="A22" s="8" t="s">
        <v>117</v>
      </c>
      <c r="B22" s="15">
        <f>[1]April!B22-[1]March!B22</f>
        <v>-1</v>
      </c>
      <c r="C22" s="15">
        <f>[1]April!C22-[1]March!C22</f>
        <v>-26</v>
      </c>
      <c r="D22" s="15">
        <f>[1]April!D22-[1]March!D22</f>
        <v>0</v>
      </c>
      <c r="E22" s="15">
        <f>[1]April!E22-[1]March!E22</f>
        <v>-16</v>
      </c>
      <c r="F22" s="15">
        <f>[1]April!F22-[1]March!F22</f>
        <v>-43</v>
      </c>
    </row>
    <row r="23" spans="1:6" x14ac:dyDescent="0.25">
      <c r="A23" s="8" t="s">
        <v>118</v>
      </c>
      <c r="B23" s="15">
        <f>[1]April!B23-[1]March!B23</f>
        <v>-168</v>
      </c>
      <c r="C23" s="15">
        <f>[1]April!C23-[1]March!C23</f>
        <v>-822</v>
      </c>
      <c r="D23" s="15">
        <f>[1]April!D23-[1]March!D23</f>
        <v>-26</v>
      </c>
      <c r="E23" s="15">
        <f>[1]April!E23-[1]March!E23</f>
        <v>-216</v>
      </c>
      <c r="F23" s="15">
        <f>[1]April!F23-[1]March!F23</f>
        <v>-1232</v>
      </c>
    </row>
    <row r="24" spans="1:6" x14ac:dyDescent="0.25">
      <c r="A24" s="8" t="s">
        <v>119</v>
      </c>
      <c r="B24" s="15">
        <f>[1]April!B24-[1]March!B24</f>
        <v>33</v>
      </c>
      <c r="C24" s="15">
        <f>[1]April!C24-[1]March!C24</f>
        <v>-7</v>
      </c>
      <c r="D24" s="15">
        <f>[1]April!D24-[1]March!D24</f>
        <v>25</v>
      </c>
      <c r="E24" s="15">
        <f>[1]April!E24-[1]March!E24</f>
        <v>6</v>
      </c>
      <c r="F24" s="15">
        <f>[1]April!F24-[1]March!F24</f>
        <v>57</v>
      </c>
    </row>
    <row r="25" spans="1:6" x14ac:dyDescent="0.25">
      <c r="A25" s="8" t="s">
        <v>120</v>
      </c>
      <c r="B25" s="15">
        <f>[1]April!B25-[1]March!B25</f>
        <v>-281</v>
      </c>
      <c r="C25" s="15">
        <f>[1]April!C25-[1]March!C25</f>
        <v>-249</v>
      </c>
      <c r="D25" s="15">
        <f>[1]April!D25-[1]March!D25</f>
        <v>-19</v>
      </c>
      <c r="E25" s="15">
        <f>[1]April!E25-[1]March!E25</f>
        <v>-244</v>
      </c>
      <c r="F25" s="15">
        <f>[1]April!F25-[1]March!F25</f>
        <v>-793</v>
      </c>
    </row>
    <row r="26" spans="1:6" x14ac:dyDescent="0.25">
      <c r="A26" s="8" t="s">
        <v>121</v>
      </c>
      <c r="B26" s="15">
        <f>[1]April!B26-[1]March!B26</f>
        <v>27</v>
      </c>
      <c r="C26" s="15">
        <f>[1]April!C26-[1]March!C26</f>
        <v>3</v>
      </c>
      <c r="D26" s="15">
        <f>[1]April!D26-[1]March!D26</f>
        <v>8</v>
      </c>
      <c r="E26" s="15">
        <f>[1]April!E26-[1]March!E26</f>
        <v>3</v>
      </c>
      <c r="F26" s="15">
        <f>[1]April!F26-[1]March!F26</f>
        <v>41</v>
      </c>
    </row>
    <row r="27" spans="1:6" x14ac:dyDescent="0.25">
      <c r="A27" s="8" t="s">
        <v>122</v>
      </c>
      <c r="B27" s="15">
        <f>[1]April!B27-[1]March!B27</f>
        <v>-165</v>
      </c>
      <c r="C27" s="15">
        <f>[1]April!C27-[1]March!C27</f>
        <v>-242</v>
      </c>
      <c r="D27" s="15">
        <f>[1]April!D27-[1]March!D27</f>
        <v>-14</v>
      </c>
      <c r="E27" s="15">
        <f>[1]April!E27-[1]March!E27</f>
        <v>-170</v>
      </c>
      <c r="F27" s="15">
        <f>[1]April!F27-[1]March!F27</f>
        <v>-591</v>
      </c>
    </row>
    <row r="28" spans="1:6" x14ac:dyDescent="0.25">
      <c r="A28" s="8" t="s">
        <v>123</v>
      </c>
      <c r="B28" s="15">
        <f>[1]April!B28-[1]March!B28</f>
        <v>-206</v>
      </c>
      <c r="C28" s="15">
        <f>[1]April!C28-[1]March!C28</f>
        <v>-207</v>
      </c>
      <c r="D28" s="15">
        <f>[1]April!D28-[1]March!D28</f>
        <v>7</v>
      </c>
      <c r="E28" s="15">
        <f>[1]April!E28-[1]March!E28</f>
        <v>-227</v>
      </c>
      <c r="F28" s="15">
        <f>[1]April!F28-[1]March!F28</f>
        <v>-633</v>
      </c>
    </row>
    <row r="29" spans="1:6" x14ac:dyDescent="0.25">
      <c r="A29" s="8" t="s">
        <v>124</v>
      </c>
      <c r="B29" s="15">
        <f>[1]April!B29-[1]March!B29</f>
        <v>63</v>
      </c>
      <c r="C29" s="15">
        <f>[1]April!C29-[1]March!C29</f>
        <v>14</v>
      </c>
      <c r="D29" s="15">
        <f>[1]April!D29-[1]March!D29</f>
        <v>4</v>
      </c>
      <c r="E29" s="15">
        <f>[1]April!E29-[1]March!E29</f>
        <v>33</v>
      </c>
      <c r="F29" s="15">
        <f>[1]April!F29-[1]March!F29</f>
        <v>114</v>
      </c>
    </row>
    <row r="30" spans="1:6" x14ac:dyDescent="0.25">
      <c r="A30" s="8" t="s">
        <v>125</v>
      </c>
      <c r="B30" s="15">
        <f>[1]April!B30-[1]March!B30</f>
        <v>253</v>
      </c>
      <c r="C30" s="15">
        <f>[1]April!C30-[1]March!C30</f>
        <v>-31</v>
      </c>
      <c r="D30" s="15">
        <f>[1]April!D30-[1]March!D30</f>
        <v>54</v>
      </c>
      <c r="E30" s="15">
        <f>[1]April!E30-[1]March!E30</f>
        <v>55</v>
      </c>
      <c r="F30" s="15">
        <f>[1]April!F30-[1]March!F30</f>
        <v>331</v>
      </c>
    </row>
    <row r="31" spans="1:6" x14ac:dyDescent="0.25">
      <c r="A31" s="8" t="s">
        <v>126</v>
      </c>
      <c r="B31" s="15">
        <f>[1]April!B31-[1]March!B31</f>
        <v>-134</v>
      </c>
      <c r="C31" s="15">
        <f>[1]April!C31-[1]March!C31</f>
        <v>-200</v>
      </c>
      <c r="D31" s="15">
        <f>[1]April!D31-[1]March!D31</f>
        <v>40</v>
      </c>
      <c r="E31" s="15">
        <f>[1]April!E31-[1]March!E31</f>
        <v>-167</v>
      </c>
      <c r="F31" s="15">
        <f>[1]April!F31-[1]March!F31</f>
        <v>-461</v>
      </c>
    </row>
    <row r="32" spans="1:6" x14ac:dyDescent="0.25">
      <c r="A32" s="8" t="s">
        <v>127</v>
      </c>
      <c r="B32" s="15">
        <f>[1]April!B32-[1]March!B32</f>
        <v>-15384</v>
      </c>
      <c r="C32" s="15">
        <f>[1]April!C32-[1]March!C32</f>
        <v>-29353</v>
      </c>
      <c r="D32" s="15">
        <f>[1]April!D32-[1]March!D32</f>
        <v>-1635</v>
      </c>
      <c r="E32" s="15">
        <f>[1]April!E32-[1]March!E32</f>
        <v>-34790</v>
      </c>
      <c r="F32" s="15">
        <f>[1]April!F32-[1]March!F32</f>
        <v>-81162</v>
      </c>
    </row>
    <row r="33" spans="1:6" x14ac:dyDescent="0.25">
      <c r="A33" s="8" t="s">
        <v>128</v>
      </c>
      <c r="B33" s="15">
        <f>[1]April!B33-[1]March!B33</f>
        <v>-108</v>
      </c>
      <c r="C33" s="15">
        <f>[1]April!C33-[1]March!C33</f>
        <v>-27</v>
      </c>
      <c r="D33" s="15">
        <f>[1]April!D33-[1]March!D33</f>
        <v>-8</v>
      </c>
      <c r="E33" s="15">
        <f>[1]April!E33-[1]March!E33</f>
        <v>-89</v>
      </c>
      <c r="F33" s="15">
        <f>[1]April!F33-[1]March!F33</f>
        <v>-232</v>
      </c>
    </row>
    <row r="34" spans="1:6" x14ac:dyDescent="0.25">
      <c r="A34" s="8" t="s">
        <v>129</v>
      </c>
      <c r="B34" s="15">
        <f>[1]April!B34-[1]March!B34</f>
        <v>18</v>
      </c>
      <c r="C34" s="15">
        <f>[1]April!C34-[1]March!C34</f>
        <v>-9</v>
      </c>
      <c r="D34" s="15">
        <f>[1]April!D34-[1]March!D34</f>
        <v>34</v>
      </c>
      <c r="E34" s="15">
        <f>[1]April!E34-[1]March!E34</f>
        <v>3</v>
      </c>
      <c r="F34" s="15">
        <f>[1]April!F34-[1]March!F34</f>
        <v>46</v>
      </c>
    </row>
    <row r="35" spans="1:6" x14ac:dyDescent="0.25">
      <c r="A35" s="8" t="s">
        <v>130</v>
      </c>
      <c r="B35" s="15">
        <f>[1]April!B35-[1]March!B35</f>
        <v>-9</v>
      </c>
      <c r="C35" s="15">
        <f>[1]April!C35-[1]March!C35</f>
        <v>3</v>
      </c>
      <c r="D35" s="15">
        <f>[1]April!D35-[1]March!D35</f>
        <v>5</v>
      </c>
      <c r="E35" s="15">
        <f>[1]April!E35-[1]March!E35</f>
        <v>18</v>
      </c>
      <c r="F35" s="15">
        <f>[1]April!F35-[1]March!F35</f>
        <v>17</v>
      </c>
    </row>
    <row r="36" spans="1:6" x14ac:dyDescent="0.25">
      <c r="A36" s="8" t="s">
        <v>131</v>
      </c>
      <c r="B36" s="15">
        <f>[1]April!B36-[1]March!B36</f>
        <v>2</v>
      </c>
      <c r="C36" s="15">
        <f>[1]April!C36-[1]March!C36</f>
        <v>-5</v>
      </c>
      <c r="D36" s="15">
        <f>[1]April!D36-[1]March!D36</f>
        <v>0</v>
      </c>
      <c r="E36" s="15">
        <f>[1]April!E36-[1]March!E36</f>
        <v>17</v>
      </c>
      <c r="F36" s="15">
        <f>[1]April!F36-[1]March!F36</f>
        <v>14</v>
      </c>
    </row>
    <row r="37" spans="1:6" x14ac:dyDescent="0.25">
      <c r="A37" s="8" t="s">
        <v>132</v>
      </c>
      <c r="B37" s="15">
        <f>[1]April!B37-[1]March!B37</f>
        <v>2</v>
      </c>
      <c r="C37" s="15">
        <f>[1]April!C37-[1]March!C37</f>
        <v>-2</v>
      </c>
      <c r="D37" s="15">
        <f>[1]April!D37-[1]March!D37</f>
        <v>1</v>
      </c>
      <c r="E37" s="15">
        <f>[1]April!E37-[1]March!E37</f>
        <v>2</v>
      </c>
      <c r="F37" s="15">
        <f>[1]April!F37-[1]March!F37</f>
        <v>3</v>
      </c>
    </row>
    <row r="38" spans="1:6" x14ac:dyDescent="0.25">
      <c r="A38" s="8" t="s">
        <v>133</v>
      </c>
      <c r="B38" s="15">
        <f>[1]April!B38-[1]March!B38</f>
        <v>343</v>
      </c>
      <c r="C38" s="15">
        <f>[1]April!C38-[1]March!C38</f>
        <v>144</v>
      </c>
      <c r="D38" s="15">
        <f>[1]April!D38-[1]March!D38</f>
        <v>101</v>
      </c>
      <c r="E38" s="15">
        <f>[1]April!E38-[1]March!E38</f>
        <v>172</v>
      </c>
      <c r="F38" s="15">
        <f>[1]April!F38-[1]March!F38</f>
        <v>760</v>
      </c>
    </row>
    <row r="39" spans="1:6" x14ac:dyDescent="0.25">
      <c r="A39" s="8" t="s">
        <v>134</v>
      </c>
      <c r="B39" s="15">
        <f>[1]April!B39-[1]March!B39</f>
        <v>309</v>
      </c>
      <c r="C39" s="15">
        <f>[1]April!C39-[1]March!C39</f>
        <v>-77</v>
      </c>
      <c r="D39" s="15">
        <f>[1]April!D39-[1]March!D39</f>
        <v>175</v>
      </c>
      <c r="E39" s="15">
        <f>[1]April!E39-[1]March!E39</f>
        <v>-22</v>
      </c>
      <c r="F39" s="15">
        <f>[1]April!F39-[1]March!F39</f>
        <v>385</v>
      </c>
    </row>
    <row r="40" spans="1:6" x14ac:dyDescent="0.25">
      <c r="A40" s="8" t="s">
        <v>135</v>
      </c>
      <c r="B40" s="15">
        <f>[1]April!B40-[1]March!B40</f>
        <v>37</v>
      </c>
      <c r="C40" s="15">
        <f>[1]April!C40-[1]March!C40</f>
        <v>-85</v>
      </c>
      <c r="D40" s="15">
        <f>[1]April!D40-[1]March!D40</f>
        <v>54</v>
      </c>
      <c r="E40" s="15">
        <f>[1]April!E40-[1]March!E40</f>
        <v>84</v>
      </c>
      <c r="F40" s="15">
        <f>[1]April!F40-[1]March!F40</f>
        <v>90</v>
      </c>
    </row>
    <row r="41" spans="1:6" x14ac:dyDescent="0.25">
      <c r="A41" s="8" t="s">
        <v>136</v>
      </c>
      <c r="B41" s="15">
        <f>[1]April!B41-[1]March!B41</f>
        <v>103</v>
      </c>
      <c r="C41" s="15">
        <f>[1]April!C41-[1]March!C41</f>
        <v>22</v>
      </c>
      <c r="D41" s="15">
        <f>[1]April!D41-[1]March!D41</f>
        <v>20</v>
      </c>
      <c r="E41" s="15">
        <f>[1]April!E41-[1]March!E41</f>
        <v>32</v>
      </c>
      <c r="F41" s="15">
        <f>[1]April!F41-[1]March!F41</f>
        <v>177</v>
      </c>
    </row>
    <row r="42" spans="1:6" x14ac:dyDescent="0.25">
      <c r="A42" s="8" t="s">
        <v>137</v>
      </c>
      <c r="B42" s="15">
        <f>[1]April!B42-[1]March!B42</f>
        <v>19</v>
      </c>
      <c r="C42" s="15">
        <f>[1]April!C42-[1]March!C42</f>
        <v>-132</v>
      </c>
      <c r="D42" s="15">
        <f>[1]April!D42-[1]March!D42</f>
        <v>0</v>
      </c>
      <c r="E42" s="15">
        <f>[1]April!E42-[1]March!E42</f>
        <v>-5</v>
      </c>
      <c r="F42" s="15">
        <f>[1]April!F42-[1]March!F42</f>
        <v>-118</v>
      </c>
    </row>
    <row r="43" spans="1:6" x14ac:dyDescent="0.25">
      <c r="A43" s="8" t="s">
        <v>138</v>
      </c>
      <c r="B43" s="15">
        <f>[1]April!B43-[1]March!B43</f>
        <v>20</v>
      </c>
      <c r="C43" s="15">
        <f>[1]April!C43-[1]March!C43</f>
        <v>22</v>
      </c>
      <c r="D43" s="15">
        <f>[1]April!D43-[1]March!D43</f>
        <v>0</v>
      </c>
      <c r="E43" s="15">
        <f>[1]April!E43-[1]March!E43</f>
        <v>12</v>
      </c>
      <c r="F43" s="15">
        <f>[1]April!F43-[1]March!F43</f>
        <v>54</v>
      </c>
    </row>
    <row r="44" spans="1:6" x14ac:dyDescent="0.25">
      <c r="A44" s="8" t="s">
        <v>139</v>
      </c>
      <c r="B44" s="15">
        <f>[1]April!B44-[1]March!B44</f>
        <v>-4813</v>
      </c>
      <c r="C44" s="15">
        <f>[1]April!C44-[1]March!C44</f>
        <v>-5447</v>
      </c>
      <c r="D44" s="15">
        <f>[1]April!D44-[1]March!D44</f>
        <v>-321</v>
      </c>
      <c r="E44" s="15">
        <f>[1]April!E44-[1]March!E44</f>
        <v>-6475</v>
      </c>
      <c r="F44" s="15">
        <f>[1]April!F44-[1]March!F44</f>
        <v>-17056</v>
      </c>
    </row>
    <row r="45" spans="1:6" x14ac:dyDescent="0.25">
      <c r="A45" s="8" t="s">
        <v>140</v>
      </c>
      <c r="B45" s="15">
        <f>[1]April!B45-[1]March!B45</f>
        <v>-395</v>
      </c>
      <c r="C45" s="15">
        <f>[1]April!C45-[1]March!C45</f>
        <v>-654</v>
      </c>
      <c r="D45" s="15">
        <f>[1]April!D45-[1]March!D45</f>
        <v>68</v>
      </c>
      <c r="E45" s="15">
        <f>[1]April!E45-[1]March!E45</f>
        <v>-709</v>
      </c>
      <c r="F45" s="15">
        <f>[1]April!F45-[1]March!F45</f>
        <v>-1690</v>
      </c>
    </row>
    <row r="46" spans="1:6" x14ac:dyDescent="0.25">
      <c r="A46" s="8" t="s">
        <v>141</v>
      </c>
      <c r="B46" s="15">
        <f>[1]April!B46-[1]March!B46</f>
        <v>-187</v>
      </c>
      <c r="C46" s="15">
        <f>[1]April!C46-[1]March!C46</f>
        <v>-152</v>
      </c>
      <c r="D46" s="15">
        <f>[1]April!D46-[1]March!D46</f>
        <v>28</v>
      </c>
      <c r="E46" s="15">
        <f>[1]April!E46-[1]March!E46</f>
        <v>-105</v>
      </c>
      <c r="F46" s="15">
        <f>[1]April!F46-[1]March!F46</f>
        <v>-416</v>
      </c>
    </row>
    <row r="47" spans="1:6" x14ac:dyDescent="0.25">
      <c r="A47" s="8" t="s">
        <v>142</v>
      </c>
      <c r="B47" s="15">
        <f>[1]April!B47-[1]March!B47</f>
        <v>555</v>
      </c>
      <c r="C47" s="15">
        <f>[1]April!C47-[1]March!C47</f>
        <v>-947</v>
      </c>
      <c r="D47" s="15">
        <f>[1]April!D47-[1]March!D47</f>
        <v>323</v>
      </c>
      <c r="E47" s="15">
        <f>[1]April!E47-[1]March!E47</f>
        <v>643</v>
      </c>
      <c r="F47" s="15">
        <f>[1]April!F47-[1]March!F47</f>
        <v>574</v>
      </c>
    </row>
    <row r="48" spans="1:6" x14ac:dyDescent="0.25">
      <c r="A48" s="8" t="s">
        <v>143</v>
      </c>
      <c r="B48" s="15">
        <f>[1]April!B48-[1]March!B48</f>
        <v>-13</v>
      </c>
      <c r="C48" s="15">
        <f>[1]April!C48-[1]March!C48</f>
        <v>-56</v>
      </c>
      <c r="D48" s="15">
        <f>[1]April!D48-[1]March!D48</f>
        <v>15</v>
      </c>
      <c r="E48" s="15">
        <f>[1]April!E48-[1]March!E48</f>
        <v>-36</v>
      </c>
      <c r="F48" s="15">
        <f>[1]April!F48-[1]March!F48</f>
        <v>-90</v>
      </c>
    </row>
    <row r="49" spans="1:6" x14ac:dyDescent="0.25">
      <c r="A49" s="8" t="s">
        <v>144</v>
      </c>
      <c r="B49" s="15">
        <f>[1]April!B49-[1]March!B49</f>
        <v>74</v>
      </c>
      <c r="C49" s="15">
        <f>[1]April!C49-[1]March!C49</f>
        <v>-17</v>
      </c>
      <c r="D49" s="15">
        <f>[1]April!D49-[1]March!D49</f>
        <v>31</v>
      </c>
      <c r="E49" s="15">
        <f>[1]April!E49-[1]March!E49</f>
        <v>-27</v>
      </c>
      <c r="F49" s="15">
        <f>[1]April!F49-[1]March!F49</f>
        <v>61</v>
      </c>
    </row>
    <row r="50" spans="1:6" x14ac:dyDescent="0.25">
      <c r="A50" s="8" t="s">
        <v>145</v>
      </c>
      <c r="B50" s="15">
        <f>[1]April!B50-[1]March!B50</f>
        <v>-349</v>
      </c>
      <c r="C50" s="15">
        <f>[1]April!C50-[1]March!C50</f>
        <v>-320</v>
      </c>
      <c r="D50" s="15">
        <f>[1]April!D50-[1]March!D50</f>
        <v>40</v>
      </c>
      <c r="E50" s="15">
        <f>[1]April!E50-[1]March!E50</f>
        <v>-670</v>
      </c>
      <c r="F50" s="15">
        <f>[1]April!F50-[1]March!F50</f>
        <v>-1299</v>
      </c>
    </row>
    <row r="51" spans="1:6" x14ac:dyDescent="0.25">
      <c r="A51" s="8" t="s">
        <v>146</v>
      </c>
      <c r="B51" s="15">
        <f>[1]April!B51-[1]March!B51</f>
        <v>-510</v>
      </c>
      <c r="C51" s="15">
        <f>[1]April!C51-[1]March!C51</f>
        <v>-430</v>
      </c>
      <c r="D51" s="15">
        <f>[1]April!D51-[1]March!D51</f>
        <v>-34</v>
      </c>
      <c r="E51" s="15">
        <f>[1]April!E51-[1]March!E51</f>
        <v>-477</v>
      </c>
      <c r="F51" s="15">
        <f>[1]April!F51-[1]March!F51</f>
        <v>-1451</v>
      </c>
    </row>
    <row r="52" spans="1:6" x14ac:dyDescent="0.25">
      <c r="A52" s="8" t="s">
        <v>147</v>
      </c>
      <c r="B52" s="15">
        <f>[1]April!B52-[1]March!B52</f>
        <v>-3214</v>
      </c>
      <c r="C52" s="15">
        <f>[1]April!C52-[1]March!C52</f>
        <v>-8051</v>
      </c>
      <c r="D52" s="15">
        <f>[1]April!D52-[1]March!D52</f>
        <v>-535</v>
      </c>
      <c r="E52" s="15">
        <f>[1]April!E52-[1]March!E52</f>
        <v>-7193</v>
      </c>
      <c r="F52" s="15">
        <f>[1]April!F52-[1]March!F52</f>
        <v>-18993</v>
      </c>
    </row>
    <row r="53" spans="1:6" x14ac:dyDescent="0.25">
      <c r="A53" s="8" t="s">
        <v>148</v>
      </c>
      <c r="B53" s="15">
        <f>[1]April!B53-[1]March!B53</f>
        <v>355</v>
      </c>
      <c r="C53" s="15">
        <f>[1]April!C53-[1]March!C53</f>
        <v>-38</v>
      </c>
      <c r="D53" s="15">
        <f>[1]April!D53-[1]March!D53</f>
        <v>199</v>
      </c>
      <c r="E53" s="15">
        <f>[1]April!E53-[1]March!E53</f>
        <v>102</v>
      </c>
      <c r="F53" s="15">
        <f>[1]April!F53-[1]March!F53</f>
        <v>618</v>
      </c>
    </row>
    <row r="54" spans="1:6" x14ac:dyDescent="0.25">
      <c r="A54" s="8" t="s">
        <v>149</v>
      </c>
      <c r="B54" s="15">
        <f>[1]April!B54-[1]March!B54</f>
        <v>-4443</v>
      </c>
      <c r="C54" s="15">
        <f>[1]April!C54-[1]March!C54</f>
        <v>-7270</v>
      </c>
      <c r="D54" s="15">
        <f>[1]April!D54-[1]March!D54</f>
        <v>-473</v>
      </c>
      <c r="E54" s="15">
        <f>[1]April!E54-[1]March!E54</f>
        <v>-5867</v>
      </c>
      <c r="F54" s="15">
        <f>[1]April!F54-[1]March!F54</f>
        <v>-18053</v>
      </c>
    </row>
    <row r="55" spans="1:6" x14ac:dyDescent="0.25">
      <c r="A55" s="8" t="s">
        <v>150</v>
      </c>
      <c r="B55" s="15">
        <f>[1]April!B55-[1]March!B55</f>
        <v>-159</v>
      </c>
      <c r="C55" s="15">
        <f>[1]April!C55-[1]March!C55</f>
        <v>-273</v>
      </c>
      <c r="D55" s="15">
        <f>[1]April!D55-[1]March!D55</f>
        <v>142</v>
      </c>
      <c r="E55" s="15">
        <f>[1]April!E55-[1]March!E55</f>
        <v>-4</v>
      </c>
      <c r="F55" s="15">
        <f>[1]April!F55-[1]March!F55</f>
        <v>-294</v>
      </c>
    </row>
    <row r="56" spans="1:6" x14ac:dyDescent="0.25">
      <c r="A56" s="8" t="s">
        <v>151</v>
      </c>
      <c r="B56" s="15">
        <f>[1]April!B56-[1]March!B56</f>
        <v>-12686</v>
      </c>
      <c r="C56" s="15">
        <f>[1]April!C56-[1]March!C56</f>
        <v>-16306</v>
      </c>
      <c r="D56" s="15">
        <f>[1]April!D56-[1]March!D56</f>
        <v>-1137</v>
      </c>
      <c r="E56" s="15">
        <f>[1]April!E56-[1]March!E56</f>
        <v>-21120</v>
      </c>
      <c r="F56" s="15">
        <f>[1]April!F56-[1]March!F56</f>
        <v>-51249</v>
      </c>
    </row>
    <row r="57" spans="1:6" x14ac:dyDescent="0.25">
      <c r="A57" s="8" t="s">
        <v>152</v>
      </c>
      <c r="B57" s="15">
        <f>[1]April!B57-[1]March!B57</f>
        <v>-13361</v>
      </c>
      <c r="C57" s="15">
        <f>[1]April!C57-[1]March!C57</f>
        <v>-17795</v>
      </c>
      <c r="D57" s="15">
        <f>[1]April!D57-[1]March!D57</f>
        <v>-1140</v>
      </c>
      <c r="E57" s="15">
        <f>[1]April!E57-[1]March!E57</f>
        <v>-23336</v>
      </c>
      <c r="F57" s="15">
        <f>[1]April!F57-[1]March!F57</f>
        <v>-55632</v>
      </c>
    </row>
    <row r="58" spans="1:6" x14ac:dyDescent="0.25">
      <c r="A58" s="8" t="s">
        <v>153</v>
      </c>
      <c r="B58" s="15">
        <f>[1]April!B58-[1]March!B58</f>
        <v>-85</v>
      </c>
      <c r="C58" s="15">
        <f>[1]April!C58-[1]March!C58</f>
        <v>-100</v>
      </c>
      <c r="D58" s="15">
        <f>[1]April!D58-[1]March!D58</f>
        <v>-3</v>
      </c>
      <c r="E58" s="15">
        <f>[1]April!E58-[1]March!E58</f>
        <v>-60</v>
      </c>
      <c r="F58" s="15">
        <f>[1]April!F58-[1]March!F58</f>
        <v>-248</v>
      </c>
    </row>
    <row r="59" spans="1:6" x14ac:dyDescent="0.25">
      <c r="A59" s="8" t="s">
        <v>154</v>
      </c>
      <c r="B59" s="15">
        <f>[1]April!B59-[1]March!B59</f>
        <v>193</v>
      </c>
      <c r="C59" s="15">
        <f>[1]April!C59-[1]March!C59</f>
        <v>4</v>
      </c>
      <c r="D59" s="15">
        <f>[1]April!D59-[1]March!D59</f>
        <v>49</v>
      </c>
      <c r="E59" s="15">
        <f>[1]April!E59-[1]March!E59</f>
        <v>68</v>
      </c>
      <c r="F59" s="15">
        <f>[1]April!F59-[1]March!F59</f>
        <v>314</v>
      </c>
    </row>
    <row r="60" spans="1:6" x14ac:dyDescent="0.25">
      <c r="A60" s="8" t="s">
        <v>155</v>
      </c>
      <c r="B60" s="15">
        <f>[1]April!B60-[1]March!B60</f>
        <v>401</v>
      </c>
      <c r="C60" s="15">
        <f>[1]April!C60-[1]March!C60</f>
        <v>-16</v>
      </c>
      <c r="D60" s="15">
        <f>[1]April!D60-[1]March!D60</f>
        <v>139</v>
      </c>
      <c r="E60" s="15">
        <f>[1]April!E60-[1]March!E60</f>
        <v>97</v>
      </c>
      <c r="F60" s="15">
        <f>[1]April!F60-[1]March!F60</f>
        <v>621</v>
      </c>
    </row>
    <row r="61" spans="1:6" x14ac:dyDescent="0.25">
      <c r="A61" s="8" t="s">
        <v>156</v>
      </c>
      <c r="B61" s="15">
        <f>[1]April!B61-[1]March!B61</f>
        <v>241</v>
      </c>
      <c r="C61" s="15">
        <f>[1]April!C61-[1]March!C61</f>
        <v>85</v>
      </c>
      <c r="D61" s="15">
        <f>[1]April!D61-[1]March!D61</f>
        <v>143</v>
      </c>
      <c r="E61" s="15">
        <f>[1]April!E61-[1]March!E61</f>
        <v>197</v>
      </c>
      <c r="F61" s="15">
        <f>[1]April!F61-[1]March!F61</f>
        <v>666</v>
      </c>
    </row>
    <row r="62" spans="1:6" x14ac:dyDescent="0.25">
      <c r="A62" s="8" t="s">
        <v>157</v>
      </c>
      <c r="B62" s="15">
        <f>[1]April!B62-[1]March!B62</f>
        <v>-184</v>
      </c>
      <c r="C62" s="15">
        <f>[1]April!C62-[1]March!C62</f>
        <v>-183</v>
      </c>
      <c r="D62" s="15">
        <f>[1]April!D62-[1]March!D62</f>
        <v>-28</v>
      </c>
      <c r="E62" s="15">
        <f>[1]April!E62-[1]March!E62</f>
        <v>-93</v>
      </c>
      <c r="F62" s="15">
        <f>[1]April!F62-[1]March!F62</f>
        <v>-488</v>
      </c>
    </row>
    <row r="63" spans="1:6" x14ac:dyDescent="0.25">
      <c r="A63" s="8" t="s">
        <v>158</v>
      </c>
      <c r="B63" s="15">
        <f>[1]April!B63-[1]March!B63</f>
        <v>451</v>
      </c>
      <c r="C63" s="15">
        <f>[1]April!C63-[1]March!C63</f>
        <v>124</v>
      </c>
      <c r="D63" s="15">
        <f>[1]April!D63-[1]March!D63</f>
        <v>-293</v>
      </c>
      <c r="E63" s="15">
        <f>[1]April!E63-[1]March!E63</f>
        <v>543</v>
      </c>
      <c r="F63" s="15">
        <f>[1]April!F63-[1]March!F63</f>
        <v>825</v>
      </c>
    </row>
    <row r="64" spans="1:6" x14ac:dyDescent="0.25">
      <c r="A64" s="8" t="s">
        <v>159</v>
      </c>
      <c r="B64" s="15">
        <f>[1]April!B64-[1]March!B64</f>
        <v>386</v>
      </c>
      <c r="C64" s="15">
        <f>[1]April!C64-[1]March!C64</f>
        <v>46</v>
      </c>
      <c r="D64" s="15">
        <f>[1]April!D64-[1]March!D64</f>
        <v>53</v>
      </c>
      <c r="E64" s="15">
        <f>[1]April!E64-[1]March!E64</f>
        <v>179</v>
      </c>
      <c r="F64" s="15">
        <f>[1]April!F64-[1]March!F64</f>
        <v>664</v>
      </c>
    </row>
    <row r="65" spans="1:6" x14ac:dyDescent="0.25">
      <c r="A65" s="8" t="s">
        <v>160</v>
      </c>
      <c r="B65" s="15">
        <f>[1]April!B65-[1]March!B65</f>
        <v>-179</v>
      </c>
      <c r="C65" s="15">
        <f>[1]April!C65-[1]March!C65</f>
        <v>-123</v>
      </c>
      <c r="D65" s="15">
        <f>[1]April!D65-[1]March!D65</f>
        <v>4</v>
      </c>
      <c r="E65" s="15">
        <f>[1]April!E65-[1]March!E65</f>
        <v>-112</v>
      </c>
      <c r="F65" s="15">
        <f>[1]April!F65-[1]March!F65</f>
        <v>-410</v>
      </c>
    </row>
    <row r="66" spans="1:6" x14ac:dyDescent="0.25">
      <c r="A66" s="8" t="s">
        <v>161</v>
      </c>
      <c r="B66" s="15">
        <f>[1]April!B66-[1]March!B66</f>
        <v>12</v>
      </c>
      <c r="C66" s="15">
        <f>[1]April!C66-[1]March!C66</f>
        <v>3</v>
      </c>
      <c r="D66" s="15">
        <f>[1]April!D66-[1]March!D66</f>
        <v>1</v>
      </c>
      <c r="E66" s="15">
        <f>[1]April!E66-[1]March!E66</f>
        <v>6</v>
      </c>
      <c r="F66" s="15">
        <f>[1]April!F66-[1]March!F66</f>
        <v>22</v>
      </c>
    </row>
    <row r="67" spans="1:6" x14ac:dyDescent="0.25">
      <c r="A67" s="8" t="s">
        <v>162</v>
      </c>
      <c r="B67" s="15">
        <f>[1]April!B67-[1]March!B67</f>
        <v>-2</v>
      </c>
      <c r="C67" s="15">
        <f>[1]April!C67-[1]March!C67</f>
        <v>2</v>
      </c>
      <c r="D67" s="15">
        <f>[1]April!D67-[1]March!D67</f>
        <v>1</v>
      </c>
      <c r="E67" s="15">
        <f>[1]April!E67-[1]March!E67</f>
        <v>8</v>
      </c>
      <c r="F67" s="15">
        <f>[1]April!F67-[1]March!F67</f>
        <v>9</v>
      </c>
    </row>
    <row r="68" spans="1:6" x14ac:dyDescent="0.25">
      <c r="A68" s="8" t="s">
        <v>163</v>
      </c>
      <c r="B68" s="15">
        <f>[1]April!B68-[1]March!B68</f>
        <v>462</v>
      </c>
      <c r="C68" s="15">
        <f>[1]April!C68-[1]March!C68</f>
        <v>79</v>
      </c>
      <c r="D68" s="15">
        <f>[1]April!D68-[1]March!D68</f>
        <v>197</v>
      </c>
      <c r="E68" s="15">
        <f>[1]April!E68-[1]March!E68</f>
        <v>138</v>
      </c>
      <c r="F68" s="15">
        <f>[1]April!F68-[1]March!F68</f>
        <v>876</v>
      </c>
    </row>
    <row r="69" spans="1:6" x14ac:dyDescent="0.25">
      <c r="A69" s="8" t="s">
        <v>164</v>
      </c>
      <c r="B69" s="15">
        <f>[1]April!B69-[1]March!B69</f>
        <v>57</v>
      </c>
      <c r="C69" s="15">
        <f>[1]April!C69-[1]March!C69</f>
        <v>-7</v>
      </c>
      <c r="D69" s="15">
        <f>[1]April!D69-[1]March!D69</f>
        <v>15</v>
      </c>
      <c r="E69" s="15">
        <f>[1]April!E69-[1]March!E69</f>
        <v>6</v>
      </c>
      <c r="F69" s="15">
        <f>[1]April!F69-[1]March!F69</f>
        <v>71</v>
      </c>
    </row>
    <row r="70" spans="1:6" x14ac:dyDescent="0.25">
      <c r="A70" s="8" t="s">
        <v>165</v>
      </c>
      <c r="B70" s="15">
        <f>[1]April!B70-[1]March!B70</f>
        <v>18</v>
      </c>
      <c r="C70" s="15">
        <f>[1]April!C70-[1]March!C70</f>
        <v>-2</v>
      </c>
      <c r="D70" s="15">
        <f>[1]April!D70-[1]March!D70</f>
        <v>7</v>
      </c>
      <c r="E70" s="15">
        <f>[1]April!E70-[1]March!E70</f>
        <v>-19</v>
      </c>
      <c r="F70" s="15">
        <f>[1]April!F70-[1]March!F70</f>
        <v>4</v>
      </c>
    </row>
    <row r="71" spans="1:6" ht="15.75" thickBot="1" x14ac:dyDescent="0.3">
      <c r="A71" s="8" t="s">
        <v>166</v>
      </c>
      <c r="B71" s="15">
        <f>[1]April!B71-[1]March!B71</f>
        <v>-18</v>
      </c>
      <c r="C71" s="15">
        <f>[1]April!C71-[1]March!C71</f>
        <v>-11</v>
      </c>
      <c r="D71" s="15">
        <f>[1]April!D71-[1]March!D71</f>
        <v>-1</v>
      </c>
      <c r="E71" s="15">
        <f>[1]April!E71-[1]March!E71</f>
        <v>-5</v>
      </c>
      <c r="F71" s="15">
        <f>[1]April!F71-[1]March!F71</f>
        <v>-35</v>
      </c>
    </row>
    <row r="72" spans="1:6" ht="16.5" thickTop="1" thickBot="1" x14ac:dyDescent="0.3">
      <c r="A72" s="2" t="s">
        <v>0</v>
      </c>
      <c r="B72" s="6">
        <f>SUM(B5:B71)</f>
        <v>-57314</v>
      </c>
      <c r="C72" s="6">
        <f>SUM(C5:C71)</f>
        <v>-95517</v>
      </c>
      <c r="D72" s="6">
        <f>SUM(D5:D71)</f>
        <v>-3186</v>
      </c>
      <c r="E72" s="6">
        <f>SUM(E5:E71)</f>
        <v>-106703</v>
      </c>
      <c r="F72" s="6">
        <f>SUM(F5:F71)</f>
        <v>-262720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3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84</v>
      </c>
      <c r="B1" s="27"/>
      <c r="C1" s="27"/>
      <c r="D1" s="27"/>
      <c r="E1" s="27"/>
      <c r="F1" s="28"/>
    </row>
    <row r="2" spans="1:6" x14ac:dyDescent="0.25">
      <c r="A2" s="20" t="s">
        <v>185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[1]May!B5-[1]April!B5</f>
        <v>-179</v>
      </c>
      <c r="C5" s="15">
        <f>[1]May!C5-[1]April!C5</f>
        <v>-432</v>
      </c>
      <c r="D5" s="15">
        <f>[1]May!D5-[1]April!D5</f>
        <v>2</v>
      </c>
      <c r="E5" s="15">
        <f>[1]May!E5-[1]April!E5</f>
        <v>-346</v>
      </c>
      <c r="F5" s="15">
        <f>[1]May!F5-[1]April!F5</f>
        <v>-955</v>
      </c>
    </row>
    <row r="6" spans="1:6" x14ac:dyDescent="0.25">
      <c r="A6" s="8" t="s">
        <v>101</v>
      </c>
      <c r="B6" s="15">
        <f>[1]May!B6-[1]April!B6</f>
        <v>-485</v>
      </c>
      <c r="C6" s="15">
        <f>[1]May!C6-[1]April!C6</f>
        <v>-426</v>
      </c>
      <c r="D6" s="15">
        <f>[1]May!D6-[1]April!D6</f>
        <v>-15</v>
      </c>
      <c r="E6" s="15">
        <f>[1]May!E6-[1]April!E6</f>
        <v>-339</v>
      </c>
      <c r="F6" s="15">
        <f>[1]May!F6-[1]April!F6</f>
        <v>-1265</v>
      </c>
    </row>
    <row r="7" spans="1:6" x14ac:dyDescent="0.25">
      <c r="A7" s="8" t="s">
        <v>102</v>
      </c>
      <c r="B7" s="15">
        <f>[1]May!B7-[1]April!B7</f>
        <v>336</v>
      </c>
      <c r="C7" s="15">
        <f>[1]May!C7-[1]April!C7</f>
        <v>63</v>
      </c>
      <c r="D7" s="15">
        <f>[1]May!D7-[1]April!D7</f>
        <v>87</v>
      </c>
      <c r="E7" s="15">
        <f>[1]May!E7-[1]April!E7</f>
        <v>54</v>
      </c>
      <c r="F7" s="15">
        <f>[1]May!F7-[1]April!F7</f>
        <v>540</v>
      </c>
    </row>
    <row r="8" spans="1:6" x14ac:dyDescent="0.25">
      <c r="A8" s="8" t="s">
        <v>103</v>
      </c>
      <c r="B8" s="15">
        <f>[1]May!B8-[1]April!B8</f>
        <v>15</v>
      </c>
      <c r="C8" s="15">
        <f>[1]May!C8-[1]April!C8</f>
        <v>-10</v>
      </c>
      <c r="D8" s="15">
        <f>[1]May!D8-[1]April!D8</f>
        <v>7</v>
      </c>
      <c r="E8" s="15">
        <f>[1]May!E8-[1]April!E8</f>
        <v>-11</v>
      </c>
      <c r="F8" s="15">
        <f>[1]May!F8-[1]April!F8</f>
        <v>1</v>
      </c>
    </row>
    <row r="9" spans="1:6" x14ac:dyDescent="0.25">
      <c r="A9" s="8" t="s">
        <v>104</v>
      </c>
      <c r="B9" s="15">
        <f>[1]May!B9-[1]April!B9</f>
        <v>624</v>
      </c>
      <c r="C9" s="15">
        <f>[1]May!C9-[1]April!C9</f>
        <v>183</v>
      </c>
      <c r="D9" s="15">
        <f>[1]May!D9-[1]April!D9</f>
        <v>215</v>
      </c>
      <c r="E9" s="15">
        <f>[1]May!E9-[1]April!E9</f>
        <v>464</v>
      </c>
      <c r="F9" s="15">
        <f>[1]May!F9-[1]April!F9</f>
        <v>1486</v>
      </c>
    </row>
    <row r="10" spans="1:6" x14ac:dyDescent="0.25">
      <c r="A10" s="8" t="s">
        <v>105</v>
      </c>
      <c r="B10" s="15">
        <f>[1]May!B10-[1]April!B10</f>
        <v>442</v>
      </c>
      <c r="C10" s="15">
        <f>[1]May!C10-[1]April!C10</f>
        <v>60</v>
      </c>
      <c r="D10" s="15">
        <f>[1]May!D10-[1]April!D10</f>
        <v>285</v>
      </c>
      <c r="E10" s="15">
        <f>[1]May!E10-[1]April!E10</f>
        <v>1361</v>
      </c>
      <c r="F10" s="15">
        <f>[1]May!F10-[1]April!F10</f>
        <v>2148</v>
      </c>
    </row>
    <row r="11" spans="1:6" x14ac:dyDescent="0.25">
      <c r="A11" s="8" t="s">
        <v>106</v>
      </c>
      <c r="B11" s="15">
        <f>[1]May!B11-[1]April!B11</f>
        <v>10</v>
      </c>
      <c r="C11" s="15">
        <f>[1]May!C11-[1]April!C11</f>
        <v>2</v>
      </c>
      <c r="D11" s="15">
        <f>[1]May!D11-[1]April!D11</f>
        <v>1</v>
      </c>
      <c r="E11" s="15">
        <f>[1]May!E11-[1]April!E11</f>
        <v>8</v>
      </c>
      <c r="F11" s="15">
        <f>[1]May!F11-[1]April!F11</f>
        <v>21</v>
      </c>
    </row>
    <row r="12" spans="1:6" x14ac:dyDescent="0.25">
      <c r="A12" s="8" t="s">
        <v>107</v>
      </c>
      <c r="B12" s="15">
        <f>[1]May!B12-[1]April!B12</f>
        <v>447</v>
      </c>
      <c r="C12" s="15">
        <f>[1]May!C12-[1]April!C12</f>
        <v>85</v>
      </c>
      <c r="D12" s="15">
        <f>[1]May!D12-[1]April!D12</f>
        <v>88</v>
      </c>
      <c r="E12" s="15">
        <f>[1]May!E12-[1]April!E12</f>
        <v>149</v>
      </c>
      <c r="F12" s="15">
        <f>[1]May!F12-[1]April!F12</f>
        <v>769</v>
      </c>
    </row>
    <row r="13" spans="1:6" x14ac:dyDescent="0.25">
      <c r="A13" s="8" t="s">
        <v>108</v>
      </c>
      <c r="B13" s="15">
        <f>[1]May!B13-[1]April!B13</f>
        <v>254</v>
      </c>
      <c r="C13" s="15">
        <f>[1]May!C13-[1]April!C13</f>
        <v>45</v>
      </c>
      <c r="D13" s="15">
        <f>[1]May!D13-[1]April!D13</f>
        <v>73</v>
      </c>
      <c r="E13" s="15">
        <f>[1]May!E13-[1]April!E13</f>
        <v>54</v>
      </c>
      <c r="F13" s="15">
        <f>[1]May!F13-[1]April!F13</f>
        <v>426</v>
      </c>
    </row>
    <row r="14" spans="1:6" x14ac:dyDescent="0.25">
      <c r="A14" s="8" t="s">
        <v>109</v>
      </c>
      <c r="B14" s="15">
        <f>[1]May!B14-[1]April!B14</f>
        <v>-19</v>
      </c>
      <c r="C14" s="15">
        <f>[1]May!C14-[1]April!C14</f>
        <v>-16</v>
      </c>
      <c r="D14" s="15">
        <f>[1]May!D14-[1]April!D14</f>
        <v>53</v>
      </c>
      <c r="E14" s="15">
        <f>[1]May!E14-[1]April!E14</f>
        <v>-109</v>
      </c>
      <c r="F14" s="15">
        <f>[1]May!F14-[1]April!F14</f>
        <v>-91</v>
      </c>
    </row>
    <row r="15" spans="1:6" x14ac:dyDescent="0.25">
      <c r="A15" s="8" t="s">
        <v>110</v>
      </c>
      <c r="B15" s="15">
        <f>[1]May!B15-[1]April!B15</f>
        <v>381</v>
      </c>
      <c r="C15" s="15">
        <f>[1]May!C15-[1]April!C15</f>
        <v>88</v>
      </c>
      <c r="D15" s="15">
        <f>[1]May!D15-[1]April!D15</f>
        <v>104</v>
      </c>
      <c r="E15" s="15">
        <f>[1]May!E15-[1]April!E15</f>
        <v>87</v>
      </c>
      <c r="F15" s="15">
        <f>[1]May!F15-[1]April!F15</f>
        <v>660</v>
      </c>
    </row>
    <row r="16" spans="1:6" x14ac:dyDescent="0.25">
      <c r="A16" s="8" t="s">
        <v>111</v>
      </c>
      <c r="B16" s="15">
        <f>[1]May!B16-[1]April!B16</f>
        <v>-1336</v>
      </c>
      <c r="C16" s="15">
        <f>[1]May!C16-[1]April!C16</f>
        <v>-975</v>
      </c>
      <c r="D16" s="15">
        <f>[1]May!D16-[1]April!D16</f>
        <v>-88</v>
      </c>
      <c r="E16" s="15">
        <f>[1]May!E16-[1]April!E16</f>
        <v>-1162</v>
      </c>
      <c r="F16" s="15">
        <f>[1]May!F16-[1]April!F16</f>
        <v>-3561</v>
      </c>
    </row>
    <row r="17" spans="1:6" x14ac:dyDescent="0.25">
      <c r="A17" s="8" t="s">
        <v>112</v>
      </c>
      <c r="B17" s="15">
        <f>[1]May!B17-[1]April!B17</f>
        <v>-1365</v>
      </c>
      <c r="C17" s="15">
        <f>[1]May!C17-[1]April!C17</f>
        <v>-1569</v>
      </c>
      <c r="D17" s="15">
        <f>[1]May!D17-[1]April!D17</f>
        <v>-43</v>
      </c>
      <c r="E17" s="15">
        <f>[1]May!E17-[1]April!E17</f>
        <v>-1684</v>
      </c>
      <c r="F17" s="15">
        <f>[1]May!F17-[1]April!F17</f>
        <v>-4661</v>
      </c>
    </row>
    <row r="18" spans="1:6" x14ac:dyDescent="0.25">
      <c r="A18" s="8" t="s">
        <v>113</v>
      </c>
      <c r="B18" s="15">
        <f>[1]May!B18-[1]April!B18</f>
        <v>30</v>
      </c>
      <c r="C18" s="15">
        <f>[1]May!C18-[1]April!C18</f>
        <v>-10</v>
      </c>
      <c r="D18" s="15">
        <f>[1]May!D18-[1]April!D18</f>
        <v>3</v>
      </c>
      <c r="E18" s="15">
        <f>[1]May!E18-[1]April!E18</f>
        <v>-2</v>
      </c>
      <c r="F18" s="15">
        <f>[1]May!F18-[1]April!F18</f>
        <v>21</v>
      </c>
    </row>
    <row r="19" spans="1:6" x14ac:dyDescent="0.25">
      <c r="A19" s="8" t="s">
        <v>114</v>
      </c>
      <c r="B19" s="15">
        <f>[1]May!B19-[1]April!B19</f>
        <v>188</v>
      </c>
      <c r="C19" s="15">
        <f>[1]May!C19-[1]April!C19</f>
        <v>50</v>
      </c>
      <c r="D19" s="15">
        <f>[1]May!D19-[1]April!D19</f>
        <v>266</v>
      </c>
      <c r="E19" s="15">
        <f>[1]May!E19-[1]April!E19</f>
        <v>139</v>
      </c>
      <c r="F19" s="15">
        <f>[1]May!F19-[1]April!F19</f>
        <v>643</v>
      </c>
    </row>
    <row r="20" spans="1:6" x14ac:dyDescent="0.25">
      <c r="A20" s="8" t="s">
        <v>115</v>
      </c>
      <c r="B20" s="15">
        <f>[1]May!B20-[1]April!B20</f>
        <v>264</v>
      </c>
      <c r="C20" s="15">
        <f>[1]May!C20-[1]April!C20</f>
        <v>178</v>
      </c>
      <c r="D20" s="15">
        <f>[1]May!D20-[1]April!D20</f>
        <v>104</v>
      </c>
      <c r="E20" s="15">
        <f>[1]May!E20-[1]April!E20</f>
        <v>119</v>
      </c>
      <c r="F20" s="15">
        <f>[1]May!F20-[1]April!F20</f>
        <v>665</v>
      </c>
    </row>
    <row r="21" spans="1:6" x14ac:dyDescent="0.25">
      <c r="A21" s="8" t="s">
        <v>116</v>
      </c>
      <c r="B21" s="15">
        <f>[1]May!B21-[1]April!B21</f>
        <v>-255</v>
      </c>
      <c r="C21" s="15">
        <f>[1]May!C21-[1]April!C21</f>
        <v>-135</v>
      </c>
      <c r="D21" s="15">
        <f>[1]May!D21-[1]April!D21</f>
        <v>12</v>
      </c>
      <c r="E21" s="15">
        <f>[1]May!E21-[1]April!E21</f>
        <v>-140</v>
      </c>
      <c r="F21" s="15">
        <f>[1]May!F21-[1]April!F21</f>
        <v>-518</v>
      </c>
    </row>
    <row r="22" spans="1:6" x14ac:dyDescent="0.25">
      <c r="A22" s="8" t="s">
        <v>117</v>
      </c>
      <c r="B22" s="15">
        <f>[1]May!B22-[1]April!B22</f>
        <v>16</v>
      </c>
      <c r="C22" s="15">
        <f>[1]May!C22-[1]April!C22</f>
        <v>2</v>
      </c>
      <c r="D22" s="15">
        <f>[1]May!D22-[1]April!D22</f>
        <v>6</v>
      </c>
      <c r="E22" s="15">
        <f>[1]May!E22-[1]April!E22</f>
        <v>3</v>
      </c>
      <c r="F22" s="15">
        <f>[1]May!F22-[1]April!F22</f>
        <v>27</v>
      </c>
    </row>
    <row r="23" spans="1:6" x14ac:dyDescent="0.25">
      <c r="A23" s="8" t="s">
        <v>118</v>
      </c>
      <c r="B23" s="15">
        <f>[1]May!B23-[1]April!B23</f>
        <v>19</v>
      </c>
      <c r="C23" s="15">
        <f>[1]May!C23-[1]April!C23</f>
        <v>36</v>
      </c>
      <c r="D23" s="15">
        <f>[1]May!D23-[1]April!D23</f>
        <v>6</v>
      </c>
      <c r="E23" s="15">
        <f>[1]May!E23-[1]April!E23</f>
        <v>19</v>
      </c>
      <c r="F23" s="15">
        <f>[1]May!F23-[1]April!F23</f>
        <v>80</v>
      </c>
    </row>
    <row r="24" spans="1:6" x14ac:dyDescent="0.25">
      <c r="A24" s="8" t="s">
        <v>119</v>
      </c>
      <c r="B24" s="15">
        <f>[1]May!B24-[1]April!B24</f>
        <v>24</v>
      </c>
      <c r="C24" s="15">
        <f>[1]May!C24-[1]April!C24</f>
        <v>3</v>
      </c>
      <c r="D24" s="15">
        <f>[1]May!D24-[1]April!D24</f>
        <v>15</v>
      </c>
      <c r="E24" s="15">
        <f>[1]May!E24-[1]April!E24</f>
        <v>1</v>
      </c>
      <c r="F24" s="15">
        <f>[1]May!F24-[1]April!F24</f>
        <v>43</v>
      </c>
    </row>
    <row r="25" spans="1:6" x14ac:dyDescent="0.25">
      <c r="A25" s="8" t="s">
        <v>120</v>
      </c>
      <c r="B25" s="15">
        <f>[1]May!B25-[1]April!B25</f>
        <v>6</v>
      </c>
      <c r="C25" s="15">
        <f>[1]May!C25-[1]April!C25</f>
        <v>-1</v>
      </c>
      <c r="D25" s="15">
        <f>[1]May!D25-[1]April!D25</f>
        <v>3</v>
      </c>
      <c r="E25" s="15">
        <f>[1]May!E25-[1]April!E25</f>
        <v>1</v>
      </c>
      <c r="F25" s="15">
        <f>[1]May!F25-[1]April!F25</f>
        <v>9</v>
      </c>
    </row>
    <row r="26" spans="1:6" x14ac:dyDescent="0.25">
      <c r="A26" s="8" t="s">
        <v>121</v>
      </c>
      <c r="B26" s="15">
        <f>[1]May!B26-[1]April!B26</f>
        <v>36</v>
      </c>
      <c r="C26" s="15">
        <f>[1]May!C26-[1]April!C26</f>
        <v>-2</v>
      </c>
      <c r="D26" s="15">
        <f>[1]May!D26-[1]April!D26</f>
        <v>9</v>
      </c>
      <c r="E26" s="15">
        <f>[1]May!E26-[1]April!E26</f>
        <v>6</v>
      </c>
      <c r="F26" s="15">
        <f>[1]May!F26-[1]April!F26</f>
        <v>49</v>
      </c>
    </row>
    <row r="27" spans="1:6" x14ac:dyDescent="0.25">
      <c r="A27" s="8" t="s">
        <v>122</v>
      </c>
      <c r="B27" s="15">
        <f>[1]May!B27-[1]April!B27</f>
        <v>13</v>
      </c>
      <c r="C27" s="15">
        <f>[1]May!C27-[1]April!C27</f>
        <v>14</v>
      </c>
      <c r="D27" s="15">
        <f>[1]May!D27-[1]April!D27</f>
        <v>2</v>
      </c>
      <c r="E27" s="15">
        <f>[1]May!E27-[1]April!E27</f>
        <v>5</v>
      </c>
      <c r="F27" s="15">
        <f>[1]May!F27-[1]April!F27</f>
        <v>34</v>
      </c>
    </row>
    <row r="28" spans="1:6" x14ac:dyDescent="0.25">
      <c r="A28" s="8" t="s">
        <v>123</v>
      </c>
      <c r="B28" s="15">
        <f>[1]May!B28-[1]April!B28</f>
        <v>-207</v>
      </c>
      <c r="C28" s="15">
        <f>[1]May!C28-[1]April!C28</f>
        <v>-242</v>
      </c>
      <c r="D28" s="15">
        <f>[1]May!D28-[1]April!D28</f>
        <v>4</v>
      </c>
      <c r="E28" s="15">
        <f>[1]May!E28-[1]April!E28</f>
        <v>-202</v>
      </c>
      <c r="F28" s="15">
        <f>[1]May!F28-[1]April!F28</f>
        <v>-647</v>
      </c>
    </row>
    <row r="29" spans="1:6" x14ac:dyDescent="0.25">
      <c r="A29" s="8" t="s">
        <v>124</v>
      </c>
      <c r="B29" s="15">
        <f>[1]May!B29-[1]April!B29</f>
        <v>29</v>
      </c>
      <c r="C29" s="15">
        <f>[1]May!C29-[1]April!C29</f>
        <v>49</v>
      </c>
      <c r="D29" s="15">
        <f>[1]May!D29-[1]April!D29</f>
        <v>20</v>
      </c>
      <c r="E29" s="15">
        <f>[1]May!E29-[1]April!E29</f>
        <v>28</v>
      </c>
      <c r="F29" s="15">
        <f>[1]May!F29-[1]April!F29</f>
        <v>126</v>
      </c>
    </row>
    <row r="30" spans="1:6" x14ac:dyDescent="0.25">
      <c r="A30" s="8" t="s">
        <v>125</v>
      </c>
      <c r="B30" s="15">
        <f>[1]May!B30-[1]April!B30</f>
        <v>-84</v>
      </c>
      <c r="C30" s="15">
        <f>[1]May!C30-[1]April!C30</f>
        <v>-93</v>
      </c>
      <c r="D30" s="15">
        <f>[1]May!D30-[1]April!D30</f>
        <v>31</v>
      </c>
      <c r="E30" s="15">
        <f>[1]May!E30-[1]April!E30</f>
        <v>-26</v>
      </c>
      <c r="F30" s="15">
        <f>[1]May!F30-[1]April!F30</f>
        <v>-172</v>
      </c>
    </row>
    <row r="31" spans="1:6" x14ac:dyDescent="0.25">
      <c r="A31" s="8" t="s">
        <v>126</v>
      </c>
      <c r="B31" s="15">
        <f>[1]May!B31-[1]April!B31</f>
        <v>-1176</v>
      </c>
      <c r="C31" s="15">
        <f>[1]May!C31-[1]April!C31</f>
        <v>-1248</v>
      </c>
      <c r="D31" s="15">
        <f>[1]May!D31-[1]April!D31</f>
        <v>-56</v>
      </c>
      <c r="E31" s="15">
        <f>[1]May!E31-[1]April!E31</f>
        <v>-1641</v>
      </c>
      <c r="F31" s="15">
        <f>[1]May!F31-[1]April!F31</f>
        <v>-4121</v>
      </c>
    </row>
    <row r="32" spans="1:6" x14ac:dyDescent="0.25">
      <c r="A32" s="8" t="s">
        <v>127</v>
      </c>
      <c r="B32" s="15">
        <f>[1]May!B32-[1]April!B32</f>
        <v>1208</v>
      </c>
      <c r="C32" s="15">
        <f>[1]May!C32-[1]April!C32</f>
        <v>1605</v>
      </c>
      <c r="D32" s="15">
        <f>[1]May!D32-[1]April!D32</f>
        <v>496</v>
      </c>
      <c r="E32" s="15">
        <f>[1]May!E32-[1]April!E32</f>
        <v>1711</v>
      </c>
      <c r="F32" s="15">
        <f>[1]May!F32-[1]April!F32</f>
        <v>5020</v>
      </c>
    </row>
    <row r="33" spans="1:6" x14ac:dyDescent="0.25">
      <c r="A33" s="8" t="s">
        <v>128</v>
      </c>
      <c r="B33" s="15">
        <f>[1]May!B33-[1]April!B33</f>
        <v>18</v>
      </c>
      <c r="C33" s="15">
        <f>[1]May!C33-[1]April!C33</f>
        <v>-4</v>
      </c>
      <c r="D33" s="15">
        <f>[1]May!D33-[1]April!D33</f>
        <v>2</v>
      </c>
      <c r="E33" s="15">
        <f>[1]May!E33-[1]April!E33</f>
        <v>14</v>
      </c>
      <c r="F33" s="15">
        <f>[1]May!F33-[1]April!F33</f>
        <v>30</v>
      </c>
    </row>
    <row r="34" spans="1:6" x14ac:dyDescent="0.25">
      <c r="A34" s="8" t="s">
        <v>129</v>
      </c>
      <c r="B34" s="15">
        <f>[1]May!B34-[1]April!B34</f>
        <v>273</v>
      </c>
      <c r="C34" s="15">
        <f>[1]May!C34-[1]April!C34</f>
        <v>127</v>
      </c>
      <c r="D34" s="15">
        <f>[1]May!D34-[1]April!D34</f>
        <v>60</v>
      </c>
      <c r="E34" s="15">
        <f>[1]May!E34-[1]April!E34</f>
        <v>155</v>
      </c>
      <c r="F34" s="15">
        <f>[1]May!F34-[1]April!F34</f>
        <v>615</v>
      </c>
    </row>
    <row r="35" spans="1:6" x14ac:dyDescent="0.25">
      <c r="A35" s="8" t="s">
        <v>130</v>
      </c>
      <c r="B35" s="15">
        <f>[1]May!B35-[1]April!B35</f>
        <v>31</v>
      </c>
      <c r="C35" s="15">
        <f>[1]May!C35-[1]April!C35</f>
        <v>9</v>
      </c>
      <c r="D35" s="15">
        <f>[1]May!D35-[1]April!D35</f>
        <v>14</v>
      </c>
      <c r="E35" s="15">
        <f>[1]May!E35-[1]April!E35</f>
        <v>12</v>
      </c>
      <c r="F35" s="15">
        <f>[1]May!F35-[1]April!F35</f>
        <v>66</v>
      </c>
    </row>
    <row r="36" spans="1:6" x14ac:dyDescent="0.25">
      <c r="A36" s="8" t="s">
        <v>131</v>
      </c>
      <c r="B36" s="15">
        <f>[1]May!B36-[1]April!B36</f>
        <v>14</v>
      </c>
      <c r="C36" s="15">
        <f>[1]May!C36-[1]April!C36</f>
        <v>-1</v>
      </c>
      <c r="D36" s="15">
        <f>[1]May!D36-[1]April!D36</f>
        <v>2</v>
      </c>
      <c r="E36" s="15">
        <f>[1]May!E36-[1]April!E36</f>
        <v>4</v>
      </c>
      <c r="F36" s="15">
        <f>[1]May!F36-[1]April!F36</f>
        <v>19</v>
      </c>
    </row>
    <row r="37" spans="1:6" x14ac:dyDescent="0.25">
      <c r="A37" s="8" t="s">
        <v>132</v>
      </c>
      <c r="B37" s="15">
        <f>[1]May!B37-[1]April!B37</f>
        <v>3</v>
      </c>
      <c r="C37" s="15">
        <f>[1]May!C37-[1]April!C37</f>
        <v>0</v>
      </c>
      <c r="D37" s="15">
        <f>[1]May!D37-[1]April!D37</f>
        <v>-1</v>
      </c>
      <c r="E37" s="15">
        <f>[1]May!E37-[1]April!E37</f>
        <v>1</v>
      </c>
      <c r="F37" s="15">
        <f>[1]May!F37-[1]April!F37</f>
        <v>3</v>
      </c>
    </row>
    <row r="38" spans="1:6" x14ac:dyDescent="0.25">
      <c r="A38" s="8" t="s">
        <v>133</v>
      </c>
      <c r="B38" s="15">
        <f>[1]May!B38-[1]April!B38</f>
        <v>588</v>
      </c>
      <c r="C38" s="15">
        <f>[1]May!C38-[1]April!C38</f>
        <v>271</v>
      </c>
      <c r="D38" s="15">
        <f>[1]May!D38-[1]April!D38</f>
        <v>145</v>
      </c>
      <c r="E38" s="15">
        <f>[1]May!E38-[1]April!E38</f>
        <v>325</v>
      </c>
      <c r="F38" s="15">
        <f>[1]May!F38-[1]April!F38</f>
        <v>1329</v>
      </c>
    </row>
    <row r="39" spans="1:6" x14ac:dyDescent="0.25">
      <c r="A39" s="8" t="s">
        <v>134</v>
      </c>
      <c r="B39" s="15">
        <f>[1]May!B39-[1]April!B39</f>
        <v>-1488</v>
      </c>
      <c r="C39" s="15">
        <f>[1]May!C39-[1]April!C39</f>
        <v>-823</v>
      </c>
      <c r="D39" s="15">
        <f>[1]May!D39-[1]April!D39</f>
        <v>75</v>
      </c>
      <c r="E39" s="15">
        <f>[1]May!E39-[1]April!E39</f>
        <v>-906</v>
      </c>
      <c r="F39" s="15">
        <f>[1]May!F39-[1]April!F39</f>
        <v>-3142</v>
      </c>
    </row>
    <row r="40" spans="1:6" x14ac:dyDescent="0.25">
      <c r="A40" s="8" t="s">
        <v>135</v>
      </c>
      <c r="B40" s="15">
        <f>[1]May!B40-[1]April!B40</f>
        <v>4</v>
      </c>
      <c r="C40" s="15">
        <f>[1]May!C40-[1]April!C40</f>
        <v>-40</v>
      </c>
      <c r="D40" s="15">
        <f>[1]May!D40-[1]April!D40</f>
        <v>40</v>
      </c>
      <c r="E40" s="15">
        <f>[1]May!E40-[1]April!E40</f>
        <v>109</v>
      </c>
      <c r="F40" s="15">
        <f>[1]May!F40-[1]April!F40</f>
        <v>113</v>
      </c>
    </row>
    <row r="41" spans="1:6" x14ac:dyDescent="0.25">
      <c r="A41" s="8" t="s">
        <v>136</v>
      </c>
      <c r="B41" s="15">
        <f>[1]May!B41-[1]April!B41</f>
        <v>106</v>
      </c>
      <c r="C41" s="15">
        <f>[1]May!C41-[1]April!C41</f>
        <v>10</v>
      </c>
      <c r="D41" s="15">
        <f>[1]May!D41-[1]April!D41</f>
        <v>21</v>
      </c>
      <c r="E41" s="15">
        <f>[1]May!E41-[1]April!E41</f>
        <v>19</v>
      </c>
      <c r="F41" s="15">
        <f>[1]May!F41-[1]April!F41</f>
        <v>156</v>
      </c>
    </row>
    <row r="42" spans="1:6" x14ac:dyDescent="0.25">
      <c r="A42" s="8" t="s">
        <v>137</v>
      </c>
      <c r="B42" s="15">
        <f>[1]May!B42-[1]April!B42</f>
        <v>-3</v>
      </c>
      <c r="C42" s="15">
        <f>[1]May!C42-[1]April!C42</f>
        <v>-6</v>
      </c>
      <c r="D42" s="15">
        <f>[1]May!D42-[1]April!D42</f>
        <v>0</v>
      </c>
      <c r="E42" s="15">
        <f>[1]May!E42-[1]April!E42</f>
        <v>2</v>
      </c>
      <c r="F42" s="15">
        <f>[1]May!F42-[1]April!F42</f>
        <v>-7</v>
      </c>
    </row>
    <row r="43" spans="1:6" x14ac:dyDescent="0.25">
      <c r="A43" s="8" t="s">
        <v>138</v>
      </c>
      <c r="B43" s="15">
        <f>[1]May!B43-[1]April!B43</f>
        <v>6</v>
      </c>
      <c r="C43" s="15">
        <f>[1]May!C43-[1]April!C43</f>
        <v>5</v>
      </c>
      <c r="D43" s="15">
        <f>[1]May!D43-[1]April!D43</f>
        <v>-1</v>
      </c>
      <c r="E43" s="15">
        <f>[1]May!E43-[1]April!E43</f>
        <v>6</v>
      </c>
      <c r="F43" s="15">
        <f>[1]May!F43-[1]April!F43</f>
        <v>16</v>
      </c>
    </row>
    <row r="44" spans="1:6" x14ac:dyDescent="0.25">
      <c r="A44" s="8" t="s">
        <v>139</v>
      </c>
      <c r="B44" s="15">
        <f>[1]May!B44-[1]April!B44</f>
        <v>529</v>
      </c>
      <c r="C44" s="15">
        <f>[1]May!C44-[1]April!C44</f>
        <v>186</v>
      </c>
      <c r="D44" s="15">
        <f>[1]May!D44-[1]April!D44</f>
        <v>121</v>
      </c>
      <c r="E44" s="15">
        <f>[1]May!E44-[1]April!E44</f>
        <v>396</v>
      </c>
      <c r="F44" s="15">
        <f>[1]May!F44-[1]April!F44</f>
        <v>1232</v>
      </c>
    </row>
    <row r="45" spans="1:6" x14ac:dyDescent="0.25">
      <c r="A45" s="8" t="s">
        <v>140</v>
      </c>
      <c r="B45" s="15">
        <f>[1]May!B45-[1]April!B45</f>
        <v>-6106</v>
      </c>
      <c r="C45" s="15">
        <f>[1]May!C45-[1]April!C45</f>
        <v>-6197</v>
      </c>
      <c r="D45" s="15">
        <f>[1]May!D45-[1]April!D45</f>
        <v>-287</v>
      </c>
      <c r="E45" s="15">
        <f>[1]May!E45-[1]April!E45</f>
        <v>-7140</v>
      </c>
      <c r="F45" s="15">
        <f>[1]May!F45-[1]April!F45</f>
        <v>-19730</v>
      </c>
    </row>
    <row r="46" spans="1:6" x14ac:dyDescent="0.25">
      <c r="A46" s="8" t="s">
        <v>141</v>
      </c>
      <c r="B46" s="15">
        <f>[1]May!B46-[1]April!B46</f>
        <v>-130</v>
      </c>
      <c r="C46" s="15">
        <f>[1]May!C46-[1]April!C46</f>
        <v>-145</v>
      </c>
      <c r="D46" s="15">
        <f>[1]May!D46-[1]April!D46</f>
        <v>28</v>
      </c>
      <c r="E46" s="15">
        <f>[1]May!E46-[1]April!E46</f>
        <v>-106</v>
      </c>
      <c r="F46" s="15">
        <f>[1]May!F46-[1]April!F46</f>
        <v>-353</v>
      </c>
    </row>
    <row r="47" spans="1:6" x14ac:dyDescent="0.25">
      <c r="A47" s="8" t="s">
        <v>142</v>
      </c>
      <c r="B47" s="15">
        <f>[1]May!B47-[1]April!B47</f>
        <v>-47103</v>
      </c>
      <c r="C47" s="15">
        <f>[1]May!C47-[1]April!C47</f>
        <v>-99287</v>
      </c>
      <c r="D47" s="15">
        <f>[1]May!D47-[1]April!D47</f>
        <v>-3218</v>
      </c>
      <c r="E47" s="15">
        <f>[1]May!E47-[1]April!E47</f>
        <v>-104227</v>
      </c>
      <c r="F47" s="15">
        <f>[1]May!F47-[1]April!F47</f>
        <v>-253835</v>
      </c>
    </row>
    <row r="48" spans="1:6" x14ac:dyDescent="0.25">
      <c r="A48" s="8" t="s">
        <v>143</v>
      </c>
      <c r="B48" s="15">
        <f>[1]May!B48-[1]April!B48</f>
        <v>-54</v>
      </c>
      <c r="C48" s="15">
        <f>[1]May!C48-[1]April!C48</f>
        <v>-121</v>
      </c>
      <c r="D48" s="15">
        <f>[1]May!D48-[1]April!D48</f>
        <v>16</v>
      </c>
      <c r="E48" s="15">
        <f>[1]May!E48-[1]April!E48</f>
        <v>-109</v>
      </c>
      <c r="F48" s="15">
        <f>[1]May!F48-[1]April!F48</f>
        <v>-268</v>
      </c>
    </row>
    <row r="49" spans="1:6" x14ac:dyDescent="0.25">
      <c r="A49" s="8" t="s">
        <v>144</v>
      </c>
      <c r="B49" s="15">
        <f>[1]May!B49-[1]April!B49</f>
        <v>-167</v>
      </c>
      <c r="C49" s="15">
        <f>[1]May!C49-[1]April!C49</f>
        <v>-82</v>
      </c>
      <c r="D49" s="15">
        <f>[1]May!D49-[1]April!D49</f>
        <v>3</v>
      </c>
      <c r="E49" s="15">
        <f>[1]May!E49-[1]April!E49</f>
        <v>-154</v>
      </c>
      <c r="F49" s="15">
        <f>[1]May!F49-[1]April!F49</f>
        <v>-400</v>
      </c>
    </row>
    <row r="50" spans="1:6" x14ac:dyDescent="0.25">
      <c r="A50" s="8" t="s">
        <v>145</v>
      </c>
      <c r="B50" s="15">
        <f>[1]May!B50-[1]April!B50</f>
        <v>-4634</v>
      </c>
      <c r="C50" s="15">
        <f>[1]May!C50-[1]April!C50</f>
        <v>-2197</v>
      </c>
      <c r="D50" s="15">
        <f>[1]May!D50-[1]April!D50</f>
        <v>-331</v>
      </c>
      <c r="E50" s="15">
        <f>[1]May!E50-[1]April!E50</f>
        <v>-4352</v>
      </c>
      <c r="F50" s="15">
        <f>[1]May!F50-[1]April!F50</f>
        <v>-11514</v>
      </c>
    </row>
    <row r="51" spans="1:6" x14ac:dyDescent="0.25">
      <c r="A51" s="8" t="s">
        <v>146</v>
      </c>
      <c r="B51" s="15">
        <f>[1]May!B51-[1]April!B51</f>
        <v>44</v>
      </c>
      <c r="C51" s="15">
        <f>[1]May!C51-[1]April!C51</f>
        <v>-2</v>
      </c>
      <c r="D51" s="15">
        <f>[1]May!D51-[1]April!D51</f>
        <v>11</v>
      </c>
      <c r="E51" s="15">
        <f>[1]May!E51-[1]April!E51</f>
        <v>7</v>
      </c>
      <c r="F51" s="15">
        <f>[1]May!F51-[1]April!F51</f>
        <v>60</v>
      </c>
    </row>
    <row r="52" spans="1:6" x14ac:dyDescent="0.25">
      <c r="A52" s="8" t="s">
        <v>147</v>
      </c>
      <c r="B52" s="15">
        <f>[1]May!B52-[1]April!B52</f>
        <v>713</v>
      </c>
      <c r="C52" s="15">
        <f>[1]May!C52-[1]April!C52</f>
        <v>833</v>
      </c>
      <c r="D52" s="15">
        <f>[1]May!D52-[1]April!D52</f>
        <v>401</v>
      </c>
      <c r="E52" s="15">
        <f>[1]May!E52-[1]April!E52</f>
        <v>907</v>
      </c>
      <c r="F52" s="15">
        <f>[1]May!F52-[1]April!F52</f>
        <v>2854</v>
      </c>
    </row>
    <row r="53" spans="1:6" x14ac:dyDescent="0.25">
      <c r="A53" s="8" t="s">
        <v>148</v>
      </c>
      <c r="B53" s="15">
        <f>[1]May!B53-[1]April!B53</f>
        <v>-3451</v>
      </c>
      <c r="C53" s="15">
        <f>[1]May!C53-[1]April!C53</f>
        <v>-9531</v>
      </c>
      <c r="D53" s="15">
        <f>[1]May!D53-[1]April!D53</f>
        <v>-215</v>
      </c>
      <c r="E53" s="15">
        <f>[1]May!E53-[1]April!E53</f>
        <v>-14246</v>
      </c>
      <c r="F53" s="15">
        <f>[1]May!F53-[1]April!F53</f>
        <v>-27443</v>
      </c>
    </row>
    <row r="54" spans="1:6" x14ac:dyDescent="0.25">
      <c r="A54" s="8" t="s">
        <v>149</v>
      </c>
      <c r="B54" s="15">
        <f>[1]May!B54-[1]April!B54</f>
        <v>755</v>
      </c>
      <c r="C54" s="15">
        <f>[1]May!C54-[1]April!C54</f>
        <v>-184</v>
      </c>
      <c r="D54" s="15">
        <f>[1]May!D54-[1]April!D54</f>
        <v>400</v>
      </c>
      <c r="E54" s="15">
        <f>[1]May!E54-[1]April!E54</f>
        <v>601</v>
      </c>
      <c r="F54" s="15">
        <f>[1]May!F54-[1]April!F54</f>
        <v>1572</v>
      </c>
    </row>
    <row r="55" spans="1:6" x14ac:dyDescent="0.25">
      <c r="A55" s="8" t="s">
        <v>150</v>
      </c>
      <c r="B55" s="15">
        <f>[1]May!B55-[1]April!B55</f>
        <v>865</v>
      </c>
      <c r="C55" s="15">
        <f>[1]May!C55-[1]April!C55</f>
        <v>462</v>
      </c>
      <c r="D55" s="15">
        <f>[1]May!D55-[1]April!D55</f>
        <v>284</v>
      </c>
      <c r="E55" s="15">
        <f>[1]May!E55-[1]April!E55</f>
        <v>752</v>
      </c>
      <c r="F55" s="15">
        <f>[1]May!F55-[1]April!F55</f>
        <v>2363</v>
      </c>
    </row>
    <row r="56" spans="1:6" x14ac:dyDescent="0.25">
      <c r="A56" s="8" t="s">
        <v>151</v>
      </c>
      <c r="B56" s="15">
        <f>[1]May!B56-[1]April!B56</f>
        <v>813</v>
      </c>
      <c r="C56" s="15">
        <f>[1]May!C56-[1]April!C56</f>
        <v>428</v>
      </c>
      <c r="D56" s="15">
        <f>[1]May!D56-[1]April!D56</f>
        <v>274</v>
      </c>
      <c r="E56" s="15">
        <f>[1]May!E56-[1]April!E56</f>
        <v>855</v>
      </c>
      <c r="F56" s="15">
        <f>[1]May!F56-[1]April!F56</f>
        <v>2370</v>
      </c>
    </row>
    <row r="57" spans="1:6" x14ac:dyDescent="0.25">
      <c r="A57" s="8" t="s">
        <v>152</v>
      </c>
      <c r="B57" s="15">
        <f>[1]May!B57-[1]April!B57</f>
        <v>975</v>
      </c>
      <c r="C57" s="15">
        <f>[1]May!C57-[1]April!C57</f>
        <v>994</v>
      </c>
      <c r="D57" s="15">
        <f>[1]May!D57-[1]April!D57</f>
        <v>355</v>
      </c>
      <c r="E57" s="15">
        <f>[1]May!E57-[1]April!E57</f>
        <v>1159</v>
      </c>
      <c r="F57" s="15">
        <f>[1]May!F57-[1]April!F57</f>
        <v>3483</v>
      </c>
    </row>
    <row r="58" spans="1:6" x14ac:dyDescent="0.25">
      <c r="A58" s="8" t="s">
        <v>153</v>
      </c>
      <c r="B58" s="15">
        <f>[1]May!B58-[1]April!B58</f>
        <v>-70</v>
      </c>
      <c r="C58" s="15">
        <f>[1]May!C58-[1]April!C58</f>
        <v>-72</v>
      </c>
      <c r="D58" s="15">
        <f>[1]May!D58-[1]April!D58</f>
        <v>15</v>
      </c>
      <c r="E58" s="15">
        <f>[1]May!E58-[1]April!E58</f>
        <v>-13</v>
      </c>
      <c r="F58" s="15">
        <f>[1]May!F58-[1]April!F58</f>
        <v>-140</v>
      </c>
    </row>
    <row r="59" spans="1:6" x14ac:dyDescent="0.25">
      <c r="A59" s="8" t="s">
        <v>154</v>
      </c>
      <c r="B59" s="15">
        <f>[1]May!B59-[1]April!B59</f>
        <v>250</v>
      </c>
      <c r="C59" s="15">
        <f>[1]May!C59-[1]April!C59</f>
        <v>7</v>
      </c>
      <c r="D59" s="15">
        <f>[1]May!D59-[1]April!D59</f>
        <v>79</v>
      </c>
      <c r="E59" s="15">
        <f>[1]May!E59-[1]April!E59</f>
        <v>81</v>
      </c>
      <c r="F59" s="15">
        <f>[1]May!F59-[1]April!F59</f>
        <v>417</v>
      </c>
    </row>
    <row r="60" spans="1:6" x14ac:dyDescent="0.25">
      <c r="A60" s="8" t="s">
        <v>155</v>
      </c>
      <c r="B60" s="15">
        <f>[1]May!B60-[1]April!B60</f>
        <v>366</v>
      </c>
      <c r="C60" s="15">
        <f>[1]May!C60-[1]April!C60</f>
        <v>-63</v>
      </c>
      <c r="D60" s="15">
        <f>[1]May!D60-[1]April!D60</f>
        <v>147</v>
      </c>
      <c r="E60" s="15">
        <f>[1]May!E60-[1]April!E60</f>
        <v>-2</v>
      </c>
      <c r="F60" s="15">
        <f>[1]May!F60-[1]April!F60</f>
        <v>448</v>
      </c>
    </row>
    <row r="61" spans="1:6" x14ac:dyDescent="0.25">
      <c r="A61" s="8" t="s">
        <v>156</v>
      </c>
      <c r="B61" s="15">
        <f>[1]May!B61-[1]April!B61</f>
        <v>196</v>
      </c>
      <c r="C61" s="15">
        <f>[1]May!C61-[1]April!C61</f>
        <v>164</v>
      </c>
      <c r="D61" s="15">
        <f>[1]May!D61-[1]April!D61</f>
        <v>151</v>
      </c>
      <c r="E61" s="15">
        <f>[1]May!E61-[1]April!E61</f>
        <v>45</v>
      </c>
      <c r="F61" s="15">
        <f>[1]May!F61-[1]April!F61</f>
        <v>556</v>
      </c>
    </row>
    <row r="62" spans="1:6" x14ac:dyDescent="0.25">
      <c r="A62" s="8" t="s">
        <v>157</v>
      </c>
      <c r="B62" s="15">
        <f>[1]May!B62-[1]April!B62</f>
        <v>448</v>
      </c>
      <c r="C62" s="15">
        <f>[1]May!C62-[1]April!C62</f>
        <v>138</v>
      </c>
      <c r="D62" s="15">
        <f>[1]May!D62-[1]April!D62</f>
        <v>122</v>
      </c>
      <c r="E62" s="15">
        <f>[1]May!E62-[1]April!E62</f>
        <v>243</v>
      </c>
      <c r="F62" s="15">
        <f>[1]May!F62-[1]April!F62</f>
        <v>951</v>
      </c>
    </row>
    <row r="63" spans="1:6" x14ac:dyDescent="0.25">
      <c r="A63" s="8" t="s">
        <v>158</v>
      </c>
      <c r="B63" s="15">
        <f>[1]May!B63-[1]April!B63</f>
        <v>-214</v>
      </c>
      <c r="C63" s="15">
        <f>[1]May!C63-[1]April!C63</f>
        <v>-502</v>
      </c>
      <c r="D63" s="15">
        <f>[1]May!D63-[1]April!D63</f>
        <v>88</v>
      </c>
      <c r="E63" s="15">
        <f>[1]May!E63-[1]April!E63</f>
        <v>-394</v>
      </c>
      <c r="F63" s="15">
        <f>[1]May!F63-[1]April!F63</f>
        <v>-1022</v>
      </c>
    </row>
    <row r="64" spans="1:6" x14ac:dyDescent="0.25">
      <c r="A64" s="8" t="s">
        <v>159</v>
      </c>
      <c r="B64" s="15">
        <f>[1]May!B64-[1]April!B64</f>
        <v>427</v>
      </c>
      <c r="C64" s="15">
        <f>[1]May!C64-[1]April!C64</f>
        <v>36</v>
      </c>
      <c r="D64" s="15">
        <f>[1]May!D64-[1]April!D64</f>
        <v>51</v>
      </c>
      <c r="E64" s="15">
        <f>[1]May!E64-[1]April!E64</f>
        <v>133</v>
      </c>
      <c r="F64" s="15">
        <f>[1]May!F64-[1]April!F64</f>
        <v>647</v>
      </c>
    </row>
    <row r="65" spans="1:6" x14ac:dyDescent="0.25">
      <c r="A65" s="8" t="s">
        <v>160</v>
      </c>
      <c r="B65" s="15">
        <f>[1]May!B65-[1]April!B65</f>
        <v>51</v>
      </c>
      <c r="C65" s="15">
        <f>[1]May!C65-[1]April!C65</f>
        <v>6</v>
      </c>
      <c r="D65" s="15">
        <f>[1]May!D65-[1]April!D65</f>
        <v>18</v>
      </c>
      <c r="E65" s="15">
        <f>[1]May!E65-[1]April!E65</f>
        <v>12</v>
      </c>
      <c r="F65" s="15">
        <f>[1]May!F65-[1]April!F65</f>
        <v>87</v>
      </c>
    </row>
    <row r="66" spans="1:6" x14ac:dyDescent="0.25">
      <c r="A66" s="8" t="s">
        <v>161</v>
      </c>
      <c r="B66" s="15">
        <f>[1]May!B66-[1]April!B66</f>
        <v>15</v>
      </c>
      <c r="C66" s="15">
        <f>[1]May!C66-[1]April!C66</f>
        <v>-6</v>
      </c>
      <c r="D66" s="15">
        <f>[1]May!D66-[1]April!D66</f>
        <v>4</v>
      </c>
      <c r="E66" s="15">
        <f>[1]May!E66-[1]April!E66</f>
        <v>4</v>
      </c>
      <c r="F66" s="15">
        <f>[1]May!F66-[1]April!F66</f>
        <v>17</v>
      </c>
    </row>
    <row r="67" spans="1:6" x14ac:dyDescent="0.25">
      <c r="A67" s="8" t="s">
        <v>162</v>
      </c>
      <c r="B67" s="15">
        <f>[1]May!B67-[1]April!B67</f>
        <v>-1</v>
      </c>
      <c r="C67" s="15">
        <f>[1]May!C67-[1]April!C67</f>
        <v>3</v>
      </c>
      <c r="D67" s="15">
        <f>[1]May!D67-[1]April!D67</f>
        <v>-1</v>
      </c>
      <c r="E67" s="15">
        <f>[1]May!E67-[1]April!E67</f>
        <v>7</v>
      </c>
      <c r="F67" s="15">
        <f>[1]May!F67-[1]April!F67</f>
        <v>8</v>
      </c>
    </row>
    <row r="68" spans="1:6" x14ac:dyDescent="0.25">
      <c r="A68" s="8" t="s">
        <v>163</v>
      </c>
      <c r="B68" s="15">
        <f>[1]May!B68-[1]April!B68</f>
        <v>414</v>
      </c>
      <c r="C68" s="15">
        <f>[1]May!C68-[1]April!C68</f>
        <v>146</v>
      </c>
      <c r="D68" s="15">
        <f>[1]May!D68-[1]April!D68</f>
        <v>259</v>
      </c>
      <c r="E68" s="15">
        <f>[1]May!E68-[1]April!E68</f>
        <v>321</v>
      </c>
      <c r="F68" s="15">
        <f>[1]May!F68-[1]April!F68</f>
        <v>1140</v>
      </c>
    </row>
    <row r="69" spans="1:6" x14ac:dyDescent="0.25">
      <c r="A69" s="8" t="s">
        <v>164</v>
      </c>
      <c r="B69" s="15">
        <f>[1]May!B69-[1]April!B69</f>
        <v>41</v>
      </c>
      <c r="C69" s="15">
        <f>[1]May!C69-[1]April!C69</f>
        <v>-6</v>
      </c>
      <c r="D69" s="15">
        <f>[1]May!D69-[1]April!D69</f>
        <v>13</v>
      </c>
      <c r="E69" s="15">
        <f>[1]May!E69-[1]April!E69</f>
        <v>-7</v>
      </c>
      <c r="F69" s="15">
        <f>[1]May!F69-[1]April!F69</f>
        <v>41</v>
      </c>
    </row>
    <row r="70" spans="1:6" x14ac:dyDescent="0.25">
      <c r="A70" s="8" t="s">
        <v>165</v>
      </c>
      <c r="B70" s="15">
        <f>[1]May!B70-[1]April!B70</f>
        <v>-211</v>
      </c>
      <c r="C70" s="15">
        <f>[1]May!C70-[1]April!C70</f>
        <v>-76</v>
      </c>
      <c r="D70" s="15">
        <f>[1]May!D70-[1]April!D70</f>
        <v>0</v>
      </c>
      <c r="E70" s="15">
        <f>[1]May!E70-[1]April!E70</f>
        <v>-143</v>
      </c>
      <c r="F70" s="15">
        <f>[1]May!F70-[1]April!F70</f>
        <v>-430</v>
      </c>
    </row>
    <row r="71" spans="1:6" ht="15.75" thickBot="1" x14ac:dyDescent="0.3">
      <c r="A71" s="8" t="s">
        <v>166</v>
      </c>
      <c r="B71" s="15">
        <f>[1]May!B71-[1]April!B71</f>
        <v>11</v>
      </c>
      <c r="C71" s="15">
        <f>[1]May!C71-[1]April!C71</f>
        <v>3</v>
      </c>
      <c r="D71" s="15">
        <f>[1]May!D71-[1]April!D71</f>
        <v>6</v>
      </c>
      <c r="E71" s="15">
        <f>[1]May!E71-[1]April!E71</f>
        <v>3</v>
      </c>
      <c r="F71" s="15">
        <f>[1]May!F71-[1]April!F71</f>
        <v>23</v>
      </c>
    </row>
    <row r="72" spans="1:6" ht="16.5" thickTop="1" thickBot="1" x14ac:dyDescent="0.3">
      <c r="A72" s="2" t="s">
        <v>0</v>
      </c>
      <c r="B72" s="6">
        <f>SUM(B5:B71)</f>
        <v>-56440</v>
      </c>
      <c r="C72" s="6">
        <f>SUM(C5:C71)</f>
        <v>-118213</v>
      </c>
      <c r="D72" s="6">
        <f>SUM(D5:D71)</f>
        <v>841</v>
      </c>
      <c r="E72" s="6">
        <f>SUM(E5:E71)</f>
        <v>-127079</v>
      </c>
      <c r="F72" s="6">
        <f>SUM(F5:F71)</f>
        <v>-300891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3"/>
  <sheetViews>
    <sheetView workbookViewId="0">
      <selection activeCell="M23" sqref="M23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85</v>
      </c>
      <c r="B1" s="27"/>
      <c r="C1" s="27"/>
      <c r="D1" s="27"/>
      <c r="E1" s="27"/>
      <c r="F1" s="28"/>
    </row>
    <row r="2" spans="1:6" x14ac:dyDescent="0.25">
      <c r="A2" s="20" t="s">
        <v>186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[1]June!B5-[1]May!B5</f>
        <v>122</v>
      </c>
      <c r="C5" s="15">
        <f>[1]June!C5-[1]May!C5</f>
        <v>132</v>
      </c>
      <c r="D5" s="15">
        <f>[1]June!D5-[1]May!D5</f>
        <v>60</v>
      </c>
      <c r="E5" s="15">
        <f>[1]June!E5-[1]May!E5</f>
        <v>101</v>
      </c>
      <c r="F5" s="15">
        <f>[1]June!F5-[1]May!F5</f>
        <v>415</v>
      </c>
    </row>
    <row r="6" spans="1:6" x14ac:dyDescent="0.25">
      <c r="A6" s="8" t="s">
        <v>101</v>
      </c>
      <c r="B6" s="15">
        <f>[1]June!B6-[1]May!B6</f>
        <v>-255</v>
      </c>
      <c r="C6" s="15">
        <f>[1]June!C6-[1]May!C6</f>
        <v>-206</v>
      </c>
      <c r="D6" s="15">
        <f>[1]June!D6-[1]May!D6</f>
        <v>-7</v>
      </c>
      <c r="E6" s="15">
        <f>[1]June!E6-[1]May!E6</f>
        <v>-196</v>
      </c>
      <c r="F6" s="15">
        <f>[1]June!F6-[1]May!F6</f>
        <v>-664</v>
      </c>
    </row>
    <row r="7" spans="1:6" x14ac:dyDescent="0.25">
      <c r="A7" s="8" t="s">
        <v>102</v>
      </c>
      <c r="B7" s="15">
        <f>[1]June!B7-[1]May!B7</f>
        <v>-223</v>
      </c>
      <c r="C7" s="15">
        <f>[1]June!C7-[1]May!C7</f>
        <v>-110</v>
      </c>
      <c r="D7" s="15">
        <f>[1]June!D7-[1]May!D7</f>
        <v>34</v>
      </c>
      <c r="E7" s="15">
        <f>[1]June!E7-[1]May!E7</f>
        <v>-172</v>
      </c>
      <c r="F7" s="15">
        <f>[1]June!F7-[1]May!F7</f>
        <v>-471</v>
      </c>
    </row>
    <row r="8" spans="1:6" x14ac:dyDescent="0.25">
      <c r="A8" s="8" t="s">
        <v>103</v>
      </c>
      <c r="B8" s="15">
        <f>[1]June!B8-[1]May!B8</f>
        <v>22</v>
      </c>
      <c r="C8" s="15">
        <f>[1]June!C8-[1]May!C8</f>
        <v>-2</v>
      </c>
      <c r="D8" s="15">
        <f>[1]June!D8-[1]May!D8</f>
        <v>4</v>
      </c>
      <c r="E8" s="15">
        <f>[1]June!E8-[1]May!E8</f>
        <v>3</v>
      </c>
      <c r="F8" s="15">
        <f>[1]June!F8-[1]May!F8</f>
        <v>27</v>
      </c>
    </row>
    <row r="9" spans="1:6" x14ac:dyDescent="0.25">
      <c r="A9" s="8" t="s">
        <v>104</v>
      </c>
      <c r="B9" s="15">
        <f>[1]June!B9-[1]May!B9</f>
        <v>376</v>
      </c>
      <c r="C9" s="15">
        <f>[1]June!C9-[1]May!C9</f>
        <v>28</v>
      </c>
      <c r="D9" s="15">
        <f>[1]June!D9-[1]May!D9</f>
        <v>169</v>
      </c>
      <c r="E9" s="15">
        <f>[1]June!E9-[1]May!E9</f>
        <v>354</v>
      </c>
      <c r="F9" s="15">
        <f>[1]June!F9-[1]May!F9</f>
        <v>927</v>
      </c>
    </row>
    <row r="10" spans="1:6" x14ac:dyDescent="0.25">
      <c r="A10" s="8" t="s">
        <v>105</v>
      </c>
      <c r="B10" s="15">
        <f>[1]June!B10-[1]May!B10</f>
        <v>370</v>
      </c>
      <c r="C10" s="15">
        <f>[1]June!C10-[1]May!C10</f>
        <v>167</v>
      </c>
      <c r="D10" s="15">
        <f>[1]June!D10-[1]May!D10</f>
        <v>243</v>
      </c>
      <c r="E10" s="15">
        <f>[1]June!E10-[1]May!E10</f>
        <v>973</v>
      </c>
      <c r="F10" s="15">
        <f>[1]June!F10-[1]May!F10</f>
        <v>1753</v>
      </c>
    </row>
    <row r="11" spans="1:6" x14ac:dyDescent="0.25">
      <c r="A11" s="8" t="s">
        <v>106</v>
      </c>
      <c r="B11" s="15">
        <f>[1]June!B11-[1]May!B11</f>
        <v>4</v>
      </c>
      <c r="C11" s="15">
        <f>[1]June!C11-[1]May!C11</f>
        <v>-6</v>
      </c>
      <c r="D11" s="15">
        <f>[1]June!D11-[1]May!D11</f>
        <v>-1</v>
      </c>
      <c r="E11" s="15">
        <f>[1]June!E11-[1]May!E11</f>
        <v>7</v>
      </c>
      <c r="F11" s="15">
        <f>[1]June!F11-[1]May!F11</f>
        <v>4</v>
      </c>
    </row>
    <row r="12" spans="1:6" x14ac:dyDescent="0.25">
      <c r="A12" s="8" t="s">
        <v>107</v>
      </c>
      <c r="B12" s="15">
        <f>[1]June!B12-[1]May!B12</f>
        <v>422</v>
      </c>
      <c r="C12" s="15">
        <f>[1]June!C12-[1]May!C12</f>
        <v>47</v>
      </c>
      <c r="D12" s="15">
        <f>[1]June!D12-[1]May!D12</f>
        <v>95</v>
      </c>
      <c r="E12" s="15">
        <f>[1]June!E12-[1]May!E12</f>
        <v>123</v>
      </c>
      <c r="F12" s="15">
        <f>[1]June!F12-[1]May!F12</f>
        <v>687</v>
      </c>
    </row>
    <row r="13" spans="1:6" x14ac:dyDescent="0.25">
      <c r="A13" s="8" t="s">
        <v>108</v>
      </c>
      <c r="B13" s="15">
        <f>[1]June!B13-[1]May!B13</f>
        <v>247</v>
      </c>
      <c r="C13" s="15">
        <f>[1]June!C13-[1]May!C13</f>
        <v>30</v>
      </c>
      <c r="D13" s="15">
        <f>[1]June!D13-[1]May!D13</f>
        <v>60</v>
      </c>
      <c r="E13" s="15">
        <f>[1]June!E13-[1]May!E13</f>
        <v>74</v>
      </c>
      <c r="F13" s="15">
        <f>[1]June!F13-[1]May!F13</f>
        <v>411</v>
      </c>
    </row>
    <row r="14" spans="1:6" x14ac:dyDescent="0.25">
      <c r="A14" s="8" t="s">
        <v>109</v>
      </c>
      <c r="B14" s="15">
        <f>[1]June!B14-[1]May!B14</f>
        <v>-106</v>
      </c>
      <c r="C14" s="15">
        <f>[1]June!C14-[1]May!C14</f>
        <v>-112</v>
      </c>
      <c r="D14" s="15">
        <f>[1]June!D14-[1]May!D14</f>
        <v>45</v>
      </c>
      <c r="E14" s="15">
        <f>[1]June!E14-[1]May!E14</f>
        <v>-149</v>
      </c>
      <c r="F14" s="15">
        <f>[1]June!F14-[1]May!F14</f>
        <v>-322</v>
      </c>
    </row>
    <row r="15" spans="1:6" x14ac:dyDescent="0.25">
      <c r="A15" s="8" t="s">
        <v>110</v>
      </c>
      <c r="B15" s="15">
        <f>[1]June!B15-[1]May!B15</f>
        <v>375</v>
      </c>
      <c r="C15" s="15">
        <f>[1]June!C15-[1]May!C15</f>
        <v>78</v>
      </c>
      <c r="D15" s="15">
        <f>[1]June!D15-[1]May!D15</f>
        <v>108</v>
      </c>
      <c r="E15" s="15">
        <f>[1]June!E15-[1]May!E15</f>
        <v>86</v>
      </c>
      <c r="F15" s="15">
        <f>[1]June!F15-[1]May!F15</f>
        <v>647</v>
      </c>
    </row>
    <row r="16" spans="1:6" x14ac:dyDescent="0.25">
      <c r="A16" s="8" t="s">
        <v>111</v>
      </c>
      <c r="B16" s="15">
        <f>[1]June!B16-[1]May!B16</f>
        <v>71</v>
      </c>
      <c r="C16" s="15">
        <f>[1]June!C16-[1]May!C16</f>
        <v>-12</v>
      </c>
      <c r="D16" s="15">
        <f>[1]June!D16-[1]May!D16</f>
        <v>21</v>
      </c>
      <c r="E16" s="15">
        <f>[1]June!E16-[1]May!E16</f>
        <v>31</v>
      </c>
      <c r="F16" s="15">
        <f>[1]June!F16-[1]May!F16</f>
        <v>111</v>
      </c>
    </row>
    <row r="17" spans="1:6" x14ac:dyDescent="0.25">
      <c r="A17" s="8" t="s">
        <v>112</v>
      </c>
      <c r="B17" s="15">
        <f>[1]June!B17-[1]May!B17</f>
        <v>2</v>
      </c>
      <c r="C17" s="15">
        <f>[1]June!C17-[1]May!C17</f>
        <v>-1</v>
      </c>
      <c r="D17" s="15">
        <f>[1]June!D17-[1]May!D17</f>
        <v>3</v>
      </c>
      <c r="E17" s="15">
        <f>[1]June!E17-[1]May!E17</f>
        <v>1</v>
      </c>
      <c r="F17" s="15">
        <f>[1]June!F17-[1]May!F17</f>
        <v>5</v>
      </c>
    </row>
    <row r="18" spans="1:6" x14ac:dyDescent="0.25">
      <c r="A18" s="8" t="s">
        <v>113</v>
      </c>
      <c r="B18" s="15">
        <f>[1]June!B18-[1]May!B18</f>
        <v>2</v>
      </c>
      <c r="C18" s="15">
        <f>[1]June!C18-[1]May!C18</f>
        <v>-8</v>
      </c>
      <c r="D18" s="15">
        <f>[1]June!D18-[1]May!D18</f>
        <v>1</v>
      </c>
      <c r="E18" s="15">
        <f>[1]June!E18-[1]May!E18</f>
        <v>6</v>
      </c>
      <c r="F18" s="15">
        <f>[1]June!F18-[1]May!F18</f>
        <v>1</v>
      </c>
    </row>
    <row r="19" spans="1:6" x14ac:dyDescent="0.25">
      <c r="A19" s="8" t="s">
        <v>114</v>
      </c>
      <c r="B19" s="15">
        <f>[1]June!B19-[1]May!B19</f>
        <v>-147</v>
      </c>
      <c r="C19" s="15">
        <f>[1]June!C19-[1]May!C19</f>
        <v>-86</v>
      </c>
      <c r="D19" s="15">
        <f>[1]June!D19-[1]May!D19</f>
        <v>185</v>
      </c>
      <c r="E19" s="15">
        <f>[1]June!E19-[1]May!E19</f>
        <v>-102</v>
      </c>
      <c r="F19" s="15">
        <f>[1]June!F19-[1]May!F19</f>
        <v>-150</v>
      </c>
    </row>
    <row r="20" spans="1:6" x14ac:dyDescent="0.25">
      <c r="A20" s="8" t="s">
        <v>115</v>
      </c>
      <c r="B20" s="15">
        <f>[1]June!B20-[1]May!B20</f>
        <v>231</v>
      </c>
      <c r="C20" s="15">
        <f>[1]June!C20-[1]May!C20</f>
        <v>120</v>
      </c>
      <c r="D20" s="15">
        <f>[1]June!D20-[1]May!D20</f>
        <v>103</v>
      </c>
      <c r="E20" s="15">
        <f>[1]June!E20-[1]May!E20</f>
        <v>124</v>
      </c>
      <c r="F20" s="15">
        <f>[1]June!F20-[1]May!F20</f>
        <v>578</v>
      </c>
    </row>
    <row r="21" spans="1:6" x14ac:dyDescent="0.25">
      <c r="A21" s="8" t="s">
        <v>116</v>
      </c>
      <c r="B21" s="15">
        <f>[1]June!B21-[1]May!B21</f>
        <v>125</v>
      </c>
      <c r="C21" s="15">
        <f>[1]June!C21-[1]May!C21</f>
        <v>-59</v>
      </c>
      <c r="D21" s="15">
        <f>[1]June!D21-[1]May!D21</f>
        <v>51</v>
      </c>
      <c r="E21" s="15">
        <f>[1]June!E21-[1]May!E21</f>
        <v>-104</v>
      </c>
      <c r="F21" s="15">
        <f>[1]June!F21-[1]May!F21</f>
        <v>13</v>
      </c>
    </row>
    <row r="22" spans="1:6" x14ac:dyDescent="0.25">
      <c r="A22" s="8" t="s">
        <v>117</v>
      </c>
      <c r="B22" s="15">
        <f>[1]June!B22-[1]May!B22</f>
        <v>10</v>
      </c>
      <c r="C22" s="15">
        <f>[1]June!C22-[1]May!C22</f>
        <v>-11</v>
      </c>
      <c r="D22" s="15">
        <f>[1]June!D22-[1]May!D22</f>
        <v>-1</v>
      </c>
      <c r="E22" s="15">
        <f>[1]June!E22-[1]May!E22</f>
        <v>-3</v>
      </c>
      <c r="F22" s="15">
        <f>[1]June!F22-[1]May!F22</f>
        <v>-5</v>
      </c>
    </row>
    <row r="23" spans="1:6" x14ac:dyDescent="0.25">
      <c r="A23" s="8" t="s">
        <v>118</v>
      </c>
      <c r="B23" s="15">
        <f>[1]June!B23-[1]May!B23</f>
        <v>5</v>
      </c>
      <c r="C23" s="15">
        <f>[1]June!C23-[1]May!C23</f>
        <v>-11</v>
      </c>
      <c r="D23" s="15">
        <f>[1]June!D23-[1]May!D23</f>
        <v>8</v>
      </c>
      <c r="E23" s="15">
        <f>[1]June!E23-[1]May!E23</f>
        <v>3</v>
      </c>
      <c r="F23" s="15">
        <f>[1]June!F23-[1]May!F23</f>
        <v>5</v>
      </c>
    </row>
    <row r="24" spans="1:6" x14ac:dyDescent="0.25">
      <c r="A24" s="8" t="s">
        <v>119</v>
      </c>
      <c r="B24" s="15">
        <f>[1]June!B24-[1]May!B24</f>
        <v>22</v>
      </c>
      <c r="C24" s="15">
        <f>[1]June!C24-[1]May!C24</f>
        <v>-8</v>
      </c>
      <c r="D24" s="15">
        <f>[1]June!D24-[1]May!D24</f>
        <v>10</v>
      </c>
      <c r="E24" s="15">
        <f>[1]June!E24-[1]May!E24</f>
        <v>-6</v>
      </c>
      <c r="F24" s="15">
        <f>[1]June!F24-[1]May!F24</f>
        <v>18</v>
      </c>
    </row>
    <row r="25" spans="1:6" x14ac:dyDescent="0.25">
      <c r="A25" s="8" t="s">
        <v>120</v>
      </c>
      <c r="B25" s="15">
        <f>[1]June!B25-[1]May!B25</f>
        <v>28</v>
      </c>
      <c r="C25" s="15">
        <f>[1]June!C25-[1]May!C25</f>
        <v>9</v>
      </c>
      <c r="D25" s="15">
        <f>[1]June!D25-[1]May!D25</f>
        <v>4</v>
      </c>
      <c r="E25" s="15">
        <f>[1]June!E25-[1]May!E25</f>
        <v>10</v>
      </c>
      <c r="F25" s="15">
        <f>[1]June!F25-[1]May!F25</f>
        <v>51</v>
      </c>
    </row>
    <row r="26" spans="1:6" x14ac:dyDescent="0.25">
      <c r="A26" s="8" t="s">
        <v>121</v>
      </c>
      <c r="B26" s="15">
        <f>[1]June!B26-[1]May!B26</f>
        <v>29</v>
      </c>
      <c r="C26" s="15">
        <f>[1]June!C26-[1]May!C26</f>
        <v>-5</v>
      </c>
      <c r="D26" s="15">
        <f>[1]June!D26-[1]May!D26</f>
        <v>2</v>
      </c>
      <c r="E26" s="15">
        <f>[1]June!E26-[1]May!E26</f>
        <v>-2</v>
      </c>
      <c r="F26" s="15">
        <f>[1]June!F26-[1]May!F26</f>
        <v>24</v>
      </c>
    </row>
    <row r="27" spans="1:6" x14ac:dyDescent="0.25">
      <c r="A27" s="8" t="s">
        <v>122</v>
      </c>
      <c r="B27" s="15">
        <f>[1]June!B27-[1]May!B27</f>
        <v>3</v>
      </c>
      <c r="C27" s="15">
        <f>[1]June!C27-[1]May!C27</f>
        <v>-4</v>
      </c>
      <c r="D27" s="15">
        <f>[1]June!D27-[1]May!D27</f>
        <v>2</v>
      </c>
      <c r="E27" s="15">
        <f>[1]June!E27-[1]May!E27</f>
        <v>8</v>
      </c>
      <c r="F27" s="15">
        <f>[1]June!F27-[1]May!F27</f>
        <v>9</v>
      </c>
    </row>
    <row r="28" spans="1:6" x14ac:dyDescent="0.25">
      <c r="A28" s="8" t="s">
        <v>123</v>
      </c>
      <c r="B28" s="15">
        <f>[1]June!B28-[1]May!B28</f>
        <v>18</v>
      </c>
      <c r="C28" s="15">
        <f>[1]June!C28-[1]May!C28</f>
        <v>5</v>
      </c>
      <c r="D28" s="15">
        <f>[1]June!D28-[1]May!D28</f>
        <v>5</v>
      </c>
      <c r="E28" s="15">
        <f>[1]June!E28-[1]May!E28</f>
        <v>-1</v>
      </c>
      <c r="F28" s="15">
        <f>[1]June!F28-[1]May!F28</f>
        <v>27</v>
      </c>
    </row>
    <row r="29" spans="1:6" x14ac:dyDescent="0.25">
      <c r="A29" s="8" t="s">
        <v>124</v>
      </c>
      <c r="B29" s="15">
        <f>[1]June!B29-[1]May!B29</f>
        <v>-253</v>
      </c>
      <c r="C29" s="15">
        <f>[1]June!C29-[1]May!C29</f>
        <v>-281</v>
      </c>
      <c r="D29" s="15">
        <f>[1]June!D29-[1]May!D29</f>
        <v>-13</v>
      </c>
      <c r="E29" s="15">
        <f>[1]June!E29-[1]May!E29</f>
        <v>-450</v>
      </c>
      <c r="F29" s="15">
        <f>[1]June!F29-[1]May!F29</f>
        <v>-997</v>
      </c>
    </row>
    <row r="30" spans="1:6" x14ac:dyDescent="0.25">
      <c r="A30" s="8" t="s">
        <v>125</v>
      </c>
      <c r="B30" s="15">
        <f>[1]June!B30-[1]May!B30</f>
        <v>-129</v>
      </c>
      <c r="C30" s="15">
        <f>[1]June!C30-[1]May!C30</f>
        <v>-138</v>
      </c>
      <c r="D30" s="15">
        <f>[1]June!D30-[1]May!D30</f>
        <v>52</v>
      </c>
      <c r="E30" s="15">
        <f>[1]June!E30-[1]May!E30</f>
        <v>-88</v>
      </c>
      <c r="F30" s="15">
        <f>[1]June!F30-[1]May!F30</f>
        <v>-303</v>
      </c>
    </row>
    <row r="31" spans="1:6" x14ac:dyDescent="0.25">
      <c r="A31" s="8" t="s">
        <v>126</v>
      </c>
      <c r="B31" s="15">
        <f>[1]June!B31-[1]May!B31</f>
        <v>96</v>
      </c>
      <c r="C31" s="15">
        <f>[1]June!C31-[1]May!C31</f>
        <v>41</v>
      </c>
      <c r="D31" s="15">
        <f>[1]June!D31-[1]May!D31</f>
        <v>49</v>
      </c>
      <c r="E31" s="15">
        <f>[1]June!E31-[1]May!E31</f>
        <v>48</v>
      </c>
      <c r="F31" s="15">
        <f>[1]June!F31-[1]May!F31</f>
        <v>234</v>
      </c>
    </row>
    <row r="32" spans="1:6" x14ac:dyDescent="0.25">
      <c r="A32" s="8" t="s">
        <v>127</v>
      </c>
      <c r="B32" s="15">
        <f>[1]June!B32-[1]May!B32</f>
        <v>1002</v>
      </c>
      <c r="C32" s="15">
        <f>[1]June!C32-[1]May!C32</f>
        <v>1169</v>
      </c>
      <c r="D32" s="15">
        <f>[1]June!D32-[1]May!D32</f>
        <v>476</v>
      </c>
      <c r="E32" s="15">
        <f>[1]June!E32-[1]May!E32</f>
        <v>1244</v>
      </c>
      <c r="F32" s="15">
        <f>[1]June!F32-[1]May!F32</f>
        <v>3891</v>
      </c>
    </row>
    <row r="33" spans="1:6" x14ac:dyDescent="0.25">
      <c r="A33" s="8" t="s">
        <v>128</v>
      </c>
      <c r="B33" s="15">
        <f>[1]June!B33-[1]May!B33</f>
        <v>41</v>
      </c>
      <c r="C33" s="15">
        <f>[1]June!C33-[1]May!C33</f>
        <v>-3</v>
      </c>
      <c r="D33" s="15">
        <f>[1]June!D33-[1]May!D33</f>
        <v>2</v>
      </c>
      <c r="E33" s="15">
        <f>[1]June!E33-[1]May!E33</f>
        <v>5</v>
      </c>
      <c r="F33" s="15">
        <f>[1]June!F33-[1]May!F33</f>
        <v>45</v>
      </c>
    </row>
    <row r="34" spans="1:6" x14ac:dyDescent="0.25">
      <c r="A34" s="8" t="s">
        <v>129</v>
      </c>
      <c r="B34" s="15">
        <f>[1]June!B34-[1]May!B34</f>
        <v>184</v>
      </c>
      <c r="C34" s="15">
        <f>[1]June!C34-[1]May!C34</f>
        <v>78</v>
      </c>
      <c r="D34" s="15">
        <f>[1]June!D34-[1]May!D34</f>
        <v>61</v>
      </c>
      <c r="E34" s="15">
        <f>[1]June!E34-[1]May!E34</f>
        <v>145</v>
      </c>
      <c r="F34" s="15">
        <f>[1]June!F34-[1]May!F34</f>
        <v>468</v>
      </c>
    </row>
    <row r="35" spans="1:6" x14ac:dyDescent="0.25">
      <c r="A35" s="8" t="s">
        <v>130</v>
      </c>
      <c r="B35" s="15">
        <f>[1]June!B35-[1]May!B35</f>
        <v>55</v>
      </c>
      <c r="C35" s="15">
        <f>[1]June!C35-[1]May!C35</f>
        <v>10</v>
      </c>
      <c r="D35" s="15">
        <f>[1]June!D35-[1]May!D35</f>
        <v>15</v>
      </c>
      <c r="E35" s="15">
        <f>[1]June!E35-[1]May!E35</f>
        <v>14</v>
      </c>
      <c r="F35" s="15">
        <f>[1]June!F35-[1]May!F35</f>
        <v>94</v>
      </c>
    </row>
    <row r="36" spans="1:6" x14ac:dyDescent="0.25">
      <c r="A36" s="8" t="s">
        <v>131</v>
      </c>
      <c r="B36" s="15">
        <f>[1]June!B36-[1]May!B36</f>
        <v>3</v>
      </c>
      <c r="C36" s="15">
        <f>[1]June!C36-[1]May!C36</f>
        <v>-4</v>
      </c>
      <c r="D36" s="15">
        <f>[1]June!D36-[1]May!D36</f>
        <v>5</v>
      </c>
      <c r="E36" s="15">
        <f>[1]June!E36-[1]May!E36</f>
        <v>5</v>
      </c>
      <c r="F36" s="15">
        <f>[1]June!F36-[1]May!F36</f>
        <v>9</v>
      </c>
    </row>
    <row r="37" spans="1:6" x14ac:dyDescent="0.25">
      <c r="A37" s="8" t="s">
        <v>132</v>
      </c>
      <c r="B37" s="15">
        <f>[1]June!B37-[1]May!B37</f>
        <v>-139</v>
      </c>
      <c r="C37" s="15">
        <f>[1]June!C37-[1]May!C37</f>
        <v>-79</v>
      </c>
      <c r="D37" s="15">
        <f>[1]June!D37-[1]May!D37</f>
        <v>-5</v>
      </c>
      <c r="E37" s="15">
        <f>[1]June!E37-[1]May!E37</f>
        <v>-50</v>
      </c>
      <c r="F37" s="15">
        <f>[1]June!F37-[1]May!F37</f>
        <v>-273</v>
      </c>
    </row>
    <row r="38" spans="1:6" x14ac:dyDescent="0.25">
      <c r="A38" s="8" t="s">
        <v>133</v>
      </c>
      <c r="B38" s="15">
        <f>[1]June!B38-[1]May!B38</f>
        <v>-5489</v>
      </c>
      <c r="C38" s="15">
        <f>[1]June!C38-[1]May!C38</f>
        <v>-4066</v>
      </c>
      <c r="D38" s="15">
        <f>[1]June!D38-[1]May!D38</f>
        <v>-418</v>
      </c>
      <c r="E38" s="15">
        <f>[1]June!E38-[1]May!E38</f>
        <v>-6727</v>
      </c>
      <c r="F38" s="15">
        <f>[1]June!F38-[1]May!F38</f>
        <v>-16700</v>
      </c>
    </row>
    <row r="39" spans="1:6" x14ac:dyDescent="0.25">
      <c r="A39" s="8" t="s">
        <v>134</v>
      </c>
      <c r="B39" s="15">
        <f>[1]June!B39-[1]May!B39</f>
        <v>725</v>
      </c>
      <c r="C39" s="15">
        <f>[1]June!C39-[1]May!C39</f>
        <v>209</v>
      </c>
      <c r="D39" s="15">
        <f>[1]June!D39-[1]May!D39</f>
        <v>214</v>
      </c>
      <c r="E39" s="15">
        <f>[1]June!E39-[1]May!E39</f>
        <v>323</v>
      </c>
      <c r="F39" s="15">
        <f>[1]June!F39-[1]May!F39</f>
        <v>1471</v>
      </c>
    </row>
    <row r="40" spans="1:6" x14ac:dyDescent="0.25">
      <c r="A40" s="8" t="s">
        <v>135</v>
      </c>
      <c r="B40" s="15">
        <f>[1]June!B40-[1]May!B40</f>
        <v>-3544</v>
      </c>
      <c r="C40" s="15">
        <f>[1]June!C40-[1]May!C40</f>
        <v>-10546</v>
      </c>
      <c r="D40" s="15">
        <f>[1]June!D40-[1]May!D40</f>
        <v>-375</v>
      </c>
      <c r="E40" s="15">
        <f>[1]June!E40-[1]May!E40</f>
        <v>-6652</v>
      </c>
      <c r="F40" s="15">
        <f>[1]June!F40-[1]May!F40</f>
        <v>-21117</v>
      </c>
    </row>
    <row r="41" spans="1:6" x14ac:dyDescent="0.25">
      <c r="A41" s="8" t="s">
        <v>136</v>
      </c>
      <c r="B41" s="15">
        <f>[1]June!B41-[1]May!B41</f>
        <v>56</v>
      </c>
      <c r="C41" s="15">
        <f>[1]June!C41-[1]May!C41</f>
        <v>2</v>
      </c>
      <c r="D41" s="15">
        <f>[1]June!D41-[1]May!D41</f>
        <v>19</v>
      </c>
      <c r="E41" s="15">
        <f>[1]June!E41-[1]May!E41</f>
        <v>31</v>
      </c>
      <c r="F41" s="15">
        <f>[1]June!F41-[1]May!F41</f>
        <v>108</v>
      </c>
    </row>
    <row r="42" spans="1:6" x14ac:dyDescent="0.25">
      <c r="A42" s="8" t="s">
        <v>137</v>
      </c>
      <c r="B42" s="15">
        <f>[1]June!B42-[1]May!B42</f>
        <v>4</v>
      </c>
      <c r="C42" s="15">
        <f>[1]June!C42-[1]May!C42</f>
        <v>-2</v>
      </c>
      <c r="D42" s="15">
        <f>[1]June!D42-[1]May!D42</f>
        <v>1</v>
      </c>
      <c r="E42" s="15">
        <f>[1]June!E42-[1]May!E42</f>
        <v>-3</v>
      </c>
      <c r="F42" s="15">
        <f>[1]June!F42-[1]May!F42</f>
        <v>0</v>
      </c>
    </row>
    <row r="43" spans="1:6" x14ac:dyDescent="0.25">
      <c r="A43" s="8" t="s">
        <v>138</v>
      </c>
      <c r="B43" s="15">
        <f>[1]June!B43-[1]May!B43</f>
        <v>7</v>
      </c>
      <c r="C43" s="15">
        <f>[1]June!C43-[1]May!C43</f>
        <v>4</v>
      </c>
      <c r="D43" s="15">
        <f>[1]June!D43-[1]May!D43</f>
        <v>0</v>
      </c>
      <c r="E43" s="15">
        <f>[1]June!E43-[1]May!E43</f>
        <v>1</v>
      </c>
      <c r="F43" s="15">
        <f>[1]June!F43-[1]May!F43</f>
        <v>12</v>
      </c>
    </row>
    <row r="44" spans="1:6" x14ac:dyDescent="0.25">
      <c r="A44" s="8" t="s">
        <v>139</v>
      </c>
      <c r="B44" s="15">
        <f>[1]June!B44-[1]May!B44</f>
        <v>531</v>
      </c>
      <c r="C44" s="15">
        <f>[1]June!C44-[1]May!C44</f>
        <v>186</v>
      </c>
      <c r="D44" s="15">
        <f>[1]June!D44-[1]May!D44</f>
        <v>139</v>
      </c>
      <c r="E44" s="15">
        <f>[1]June!E44-[1]May!E44</f>
        <v>343</v>
      </c>
      <c r="F44" s="15">
        <f>[1]June!F44-[1]May!F44</f>
        <v>1199</v>
      </c>
    </row>
    <row r="45" spans="1:6" x14ac:dyDescent="0.25">
      <c r="A45" s="8" t="s">
        <v>140</v>
      </c>
      <c r="B45" s="15">
        <f>[1]June!B45-[1]May!B45</f>
        <v>-417</v>
      </c>
      <c r="C45" s="15">
        <f>[1]June!C45-[1]May!C45</f>
        <v>-286</v>
      </c>
      <c r="D45" s="15">
        <f>[1]June!D45-[1]May!D45</f>
        <v>66</v>
      </c>
      <c r="E45" s="15">
        <f>[1]June!E45-[1]May!E45</f>
        <v>-128</v>
      </c>
      <c r="F45" s="15">
        <f>[1]June!F45-[1]May!F45</f>
        <v>-765</v>
      </c>
    </row>
    <row r="46" spans="1:6" x14ac:dyDescent="0.25">
      <c r="A46" s="8" t="s">
        <v>141</v>
      </c>
      <c r="B46" s="15">
        <f>[1]June!B46-[1]May!B46</f>
        <v>148</v>
      </c>
      <c r="C46" s="15">
        <f>[1]June!C46-[1]May!C46</f>
        <v>-22</v>
      </c>
      <c r="D46" s="15">
        <f>[1]June!D46-[1]May!D46</f>
        <v>59</v>
      </c>
      <c r="E46" s="15">
        <f>[1]June!E46-[1]May!E46</f>
        <v>36</v>
      </c>
      <c r="F46" s="15">
        <f>[1]June!F46-[1]May!F46</f>
        <v>221</v>
      </c>
    </row>
    <row r="47" spans="1:6" x14ac:dyDescent="0.25">
      <c r="A47" s="8" t="s">
        <v>142</v>
      </c>
      <c r="B47" s="15">
        <f>[1]June!B47-[1]May!B47</f>
        <v>839</v>
      </c>
      <c r="C47" s="15">
        <f>[1]June!C47-[1]May!C47</f>
        <v>912</v>
      </c>
      <c r="D47" s="15">
        <f>[1]June!D47-[1]May!D47</f>
        <v>457</v>
      </c>
      <c r="E47" s="15">
        <f>[1]June!E47-[1]May!E47</f>
        <v>1564</v>
      </c>
      <c r="F47" s="15">
        <f>[1]June!F47-[1]May!F47</f>
        <v>3772</v>
      </c>
    </row>
    <row r="48" spans="1:6" x14ac:dyDescent="0.25">
      <c r="A48" s="8" t="s">
        <v>143</v>
      </c>
      <c r="B48" s="15">
        <f>[1]June!B48-[1]May!B48</f>
        <v>125</v>
      </c>
      <c r="C48" s="15">
        <f>[1]June!C48-[1]May!C48</f>
        <v>9</v>
      </c>
      <c r="D48" s="15">
        <f>[1]June!D48-[1]May!D48</f>
        <v>24</v>
      </c>
      <c r="E48" s="15">
        <f>[1]June!E48-[1]May!E48</f>
        <v>30</v>
      </c>
      <c r="F48" s="15">
        <f>[1]June!F48-[1]May!F48</f>
        <v>188</v>
      </c>
    </row>
    <row r="49" spans="1:6" x14ac:dyDescent="0.25">
      <c r="A49" s="8" t="s">
        <v>144</v>
      </c>
      <c r="B49" s="15">
        <f>[1]June!B49-[1]May!B49</f>
        <v>-20</v>
      </c>
      <c r="C49" s="15">
        <f>[1]June!C49-[1]May!C49</f>
        <v>12</v>
      </c>
      <c r="D49" s="15">
        <f>[1]June!D49-[1]May!D49</f>
        <v>41</v>
      </c>
      <c r="E49" s="15">
        <f>[1]June!E49-[1]May!E49</f>
        <v>-16</v>
      </c>
      <c r="F49" s="15">
        <f>[1]June!F49-[1]May!F49</f>
        <v>17</v>
      </c>
    </row>
    <row r="50" spans="1:6" x14ac:dyDescent="0.25">
      <c r="A50" s="8" t="s">
        <v>145</v>
      </c>
      <c r="B50" s="15">
        <f>[1]June!B50-[1]May!B50</f>
        <v>227</v>
      </c>
      <c r="C50" s="15">
        <f>[1]June!C50-[1]May!C50</f>
        <v>80</v>
      </c>
      <c r="D50" s="15">
        <f>[1]June!D50-[1]May!D50</f>
        <v>70</v>
      </c>
      <c r="E50" s="15">
        <f>[1]June!E50-[1]May!E50</f>
        <v>145</v>
      </c>
      <c r="F50" s="15">
        <f>[1]June!F50-[1]May!F50</f>
        <v>522</v>
      </c>
    </row>
    <row r="51" spans="1:6" x14ac:dyDescent="0.25">
      <c r="A51" s="8" t="s">
        <v>146</v>
      </c>
      <c r="B51" s="15">
        <f>[1]June!B51-[1]May!B51</f>
        <v>35</v>
      </c>
      <c r="C51" s="15">
        <f>[1]June!C51-[1]May!C51</f>
        <v>13</v>
      </c>
      <c r="D51" s="15">
        <f>[1]June!D51-[1]May!D51</f>
        <v>16</v>
      </c>
      <c r="E51" s="15">
        <f>[1]June!E51-[1]May!E51</f>
        <v>19</v>
      </c>
      <c r="F51" s="15">
        <f>[1]June!F51-[1]May!F51</f>
        <v>83</v>
      </c>
    </row>
    <row r="52" spans="1:6" x14ac:dyDescent="0.25">
      <c r="A52" s="8" t="s">
        <v>147</v>
      </c>
      <c r="B52" s="15">
        <f>[1]June!B52-[1]May!B52</f>
        <v>853</v>
      </c>
      <c r="C52" s="15">
        <f>[1]June!C52-[1]May!C52</f>
        <v>1185</v>
      </c>
      <c r="D52" s="15">
        <f>[1]June!D52-[1]May!D52</f>
        <v>625</v>
      </c>
      <c r="E52" s="15">
        <f>[1]June!E52-[1]May!E52</f>
        <v>911</v>
      </c>
      <c r="F52" s="15">
        <f>[1]June!F52-[1]May!F52</f>
        <v>3574</v>
      </c>
    </row>
    <row r="53" spans="1:6" x14ac:dyDescent="0.25">
      <c r="A53" s="8" t="s">
        <v>148</v>
      </c>
      <c r="B53" s="15">
        <f>[1]June!B53-[1]May!B53</f>
        <v>228</v>
      </c>
      <c r="C53" s="15">
        <f>[1]June!C53-[1]May!C53</f>
        <v>165</v>
      </c>
      <c r="D53" s="15">
        <f>[1]June!D53-[1]May!D53</f>
        <v>152</v>
      </c>
      <c r="E53" s="15">
        <f>[1]June!E53-[1]May!E53</f>
        <v>234</v>
      </c>
      <c r="F53" s="15">
        <f>[1]June!F53-[1]May!F53</f>
        <v>779</v>
      </c>
    </row>
    <row r="54" spans="1:6" x14ac:dyDescent="0.25">
      <c r="A54" s="8" t="s">
        <v>149</v>
      </c>
      <c r="B54" s="15">
        <f>[1]June!B54-[1]May!B54</f>
        <v>816</v>
      </c>
      <c r="C54" s="15">
        <f>[1]June!C54-[1]May!C54</f>
        <v>303</v>
      </c>
      <c r="D54" s="15">
        <f>[1]June!D54-[1]May!D54</f>
        <v>370</v>
      </c>
      <c r="E54" s="15">
        <f>[1]June!E54-[1]May!E54</f>
        <v>673</v>
      </c>
      <c r="F54" s="15">
        <f>[1]June!F54-[1]May!F54</f>
        <v>2162</v>
      </c>
    </row>
    <row r="55" spans="1:6" x14ac:dyDescent="0.25">
      <c r="A55" s="8" t="s">
        <v>150</v>
      </c>
      <c r="B55" s="15">
        <f>[1]June!B55-[1]May!B55</f>
        <v>-45</v>
      </c>
      <c r="C55" s="15">
        <f>[1]June!C55-[1]May!C55</f>
        <v>-305</v>
      </c>
      <c r="D55" s="15">
        <f>[1]June!D55-[1]May!D55</f>
        <v>137</v>
      </c>
      <c r="E55" s="15">
        <f>[1]June!E55-[1]May!E55</f>
        <v>-514</v>
      </c>
      <c r="F55" s="15">
        <f>[1]June!F55-[1]May!F55</f>
        <v>-727</v>
      </c>
    </row>
    <row r="56" spans="1:6" x14ac:dyDescent="0.25">
      <c r="A56" s="8" t="s">
        <v>151</v>
      </c>
      <c r="B56" s="15">
        <f>[1]June!B56-[1]May!B56</f>
        <v>714</v>
      </c>
      <c r="C56" s="15">
        <f>[1]June!C56-[1]May!C56</f>
        <v>393</v>
      </c>
      <c r="D56" s="15">
        <f>[1]June!D56-[1]May!D56</f>
        <v>289</v>
      </c>
      <c r="E56" s="15">
        <f>[1]June!E56-[1]May!E56</f>
        <v>780</v>
      </c>
      <c r="F56" s="15">
        <f>[1]June!F56-[1]May!F56</f>
        <v>2176</v>
      </c>
    </row>
    <row r="57" spans="1:6" x14ac:dyDescent="0.25">
      <c r="A57" s="8" t="s">
        <v>152</v>
      </c>
      <c r="B57" s="15">
        <f>[1]June!B57-[1]May!B57</f>
        <v>890</v>
      </c>
      <c r="C57" s="15">
        <f>[1]June!C57-[1]May!C57</f>
        <v>710</v>
      </c>
      <c r="D57" s="15">
        <f>[1]June!D57-[1]May!D57</f>
        <v>355</v>
      </c>
      <c r="E57" s="15">
        <f>[1]June!E57-[1]May!E57</f>
        <v>858</v>
      </c>
      <c r="F57" s="15">
        <f>[1]June!F57-[1]May!F57</f>
        <v>2813</v>
      </c>
    </row>
    <row r="58" spans="1:6" x14ac:dyDescent="0.25">
      <c r="A58" s="8" t="s">
        <v>153</v>
      </c>
      <c r="B58" s="15">
        <f>[1]June!B58-[1]May!B58</f>
        <v>66</v>
      </c>
      <c r="C58" s="15">
        <f>[1]June!C58-[1]May!C58</f>
        <v>10</v>
      </c>
      <c r="D58" s="15">
        <f>[1]June!D58-[1]May!D58</f>
        <v>20</v>
      </c>
      <c r="E58" s="15">
        <f>[1]June!E58-[1]May!E58</f>
        <v>30</v>
      </c>
      <c r="F58" s="15">
        <f>[1]June!F58-[1]May!F58</f>
        <v>126</v>
      </c>
    </row>
    <row r="59" spans="1:6" x14ac:dyDescent="0.25">
      <c r="A59" s="8" t="s">
        <v>154</v>
      </c>
      <c r="B59" s="15">
        <f>[1]June!B59-[1]May!B59</f>
        <v>-6582</v>
      </c>
      <c r="C59" s="15">
        <f>[1]June!C59-[1]May!C59</f>
        <v>-2519</v>
      </c>
      <c r="D59" s="15">
        <f>[1]June!D59-[1]May!D59</f>
        <v>-444</v>
      </c>
      <c r="E59" s="15">
        <f>[1]June!E59-[1]May!E59</f>
        <v>-5207</v>
      </c>
      <c r="F59" s="15">
        <f>[1]June!F59-[1]May!F59</f>
        <v>-14752</v>
      </c>
    </row>
    <row r="60" spans="1:6" x14ac:dyDescent="0.25">
      <c r="A60" s="8" t="s">
        <v>155</v>
      </c>
      <c r="B60" s="15">
        <f>[1]June!B60-[1]May!B60</f>
        <v>576</v>
      </c>
      <c r="C60" s="15">
        <f>[1]June!C60-[1]May!C60</f>
        <v>47</v>
      </c>
      <c r="D60" s="15">
        <f>[1]June!D60-[1]May!D60</f>
        <v>145</v>
      </c>
      <c r="E60" s="15">
        <f>[1]June!E60-[1]May!E60</f>
        <v>268</v>
      </c>
      <c r="F60" s="15">
        <f>[1]June!F60-[1]May!F60</f>
        <v>1036</v>
      </c>
    </row>
    <row r="61" spans="1:6" x14ac:dyDescent="0.25">
      <c r="A61" s="8" t="s">
        <v>156</v>
      </c>
      <c r="B61" s="15">
        <f>[1]June!B61-[1]May!B61</f>
        <v>-937</v>
      </c>
      <c r="C61" s="15">
        <f>[1]June!C61-[1]May!C61</f>
        <v>-1190</v>
      </c>
      <c r="D61" s="15">
        <f>[1]June!D61-[1]May!D61</f>
        <v>-56</v>
      </c>
      <c r="E61" s="15">
        <f>[1]June!E61-[1]May!E61</f>
        <v>-1238</v>
      </c>
      <c r="F61" s="15">
        <f>[1]June!F61-[1]May!F61</f>
        <v>-3421</v>
      </c>
    </row>
    <row r="62" spans="1:6" x14ac:dyDescent="0.25">
      <c r="A62" s="8" t="s">
        <v>157</v>
      </c>
      <c r="B62" s="15">
        <f>[1]June!B62-[1]May!B62</f>
        <v>-4295</v>
      </c>
      <c r="C62" s="15">
        <f>[1]June!C62-[1]May!C62</f>
        <v>-2954</v>
      </c>
      <c r="D62" s="15">
        <f>[1]June!D62-[1]May!D62</f>
        <v>-190</v>
      </c>
      <c r="E62" s="15">
        <f>[1]June!E62-[1]May!E62</f>
        <v>-4824</v>
      </c>
      <c r="F62" s="15">
        <f>[1]June!F62-[1]May!F62</f>
        <v>-12263</v>
      </c>
    </row>
    <row r="63" spans="1:6" x14ac:dyDescent="0.25">
      <c r="A63" s="8" t="s">
        <v>158</v>
      </c>
      <c r="B63" s="15">
        <f>[1]June!B63-[1]May!B63</f>
        <v>431</v>
      </c>
      <c r="C63" s="15">
        <f>[1]June!C63-[1]May!C63</f>
        <v>156</v>
      </c>
      <c r="D63" s="15">
        <f>[1]June!D63-[1]May!D63</f>
        <v>184</v>
      </c>
      <c r="E63" s="15">
        <f>[1]June!E63-[1]May!E63</f>
        <v>148</v>
      </c>
      <c r="F63" s="15">
        <f>[1]June!F63-[1]May!F63</f>
        <v>919</v>
      </c>
    </row>
    <row r="64" spans="1:6" x14ac:dyDescent="0.25">
      <c r="A64" s="8" t="s">
        <v>159</v>
      </c>
      <c r="B64" s="15">
        <f>[1]June!B64-[1]May!B64</f>
        <v>457</v>
      </c>
      <c r="C64" s="15">
        <f>[1]June!C64-[1]May!C64</f>
        <v>95</v>
      </c>
      <c r="D64" s="15">
        <f>[1]June!D64-[1]May!D64</f>
        <v>71</v>
      </c>
      <c r="E64" s="15">
        <f>[1]June!E64-[1]May!E64</f>
        <v>144</v>
      </c>
      <c r="F64" s="15">
        <f>[1]June!F64-[1]May!F64</f>
        <v>767</v>
      </c>
    </row>
    <row r="65" spans="1:6" x14ac:dyDescent="0.25">
      <c r="A65" s="8" t="s">
        <v>160</v>
      </c>
      <c r="B65" s="15">
        <f>[1]June!B65-[1]May!B65</f>
        <v>55</v>
      </c>
      <c r="C65" s="15">
        <f>[1]June!C65-[1]May!C65</f>
        <v>0</v>
      </c>
      <c r="D65" s="15">
        <f>[1]June!D65-[1]May!D65</f>
        <v>10</v>
      </c>
      <c r="E65" s="15">
        <f>[1]June!E65-[1]May!E65</f>
        <v>25</v>
      </c>
      <c r="F65" s="15">
        <f>[1]June!F65-[1]May!F65</f>
        <v>90</v>
      </c>
    </row>
    <row r="66" spans="1:6" x14ac:dyDescent="0.25">
      <c r="A66" s="8" t="s">
        <v>161</v>
      </c>
      <c r="B66" s="15">
        <f>[1]June!B66-[1]May!B66</f>
        <v>8</v>
      </c>
      <c r="C66" s="15">
        <f>[1]June!C66-[1]May!C66</f>
        <v>-5</v>
      </c>
      <c r="D66" s="15">
        <f>[1]June!D66-[1]May!D66</f>
        <v>0</v>
      </c>
      <c r="E66" s="15">
        <f>[1]June!E66-[1]May!E66</f>
        <v>6</v>
      </c>
      <c r="F66" s="15">
        <f>[1]June!F66-[1]May!F66</f>
        <v>9</v>
      </c>
    </row>
    <row r="67" spans="1:6" x14ac:dyDescent="0.25">
      <c r="A67" s="8" t="s">
        <v>162</v>
      </c>
      <c r="B67" s="15">
        <f>[1]June!B67-[1]May!B67</f>
        <v>1</v>
      </c>
      <c r="C67" s="15">
        <f>[1]June!C67-[1]May!C67</f>
        <v>1</v>
      </c>
      <c r="D67" s="15">
        <f>[1]June!D67-[1]May!D67</f>
        <v>2</v>
      </c>
      <c r="E67" s="15">
        <f>[1]June!E67-[1]May!E67</f>
        <v>1</v>
      </c>
      <c r="F67" s="15">
        <f>[1]June!F67-[1]May!F67</f>
        <v>5</v>
      </c>
    </row>
    <row r="68" spans="1:6" x14ac:dyDescent="0.25">
      <c r="A68" s="8" t="s">
        <v>163</v>
      </c>
      <c r="B68" s="15">
        <f>[1]June!B68-[1]May!B68</f>
        <v>-1896</v>
      </c>
      <c r="C68" s="15">
        <f>[1]June!C68-[1]May!C68</f>
        <v>-1763</v>
      </c>
      <c r="D68" s="15">
        <f>[1]June!D68-[1]May!D68</f>
        <v>-18</v>
      </c>
      <c r="E68" s="15">
        <f>[1]June!E68-[1]May!E68</f>
        <v>-1905</v>
      </c>
      <c r="F68" s="15">
        <f>[1]June!F68-[1]May!F68</f>
        <v>-5582</v>
      </c>
    </row>
    <row r="69" spans="1:6" x14ac:dyDescent="0.25">
      <c r="A69" s="8" t="s">
        <v>164</v>
      </c>
      <c r="B69" s="15">
        <f>[1]June!B69-[1]May!B69</f>
        <v>44</v>
      </c>
      <c r="C69" s="15">
        <f>[1]June!C69-[1]May!C69</f>
        <v>-4</v>
      </c>
      <c r="D69" s="15">
        <f>[1]June!D69-[1]May!D69</f>
        <v>18</v>
      </c>
      <c r="E69" s="15">
        <f>[1]June!E69-[1]May!E69</f>
        <v>10</v>
      </c>
      <c r="F69" s="15">
        <f>[1]June!F69-[1]May!F69</f>
        <v>68</v>
      </c>
    </row>
    <row r="70" spans="1:6" x14ac:dyDescent="0.25">
      <c r="A70" s="8" t="s">
        <v>165</v>
      </c>
      <c r="B70" s="15">
        <f>[1]June!B70-[1]May!B70</f>
        <v>230</v>
      </c>
      <c r="C70" s="15">
        <f>[1]June!C70-[1]May!C70</f>
        <v>33</v>
      </c>
      <c r="D70" s="15">
        <f>[1]June!D70-[1]May!D70</f>
        <v>32</v>
      </c>
      <c r="E70" s="15">
        <f>[1]June!E70-[1]May!E70</f>
        <v>43</v>
      </c>
      <c r="F70" s="15">
        <f>[1]June!F70-[1]May!F70</f>
        <v>338</v>
      </c>
    </row>
    <row r="71" spans="1:6" ht="15.75" thickBot="1" x14ac:dyDescent="0.3">
      <c r="A71" s="8" t="s">
        <v>166</v>
      </c>
      <c r="B71" s="15">
        <f>[1]June!B71-[1]May!B71</f>
        <v>29</v>
      </c>
      <c r="C71" s="15">
        <f>[1]June!C71-[1]May!C71</f>
        <v>-3</v>
      </c>
      <c r="D71" s="15">
        <f>[1]June!D71-[1]May!D71</f>
        <v>3</v>
      </c>
      <c r="E71" s="15">
        <f>[1]June!E71-[1]May!E71</f>
        <v>5</v>
      </c>
      <c r="F71" s="15">
        <f>[1]June!F71-[1]May!F71</f>
        <v>34</v>
      </c>
    </row>
    <row r="72" spans="1:6" ht="16.5" thickTop="1" thickBot="1" x14ac:dyDescent="0.3">
      <c r="A72" s="9" t="s">
        <v>0</v>
      </c>
      <c r="B72" s="6">
        <f>SUM(B5:B71)</f>
        <v>-12517</v>
      </c>
      <c r="C72" s="6">
        <f>SUM(C5:C71)</f>
        <v>-18372</v>
      </c>
      <c r="D72" s="6">
        <f>SUM(D5:D71)</f>
        <v>3864</v>
      </c>
      <c r="E72" s="6">
        <f>SUM(E5:E71)</f>
        <v>-18544</v>
      </c>
      <c r="F72" s="6">
        <f>SUM(F5:F71)</f>
        <v>-45569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86</v>
      </c>
      <c r="B1" s="27"/>
      <c r="C1" s="27"/>
      <c r="D1" s="27"/>
      <c r="E1" s="27"/>
      <c r="F1" s="28"/>
    </row>
    <row r="2" spans="1:6" x14ac:dyDescent="0.25">
      <c r="A2" s="20" t="s">
        <v>187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[1]July!B5-[1]June!B5</f>
        <v>122</v>
      </c>
      <c r="C5" s="15">
        <f>[1]July!C5-[1]June!C5</f>
        <v>-6</v>
      </c>
      <c r="D5" s="15">
        <f>[1]July!D5-[1]June!D5</f>
        <v>67</v>
      </c>
      <c r="E5" s="15">
        <f>[1]July!E5-[1]June!E5</f>
        <v>104</v>
      </c>
      <c r="F5" s="15">
        <f>[1]July!F5-[1]June!F5</f>
        <v>287</v>
      </c>
    </row>
    <row r="6" spans="1:6" x14ac:dyDescent="0.25">
      <c r="A6" s="8" t="s">
        <v>101</v>
      </c>
      <c r="B6" s="15">
        <f>[1]July!B6-[1]June!B6</f>
        <v>0</v>
      </c>
      <c r="C6" s="15">
        <f>[1]July!C6-[1]June!C6</f>
        <v>-65</v>
      </c>
      <c r="D6" s="15">
        <f>[1]July!D6-[1]June!D6</f>
        <v>9</v>
      </c>
      <c r="E6" s="15">
        <f>[1]July!E6-[1]June!E6</f>
        <v>-32</v>
      </c>
      <c r="F6" s="15">
        <f>[1]July!F6-[1]June!F6</f>
        <v>-88</v>
      </c>
    </row>
    <row r="7" spans="1:6" x14ac:dyDescent="0.25">
      <c r="A7" s="8" t="s">
        <v>102</v>
      </c>
      <c r="B7" s="15">
        <f>[1]July!B7-[1]June!B7</f>
        <v>97</v>
      </c>
      <c r="C7" s="15">
        <f>[1]July!C7-[1]June!C7</f>
        <v>-3</v>
      </c>
      <c r="D7" s="15">
        <f>[1]July!D7-[1]June!D7</f>
        <v>73</v>
      </c>
      <c r="E7" s="15">
        <f>[1]July!E7-[1]June!E7</f>
        <v>-36</v>
      </c>
      <c r="F7" s="15">
        <f>[1]July!F7-[1]June!F7</f>
        <v>131</v>
      </c>
    </row>
    <row r="8" spans="1:6" x14ac:dyDescent="0.25">
      <c r="A8" s="8" t="s">
        <v>103</v>
      </c>
      <c r="B8" s="15">
        <f>[1]July!B8-[1]June!B8</f>
        <v>5</v>
      </c>
      <c r="C8" s="15">
        <f>[1]July!C8-[1]June!C8</f>
        <v>-9</v>
      </c>
      <c r="D8" s="15">
        <f>[1]July!D8-[1]June!D8</f>
        <v>11</v>
      </c>
      <c r="E8" s="15">
        <f>[1]July!E8-[1]June!E8</f>
        <v>-2</v>
      </c>
      <c r="F8" s="15">
        <f>[1]July!F8-[1]June!F8</f>
        <v>5</v>
      </c>
    </row>
    <row r="9" spans="1:6" x14ac:dyDescent="0.25">
      <c r="A9" s="8" t="s">
        <v>104</v>
      </c>
      <c r="B9" s="15">
        <f>[1]July!B9-[1]June!B9</f>
        <v>-7615</v>
      </c>
      <c r="C9" s="15">
        <f>[1]July!C9-[1]June!C9</f>
        <v>-7525</v>
      </c>
      <c r="D9" s="15">
        <f>[1]July!D9-[1]June!D9</f>
        <v>-670</v>
      </c>
      <c r="E9" s="15">
        <f>[1]July!E9-[1]June!E9</f>
        <v>-11416</v>
      </c>
      <c r="F9" s="15">
        <f>[1]July!F9-[1]June!F9</f>
        <v>-27226</v>
      </c>
    </row>
    <row r="10" spans="1:6" x14ac:dyDescent="0.25">
      <c r="A10" s="8" t="s">
        <v>105</v>
      </c>
      <c r="B10" s="15">
        <f>[1]July!B10-[1]June!B10</f>
        <v>1094</v>
      </c>
      <c r="C10" s="15">
        <f>[1]July!C10-[1]June!C10</f>
        <v>113</v>
      </c>
      <c r="D10" s="15">
        <f>[1]July!D10-[1]June!D10</f>
        <v>570</v>
      </c>
      <c r="E10" s="15">
        <f>[1]July!E10-[1]June!E10</f>
        <v>1420</v>
      </c>
      <c r="F10" s="15">
        <f>[1]July!F10-[1]June!F10</f>
        <v>3197</v>
      </c>
    </row>
    <row r="11" spans="1:6" x14ac:dyDescent="0.25">
      <c r="A11" s="8" t="s">
        <v>106</v>
      </c>
      <c r="B11" s="15">
        <f>[1]July!B11-[1]June!B11</f>
        <v>14</v>
      </c>
      <c r="C11" s="15">
        <f>[1]July!C11-[1]June!C11</f>
        <v>-1</v>
      </c>
      <c r="D11" s="15">
        <f>[1]July!D11-[1]June!D11</f>
        <v>1</v>
      </c>
      <c r="E11" s="15">
        <f>[1]July!E11-[1]June!E11</f>
        <v>-1</v>
      </c>
      <c r="F11" s="15">
        <f>[1]July!F11-[1]June!F11</f>
        <v>13</v>
      </c>
    </row>
    <row r="12" spans="1:6" x14ac:dyDescent="0.25">
      <c r="A12" s="8" t="s">
        <v>107</v>
      </c>
      <c r="B12" s="15">
        <f>[1]July!B12-[1]June!B12</f>
        <v>451</v>
      </c>
      <c r="C12" s="15">
        <f>[1]July!C12-[1]June!C12</f>
        <v>42</v>
      </c>
      <c r="D12" s="15">
        <f>[1]July!D12-[1]June!D12</f>
        <v>76</v>
      </c>
      <c r="E12" s="15">
        <f>[1]July!E12-[1]June!E12</f>
        <v>66</v>
      </c>
      <c r="F12" s="15">
        <f>[1]July!F12-[1]June!F12</f>
        <v>635</v>
      </c>
    </row>
    <row r="13" spans="1:6" x14ac:dyDescent="0.25">
      <c r="A13" s="8" t="s">
        <v>108</v>
      </c>
      <c r="B13" s="15">
        <f>[1]July!B13-[1]June!B13</f>
        <v>168</v>
      </c>
      <c r="C13" s="15">
        <f>[1]July!C13-[1]June!C13</f>
        <v>-37</v>
      </c>
      <c r="D13" s="15">
        <f>[1]July!D13-[1]June!D13</f>
        <v>33</v>
      </c>
      <c r="E13" s="15">
        <f>[1]July!E13-[1]June!E13</f>
        <v>-48</v>
      </c>
      <c r="F13" s="15">
        <f>[1]July!F13-[1]June!F13</f>
        <v>116</v>
      </c>
    </row>
    <row r="14" spans="1:6" x14ac:dyDescent="0.25">
      <c r="A14" s="8" t="s">
        <v>109</v>
      </c>
      <c r="B14" s="15">
        <f>[1]July!B14-[1]June!B14</f>
        <v>-3465</v>
      </c>
      <c r="C14" s="15">
        <f>[1]July!C14-[1]June!C14</f>
        <v>-2411</v>
      </c>
      <c r="D14" s="15">
        <f>[1]July!D14-[1]June!D14</f>
        <v>-210</v>
      </c>
      <c r="E14" s="15">
        <f>[1]July!E14-[1]June!E14</f>
        <v>-3834</v>
      </c>
      <c r="F14" s="15">
        <f>[1]July!F14-[1]June!F14</f>
        <v>-9920</v>
      </c>
    </row>
    <row r="15" spans="1:6" x14ac:dyDescent="0.25">
      <c r="A15" s="8" t="s">
        <v>110</v>
      </c>
      <c r="B15" s="15">
        <f>[1]July!B15-[1]June!B15</f>
        <v>380</v>
      </c>
      <c r="C15" s="15">
        <f>[1]July!C15-[1]June!C15</f>
        <v>61</v>
      </c>
      <c r="D15" s="15">
        <f>[1]July!D15-[1]June!D15</f>
        <v>82</v>
      </c>
      <c r="E15" s="15">
        <f>[1]July!E15-[1]June!E15</f>
        <v>97</v>
      </c>
      <c r="F15" s="15">
        <f>[1]July!F15-[1]June!F15</f>
        <v>620</v>
      </c>
    </row>
    <row r="16" spans="1:6" x14ac:dyDescent="0.25">
      <c r="A16" s="8" t="s">
        <v>111</v>
      </c>
      <c r="B16" s="15">
        <f>[1]July!B16-[1]June!B16</f>
        <v>80</v>
      </c>
      <c r="C16" s="15">
        <f>[1]July!C16-[1]June!C16</f>
        <v>32</v>
      </c>
      <c r="D16" s="15">
        <f>[1]July!D16-[1]June!D16</f>
        <v>25</v>
      </c>
      <c r="E16" s="15">
        <f>[1]July!E16-[1]June!E16</f>
        <v>55</v>
      </c>
      <c r="F16" s="15">
        <f>[1]July!F16-[1]June!F16</f>
        <v>192</v>
      </c>
    </row>
    <row r="17" spans="1:6" x14ac:dyDescent="0.25">
      <c r="A17" s="8" t="s">
        <v>112</v>
      </c>
      <c r="B17" s="15">
        <f>[1]July!B17-[1]June!B17</f>
        <v>20</v>
      </c>
      <c r="C17" s="15">
        <f>[1]July!C17-[1]June!C17</f>
        <v>-6</v>
      </c>
      <c r="D17" s="15">
        <f>[1]July!D17-[1]June!D17</f>
        <v>7</v>
      </c>
      <c r="E17" s="15">
        <f>[1]July!E17-[1]June!E17</f>
        <v>10</v>
      </c>
      <c r="F17" s="15">
        <f>[1]July!F17-[1]June!F17</f>
        <v>31</v>
      </c>
    </row>
    <row r="18" spans="1:6" x14ac:dyDescent="0.25">
      <c r="A18" s="8" t="s">
        <v>113</v>
      </c>
      <c r="B18" s="15">
        <f>[1]July!B18-[1]June!B18</f>
        <v>-544</v>
      </c>
      <c r="C18" s="15">
        <f>[1]July!C18-[1]June!C18</f>
        <v>-499</v>
      </c>
      <c r="D18" s="15">
        <f>[1]July!D18-[1]June!D18</f>
        <v>-24</v>
      </c>
      <c r="E18" s="15">
        <f>[1]July!E18-[1]June!E18</f>
        <v>-464</v>
      </c>
      <c r="F18" s="15">
        <f>[1]July!F18-[1]June!F18</f>
        <v>-1531</v>
      </c>
    </row>
    <row r="19" spans="1:6" x14ac:dyDescent="0.25">
      <c r="A19" s="8" t="s">
        <v>114</v>
      </c>
      <c r="B19" s="15">
        <f>[1]July!B19-[1]June!B19</f>
        <v>-58</v>
      </c>
      <c r="C19" s="15">
        <f>[1]July!C19-[1]June!C19</f>
        <v>-274</v>
      </c>
      <c r="D19" s="15">
        <f>[1]July!D19-[1]June!D19</f>
        <v>224</v>
      </c>
      <c r="E19" s="15">
        <f>[1]July!E19-[1]June!E19</f>
        <v>-46</v>
      </c>
      <c r="F19" s="15">
        <f>[1]July!F19-[1]June!F19</f>
        <v>-154</v>
      </c>
    </row>
    <row r="20" spans="1:6" x14ac:dyDescent="0.25">
      <c r="A20" s="8" t="s">
        <v>115</v>
      </c>
      <c r="B20" s="15">
        <f>[1]July!B20-[1]June!B20</f>
        <v>-1046</v>
      </c>
      <c r="C20" s="15">
        <f>[1]July!C20-[1]June!C20</f>
        <v>-778</v>
      </c>
      <c r="D20" s="15">
        <f>[1]July!D20-[1]June!D20</f>
        <v>-26</v>
      </c>
      <c r="E20" s="15">
        <f>[1]July!E20-[1]June!E20</f>
        <v>-690</v>
      </c>
      <c r="F20" s="15">
        <f>[1]July!F20-[1]June!F20</f>
        <v>-2540</v>
      </c>
    </row>
    <row r="21" spans="1:6" x14ac:dyDescent="0.25">
      <c r="A21" s="8" t="s">
        <v>116</v>
      </c>
      <c r="B21" s="15">
        <f>[1]July!B21-[1]June!B21</f>
        <v>-1578</v>
      </c>
      <c r="C21" s="15">
        <f>[1]July!C21-[1]June!C21</f>
        <v>-1386</v>
      </c>
      <c r="D21" s="15">
        <f>[1]July!D21-[1]June!D21</f>
        <v>-98</v>
      </c>
      <c r="E21" s="15">
        <f>[1]July!E21-[1]June!E21</f>
        <v>-2302</v>
      </c>
      <c r="F21" s="15">
        <f>[1]July!F21-[1]June!F21</f>
        <v>-5364</v>
      </c>
    </row>
    <row r="22" spans="1:6" x14ac:dyDescent="0.25">
      <c r="A22" s="8" t="s">
        <v>117</v>
      </c>
      <c r="B22" s="15">
        <f>[1]July!B22-[1]June!B22</f>
        <v>3</v>
      </c>
      <c r="C22" s="15">
        <f>[1]July!C22-[1]June!C22</f>
        <v>-3</v>
      </c>
      <c r="D22" s="15">
        <f>[1]July!D22-[1]June!D22</f>
        <v>3</v>
      </c>
      <c r="E22" s="15">
        <f>[1]July!E22-[1]June!E22</f>
        <v>5</v>
      </c>
      <c r="F22" s="15">
        <f>[1]July!F22-[1]June!F22</f>
        <v>8</v>
      </c>
    </row>
    <row r="23" spans="1:6" x14ac:dyDescent="0.25">
      <c r="A23" s="8" t="s">
        <v>118</v>
      </c>
      <c r="B23" s="15">
        <f>[1]July!B23-[1]June!B23</f>
        <v>0</v>
      </c>
      <c r="C23" s="15">
        <f>[1]July!C23-[1]June!C23</f>
        <v>-22</v>
      </c>
      <c r="D23" s="15">
        <f>[1]July!D23-[1]June!D23</f>
        <v>10</v>
      </c>
      <c r="E23" s="15">
        <f>[1]July!E23-[1]June!E23</f>
        <v>10</v>
      </c>
      <c r="F23" s="15">
        <f>[1]July!F23-[1]June!F23</f>
        <v>-2</v>
      </c>
    </row>
    <row r="24" spans="1:6" x14ac:dyDescent="0.25">
      <c r="A24" s="8" t="s">
        <v>119</v>
      </c>
      <c r="B24" s="15">
        <f>[1]July!B24-[1]June!B24</f>
        <v>47</v>
      </c>
      <c r="C24" s="15">
        <f>[1]July!C24-[1]June!C24</f>
        <v>-13</v>
      </c>
      <c r="D24" s="15">
        <f>[1]July!D24-[1]June!D24</f>
        <v>10</v>
      </c>
      <c r="E24" s="15">
        <f>[1]July!E24-[1]June!E24</f>
        <v>-5</v>
      </c>
      <c r="F24" s="15">
        <f>[1]July!F24-[1]June!F24</f>
        <v>39</v>
      </c>
    </row>
    <row r="25" spans="1:6" x14ac:dyDescent="0.25">
      <c r="A25" s="8" t="s">
        <v>120</v>
      </c>
      <c r="B25" s="15">
        <f>[1]July!B25-[1]June!B25</f>
        <v>15</v>
      </c>
      <c r="C25" s="15">
        <f>[1]July!C25-[1]June!C25</f>
        <v>-1</v>
      </c>
      <c r="D25" s="15">
        <f>[1]July!D25-[1]June!D25</f>
        <v>7</v>
      </c>
      <c r="E25" s="15">
        <f>[1]July!E25-[1]June!E25</f>
        <v>-1</v>
      </c>
      <c r="F25" s="15">
        <f>[1]July!F25-[1]June!F25</f>
        <v>20</v>
      </c>
    </row>
    <row r="26" spans="1:6" x14ac:dyDescent="0.25">
      <c r="A26" s="8" t="s">
        <v>121</v>
      </c>
      <c r="B26" s="15">
        <f>[1]July!B26-[1]June!B26</f>
        <v>34</v>
      </c>
      <c r="C26" s="15">
        <f>[1]July!C26-[1]June!C26</f>
        <v>-7</v>
      </c>
      <c r="D26" s="15">
        <f>[1]July!D26-[1]June!D26</f>
        <v>5</v>
      </c>
      <c r="E26" s="15">
        <f>[1]July!E26-[1]June!E26</f>
        <v>-2</v>
      </c>
      <c r="F26" s="15">
        <f>[1]July!F26-[1]June!F26</f>
        <v>30</v>
      </c>
    </row>
    <row r="27" spans="1:6" x14ac:dyDescent="0.25">
      <c r="A27" s="8" t="s">
        <v>122</v>
      </c>
      <c r="B27" s="15">
        <f>[1]July!B27-[1]June!B27</f>
        <v>14</v>
      </c>
      <c r="C27" s="15">
        <f>[1]July!C27-[1]June!C27</f>
        <v>4</v>
      </c>
      <c r="D27" s="15">
        <f>[1]July!D27-[1]June!D27</f>
        <v>1</v>
      </c>
      <c r="E27" s="15">
        <f>[1]July!E27-[1]June!E27</f>
        <v>8</v>
      </c>
      <c r="F27" s="15">
        <f>[1]July!F27-[1]June!F27</f>
        <v>27</v>
      </c>
    </row>
    <row r="28" spans="1:6" x14ac:dyDescent="0.25">
      <c r="A28" s="8" t="s">
        <v>123</v>
      </c>
      <c r="B28" s="15">
        <f>[1]July!B28-[1]June!B28</f>
        <v>2</v>
      </c>
      <c r="C28" s="15">
        <f>[1]July!C28-[1]June!C28</f>
        <v>13</v>
      </c>
      <c r="D28" s="15">
        <f>[1]July!D28-[1]June!D28</f>
        <v>7</v>
      </c>
      <c r="E28" s="15">
        <f>[1]July!E28-[1]June!E28</f>
        <v>3</v>
      </c>
      <c r="F28" s="15">
        <f>[1]July!F28-[1]June!F28</f>
        <v>25</v>
      </c>
    </row>
    <row r="29" spans="1:6" x14ac:dyDescent="0.25">
      <c r="A29" s="8" t="s">
        <v>124</v>
      </c>
      <c r="B29" s="15">
        <f>[1]July!B29-[1]June!B29</f>
        <v>35</v>
      </c>
      <c r="C29" s="15">
        <f>[1]July!C29-[1]June!C29</f>
        <v>6</v>
      </c>
      <c r="D29" s="15">
        <f>[1]July!D29-[1]June!D29</f>
        <v>13</v>
      </c>
      <c r="E29" s="15">
        <f>[1]July!E29-[1]June!E29</f>
        <v>32</v>
      </c>
      <c r="F29" s="15">
        <f>[1]July!F29-[1]June!F29</f>
        <v>86</v>
      </c>
    </row>
    <row r="30" spans="1:6" x14ac:dyDescent="0.25">
      <c r="A30" s="8" t="s">
        <v>125</v>
      </c>
      <c r="B30" s="15">
        <f>[1]July!B30-[1]June!B30</f>
        <v>234</v>
      </c>
      <c r="C30" s="15">
        <f>[1]July!C30-[1]June!C30</f>
        <v>37</v>
      </c>
      <c r="D30" s="15">
        <f>[1]July!D30-[1]June!D30</f>
        <v>74</v>
      </c>
      <c r="E30" s="15">
        <f>[1]July!E30-[1]June!E30</f>
        <v>101</v>
      </c>
      <c r="F30" s="15">
        <f>[1]July!F30-[1]June!F30</f>
        <v>446</v>
      </c>
    </row>
    <row r="31" spans="1:6" x14ac:dyDescent="0.25">
      <c r="A31" s="8" t="s">
        <v>126</v>
      </c>
      <c r="B31" s="15">
        <f>[1]July!B31-[1]June!B31</f>
        <v>103</v>
      </c>
      <c r="C31" s="15">
        <f>[1]July!C31-[1]June!C31</f>
        <v>-1</v>
      </c>
      <c r="D31" s="15">
        <f>[1]July!D31-[1]June!D31</f>
        <v>49</v>
      </c>
      <c r="E31" s="15">
        <f>[1]July!E31-[1]June!E31</f>
        <v>41</v>
      </c>
      <c r="F31" s="15">
        <f>[1]July!F31-[1]June!F31</f>
        <v>192</v>
      </c>
    </row>
    <row r="32" spans="1:6" x14ac:dyDescent="0.25">
      <c r="A32" s="8" t="s">
        <v>127</v>
      </c>
      <c r="B32" s="15">
        <f>[1]July!B32-[1]June!B32</f>
        <v>859</v>
      </c>
      <c r="C32" s="15">
        <f>[1]July!C32-[1]June!C32</f>
        <v>443</v>
      </c>
      <c r="D32" s="15">
        <f>[1]July!D32-[1]June!D32</f>
        <v>465</v>
      </c>
      <c r="E32" s="15">
        <f>[1]July!E32-[1]June!E32</f>
        <v>815</v>
      </c>
      <c r="F32" s="15">
        <f>[1]July!F32-[1]June!F32</f>
        <v>2582</v>
      </c>
    </row>
    <row r="33" spans="1:6" x14ac:dyDescent="0.25">
      <c r="A33" s="8" t="s">
        <v>128</v>
      </c>
      <c r="B33" s="15">
        <f>[1]July!B33-[1]June!B33</f>
        <v>27</v>
      </c>
      <c r="C33" s="15">
        <f>[1]July!C33-[1]June!C33</f>
        <v>-6</v>
      </c>
      <c r="D33" s="15">
        <f>[1]July!D33-[1]June!D33</f>
        <v>6</v>
      </c>
      <c r="E33" s="15">
        <f>[1]July!E33-[1]June!E33</f>
        <v>2</v>
      </c>
      <c r="F33" s="15">
        <f>[1]July!F33-[1]June!F33</f>
        <v>29</v>
      </c>
    </row>
    <row r="34" spans="1:6" x14ac:dyDescent="0.25">
      <c r="A34" s="8" t="s">
        <v>129</v>
      </c>
      <c r="B34" s="15">
        <f>[1]July!B34-[1]June!B34</f>
        <v>186</v>
      </c>
      <c r="C34" s="15">
        <f>[1]July!C34-[1]June!C34</f>
        <v>-10</v>
      </c>
      <c r="D34" s="15">
        <f>[1]July!D34-[1]June!D34</f>
        <v>38</v>
      </c>
      <c r="E34" s="15">
        <f>[1]July!E34-[1]June!E34</f>
        <v>81</v>
      </c>
      <c r="F34" s="15">
        <f>[1]July!F34-[1]June!F34</f>
        <v>295</v>
      </c>
    </row>
    <row r="35" spans="1:6" x14ac:dyDescent="0.25">
      <c r="A35" s="8" t="s">
        <v>130</v>
      </c>
      <c r="B35" s="15">
        <f>[1]July!B35-[1]June!B35</f>
        <v>-74</v>
      </c>
      <c r="C35" s="15">
        <f>[1]July!C35-[1]June!C35</f>
        <v>-74</v>
      </c>
      <c r="D35" s="15">
        <f>[1]July!D35-[1]June!D35</f>
        <v>-1</v>
      </c>
      <c r="E35" s="15">
        <f>[1]July!E35-[1]June!E35</f>
        <v>-47</v>
      </c>
      <c r="F35" s="15">
        <f>[1]July!F35-[1]June!F35</f>
        <v>-196</v>
      </c>
    </row>
    <row r="36" spans="1:6" x14ac:dyDescent="0.25">
      <c r="A36" s="8" t="s">
        <v>131</v>
      </c>
      <c r="B36" s="15">
        <f>[1]July!B36-[1]June!B36</f>
        <v>16</v>
      </c>
      <c r="C36" s="15">
        <f>[1]July!C36-[1]June!C36</f>
        <v>0</v>
      </c>
      <c r="D36" s="15">
        <f>[1]July!D36-[1]June!D36</f>
        <v>2</v>
      </c>
      <c r="E36" s="15">
        <f>[1]July!E36-[1]June!E36</f>
        <v>7</v>
      </c>
      <c r="F36" s="15">
        <f>[1]July!F36-[1]June!F36</f>
        <v>25</v>
      </c>
    </row>
    <row r="37" spans="1:6" x14ac:dyDescent="0.25">
      <c r="A37" s="8" t="s">
        <v>132</v>
      </c>
      <c r="B37" s="15">
        <f>[1]July!B37-[1]June!B37</f>
        <v>6</v>
      </c>
      <c r="C37" s="15">
        <f>[1]July!C37-[1]June!C37</f>
        <v>-2</v>
      </c>
      <c r="D37" s="15">
        <f>[1]July!D37-[1]June!D37</f>
        <v>3</v>
      </c>
      <c r="E37" s="15">
        <f>[1]July!E37-[1]June!E37</f>
        <v>3</v>
      </c>
      <c r="F37" s="15">
        <f>[1]July!F37-[1]June!F37</f>
        <v>10</v>
      </c>
    </row>
    <row r="38" spans="1:6" x14ac:dyDescent="0.25">
      <c r="A38" s="8" t="s">
        <v>133</v>
      </c>
      <c r="B38" s="15">
        <f>[1]July!B38-[1]June!B38</f>
        <v>754</v>
      </c>
      <c r="C38" s="15">
        <f>[1]July!C38-[1]June!C38</f>
        <v>330</v>
      </c>
      <c r="D38" s="15">
        <f>[1]July!D38-[1]June!D38</f>
        <v>194</v>
      </c>
      <c r="E38" s="15">
        <f>[1]July!E38-[1]June!E38</f>
        <v>504</v>
      </c>
      <c r="F38" s="15">
        <f>[1]July!F38-[1]June!F38</f>
        <v>1782</v>
      </c>
    </row>
    <row r="39" spans="1:6" x14ac:dyDescent="0.25">
      <c r="A39" s="8" t="s">
        <v>134</v>
      </c>
      <c r="B39" s="15">
        <f>[1]July!B39-[1]June!B39</f>
        <v>747</v>
      </c>
      <c r="C39" s="15">
        <f>[1]July!C39-[1]June!C39</f>
        <v>141</v>
      </c>
      <c r="D39" s="15">
        <f>[1]July!D39-[1]June!D39</f>
        <v>276</v>
      </c>
      <c r="E39" s="15">
        <f>[1]July!E39-[1]June!E39</f>
        <v>184</v>
      </c>
      <c r="F39" s="15">
        <f>[1]July!F39-[1]June!F39</f>
        <v>1348</v>
      </c>
    </row>
    <row r="40" spans="1:6" x14ac:dyDescent="0.25">
      <c r="A40" s="8" t="s">
        <v>135</v>
      </c>
      <c r="B40" s="15">
        <f>[1]July!B40-[1]June!B40</f>
        <v>127</v>
      </c>
      <c r="C40" s="15">
        <f>[1]July!C40-[1]June!C40</f>
        <v>23</v>
      </c>
      <c r="D40" s="15">
        <f>[1]July!D40-[1]June!D40</f>
        <v>61</v>
      </c>
      <c r="E40" s="15">
        <f>[1]July!E40-[1]June!E40</f>
        <v>100</v>
      </c>
      <c r="F40" s="15">
        <f>[1]July!F40-[1]June!F40</f>
        <v>311</v>
      </c>
    </row>
    <row r="41" spans="1:6" x14ac:dyDescent="0.25">
      <c r="A41" s="8" t="s">
        <v>136</v>
      </c>
      <c r="B41" s="15">
        <f>[1]July!B41-[1]June!B41</f>
        <v>64</v>
      </c>
      <c r="C41" s="15">
        <f>[1]July!C41-[1]June!C41</f>
        <v>13</v>
      </c>
      <c r="D41" s="15">
        <f>[1]July!D41-[1]June!D41</f>
        <v>21</v>
      </c>
      <c r="E41" s="15">
        <f>[1]July!E41-[1]June!E41</f>
        <v>15</v>
      </c>
      <c r="F41" s="15">
        <f>[1]July!F41-[1]June!F41</f>
        <v>113</v>
      </c>
    </row>
    <row r="42" spans="1:6" x14ac:dyDescent="0.25">
      <c r="A42" s="8" t="s">
        <v>137</v>
      </c>
      <c r="B42" s="15">
        <f>[1]July!B42-[1]June!B42</f>
        <v>11</v>
      </c>
      <c r="C42" s="15">
        <f>[1]July!C42-[1]June!C42</f>
        <v>-5</v>
      </c>
      <c r="D42" s="15">
        <f>[1]July!D42-[1]June!D42</f>
        <v>0</v>
      </c>
      <c r="E42" s="15">
        <f>[1]July!E42-[1]June!E42</f>
        <v>1</v>
      </c>
      <c r="F42" s="15">
        <f>[1]July!F42-[1]June!F42</f>
        <v>7</v>
      </c>
    </row>
    <row r="43" spans="1:6" x14ac:dyDescent="0.25">
      <c r="A43" s="8" t="s">
        <v>138</v>
      </c>
      <c r="B43" s="15">
        <f>[1]July!B43-[1]June!B43</f>
        <v>10</v>
      </c>
      <c r="C43" s="15">
        <f>[1]July!C43-[1]June!C43</f>
        <v>0</v>
      </c>
      <c r="D43" s="15">
        <f>[1]July!D43-[1]June!D43</f>
        <v>0</v>
      </c>
      <c r="E43" s="15">
        <f>[1]July!E43-[1]June!E43</f>
        <v>8</v>
      </c>
      <c r="F43" s="15">
        <f>[1]July!F43-[1]June!F43</f>
        <v>18</v>
      </c>
    </row>
    <row r="44" spans="1:6" x14ac:dyDescent="0.25">
      <c r="A44" s="8" t="s">
        <v>139</v>
      </c>
      <c r="B44" s="15">
        <f>[1]July!B44-[1]June!B44</f>
        <v>627</v>
      </c>
      <c r="C44" s="15">
        <f>[1]July!C44-[1]June!C44</f>
        <v>147</v>
      </c>
      <c r="D44" s="15">
        <f>[1]July!D44-[1]June!D44</f>
        <v>116</v>
      </c>
      <c r="E44" s="15">
        <f>[1]July!E44-[1]June!E44</f>
        <v>235</v>
      </c>
      <c r="F44" s="15">
        <f>[1]July!F44-[1]June!F44</f>
        <v>1125</v>
      </c>
    </row>
    <row r="45" spans="1:6" x14ac:dyDescent="0.25">
      <c r="A45" s="8" t="s">
        <v>140</v>
      </c>
      <c r="B45" s="15">
        <f>[1]July!B45-[1]June!B45</f>
        <v>668</v>
      </c>
      <c r="C45" s="15">
        <f>[1]July!C45-[1]June!C45</f>
        <v>168</v>
      </c>
      <c r="D45" s="15">
        <f>[1]July!D45-[1]June!D45</f>
        <v>180</v>
      </c>
      <c r="E45" s="15">
        <f>[1]July!E45-[1]June!E45</f>
        <v>268</v>
      </c>
      <c r="F45" s="15">
        <f>[1]July!F45-[1]June!F45</f>
        <v>1284</v>
      </c>
    </row>
    <row r="46" spans="1:6" x14ac:dyDescent="0.25">
      <c r="A46" s="8" t="s">
        <v>141</v>
      </c>
      <c r="B46" s="15">
        <f>[1]July!B46-[1]June!B46</f>
        <v>157</v>
      </c>
      <c r="C46" s="15">
        <f>[1]July!C46-[1]June!C46</f>
        <v>-28</v>
      </c>
      <c r="D46" s="15">
        <f>[1]July!D46-[1]June!D46</f>
        <v>56</v>
      </c>
      <c r="E46" s="15">
        <f>[1]July!E46-[1]June!E46</f>
        <v>2</v>
      </c>
      <c r="F46" s="15">
        <f>[1]July!F46-[1]June!F46</f>
        <v>187</v>
      </c>
    </row>
    <row r="47" spans="1:6" x14ac:dyDescent="0.25">
      <c r="A47" s="8" t="s">
        <v>142</v>
      </c>
      <c r="B47" s="15">
        <f>[1]July!B47-[1]June!B47</f>
        <v>-840</v>
      </c>
      <c r="C47" s="15">
        <f>[1]July!C47-[1]June!C47</f>
        <v>-2345</v>
      </c>
      <c r="D47" s="15">
        <f>[1]July!D47-[1]June!D47</f>
        <v>256</v>
      </c>
      <c r="E47" s="15">
        <f>[1]July!E47-[1]June!E47</f>
        <v>-981</v>
      </c>
      <c r="F47" s="15">
        <f>[1]July!F47-[1]June!F47</f>
        <v>-3910</v>
      </c>
    </row>
    <row r="48" spans="1:6" x14ac:dyDescent="0.25">
      <c r="A48" s="8" t="s">
        <v>143</v>
      </c>
      <c r="B48" s="15">
        <f>[1]July!B48-[1]June!B48</f>
        <v>104</v>
      </c>
      <c r="C48" s="15">
        <f>[1]July!C48-[1]June!C48</f>
        <v>-1</v>
      </c>
      <c r="D48" s="15">
        <f>[1]July!D48-[1]June!D48</f>
        <v>40</v>
      </c>
      <c r="E48" s="15">
        <f>[1]July!E48-[1]June!E48</f>
        <v>33</v>
      </c>
      <c r="F48" s="15">
        <f>[1]July!F48-[1]June!F48</f>
        <v>176</v>
      </c>
    </row>
    <row r="49" spans="1:6" x14ac:dyDescent="0.25">
      <c r="A49" s="8" t="s">
        <v>144</v>
      </c>
      <c r="B49" s="15">
        <f>[1]July!B49-[1]June!B49</f>
        <v>33</v>
      </c>
      <c r="C49" s="15">
        <f>[1]July!C49-[1]June!C49</f>
        <v>-42</v>
      </c>
      <c r="D49" s="15">
        <f>[1]July!D49-[1]June!D49</f>
        <v>23</v>
      </c>
      <c r="E49" s="15">
        <f>[1]July!E49-[1]June!E49</f>
        <v>-28</v>
      </c>
      <c r="F49" s="15">
        <f>[1]July!F49-[1]June!F49</f>
        <v>-14</v>
      </c>
    </row>
    <row r="50" spans="1:6" x14ac:dyDescent="0.25">
      <c r="A50" s="8" t="s">
        <v>145</v>
      </c>
      <c r="B50" s="15">
        <f>[1]July!B50-[1]June!B50</f>
        <v>-431</v>
      </c>
      <c r="C50" s="15">
        <f>[1]July!C50-[1]June!C50</f>
        <v>-224</v>
      </c>
      <c r="D50" s="15">
        <f>[1]July!D50-[1]June!D50</f>
        <v>-20</v>
      </c>
      <c r="E50" s="15">
        <f>[1]July!E50-[1]June!E50</f>
        <v>-317</v>
      </c>
      <c r="F50" s="15">
        <f>[1]July!F50-[1]June!F50</f>
        <v>-992</v>
      </c>
    </row>
    <row r="51" spans="1:6" x14ac:dyDescent="0.25">
      <c r="A51" s="8" t="s">
        <v>146</v>
      </c>
      <c r="B51" s="15">
        <f>[1]July!B51-[1]June!B51</f>
        <v>49</v>
      </c>
      <c r="C51" s="15">
        <f>[1]July!C51-[1]June!C51</f>
        <v>6</v>
      </c>
      <c r="D51" s="15">
        <f>[1]July!D51-[1]June!D51</f>
        <v>15</v>
      </c>
      <c r="E51" s="15">
        <f>[1]July!E51-[1]June!E51</f>
        <v>16</v>
      </c>
      <c r="F51" s="15">
        <f>[1]July!F51-[1]June!F51</f>
        <v>86</v>
      </c>
    </row>
    <row r="52" spans="1:6" x14ac:dyDescent="0.25">
      <c r="A52" s="8" t="s">
        <v>147</v>
      </c>
      <c r="B52" s="15">
        <f>[1]July!B52-[1]June!B52</f>
        <v>169</v>
      </c>
      <c r="C52" s="15">
        <f>[1]July!C52-[1]June!C52</f>
        <v>-17</v>
      </c>
      <c r="D52" s="15">
        <f>[1]July!D52-[1]June!D52</f>
        <v>433</v>
      </c>
      <c r="E52" s="15">
        <f>[1]July!E52-[1]June!E52</f>
        <v>39</v>
      </c>
      <c r="F52" s="15">
        <f>[1]July!F52-[1]June!F52</f>
        <v>624</v>
      </c>
    </row>
    <row r="53" spans="1:6" x14ac:dyDescent="0.25">
      <c r="A53" s="8" t="s">
        <v>148</v>
      </c>
      <c r="B53" s="15">
        <f>[1]July!B53-[1]June!B53</f>
        <v>490</v>
      </c>
      <c r="C53" s="15">
        <f>[1]July!C53-[1]June!C53</f>
        <v>474</v>
      </c>
      <c r="D53" s="15">
        <f>[1]July!D53-[1]June!D53</f>
        <v>248</v>
      </c>
      <c r="E53" s="15">
        <f>[1]July!E53-[1]June!E53</f>
        <v>395</v>
      </c>
      <c r="F53" s="15">
        <f>[1]July!F53-[1]June!F53</f>
        <v>1607</v>
      </c>
    </row>
    <row r="54" spans="1:6" x14ac:dyDescent="0.25">
      <c r="A54" s="8" t="s">
        <v>149</v>
      </c>
      <c r="B54" s="15">
        <f>[1]July!B54-[1]June!B54</f>
        <v>1006</v>
      </c>
      <c r="C54" s="15">
        <f>[1]July!C54-[1]June!C54</f>
        <v>199</v>
      </c>
      <c r="D54" s="15">
        <f>[1]July!D54-[1]June!D54</f>
        <v>420</v>
      </c>
      <c r="E54" s="15">
        <f>[1]July!E54-[1]June!E54</f>
        <v>593</v>
      </c>
      <c r="F54" s="15">
        <f>[1]July!F54-[1]June!F54</f>
        <v>2218</v>
      </c>
    </row>
    <row r="55" spans="1:6" x14ac:dyDescent="0.25">
      <c r="A55" s="8" t="s">
        <v>150</v>
      </c>
      <c r="B55" s="15">
        <f>[1]July!B55-[1]June!B55</f>
        <v>501</v>
      </c>
      <c r="C55" s="15">
        <f>[1]July!C55-[1]June!C55</f>
        <v>116</v>
      </c>
      <c r="D55" s="15">
        <f>[1]July!D55-[1]June!D55</f>
        <v>236</v>
      </c>
      <c r="E55" s="15">
        <f>[1]July!E55-[1]June!E55</f>
        <v>163</v>
      </c>
      <c r="F55" s="15">
        <f>[1]July!F55-[1]June!F55</f>
        <v>1016</v>
      </c>
    </row>
    <row r="56" spans="1:6" x14ac:dyDescent="0.25">
      <c r="A56" s="8" t="s">
        <v>151</v>
      </c>
      <c r="B56" s="15">
        <f>[1]July!B56-[1]June!B56</f>
        <v>521</v>
      </c>
      <c r="C56" s="15">
        <f>[1]July!C56-[1]June!C56</f>
        <v>-53</v>
      </c>
      <c r="D56" s="15">
        <f>[1]July!D56-[1]June!D56</f>
        <v>233</v>
      </c>
      <c r="E56" s="15">
        <f>[1]July!E56-[1]June!E56</f>
        <v>335</v>
      </c>
      <c r="F56" s="15">
        <f>[1]July!F56-[1]June!F56</f>
        <v>1036</v>
      </c>
    </row>
    <row r="57" spans="1:6" x14ac:dyDescent="0.25">
      <c r="A57" s="8" t="s">
        <v>152</v>
      </c>
      <c r="B57" s="15">
        <f>[1]July!B57-[1]June!B57</f>
        <v>1027</v>
      </c>
      <c r="C57" s="15">
        <f>[1]July!C57-[1]June!C57</f>
        <v>593</v>
      </c>
      <c r="D57" s="15">
        <f>[1]July!D57-[1]June!D57</f>
        <v>305</v>
      </c>
      <c r="E57" s="15">
        <f>[1]July!E57-[1]June!E57</f>
        <v>866</v>
      </c>
      <c r="F57" s="15">
        <f>[1]July!F57-[1]June!F57</f>
        <v>2791</v>
      </c>
    </row>
    <row r="58" spans="1:6" x14ac:dyDescent="0.25">
      <c r="A58" s="8" t="s">
        <v>153</v>
      </c>
      <c r="B58" s="15">
        <f>[1]July!B58-[1]June!B58</f>
        <v>115</v>
      </c>
      <c r="C58" s="15">
        <f>[1]July!C58-[1]June!C58</f>
        <v>13</v>
      </c>
      <c r="D58" s="15">
        <f>[1]July!D58-[1]June!D58</f>
        <v>10</v>
      </c>
      <c r="E58" s="15">
        <f>[1]July!E58-[1]June!E58</f>
        <v>36</v>
      </c>
      <c r="F58" s="15">
        <f>[1]July!F58-[1]June!F58</f>
        <v>174</v>
      </c>
    </row>
    <row r="59" spans="1:6" x14ac:dyDescent="0.25">
      <c r="A59" s="8" t="s">
        <v>154</v>
      </c>
      <c r="B59" s="15">
        <f>[1]July!B59-[1]June!B59</f>
        <v>515</v>
      </c>
      <c r="C59" s="15">
        <f>[1]July!C59-[1]June!C59</f>
        <v>112</v>
      </c>
      <c r="D59" s="15">
        <f>[1]July!D59-[1]June!D59</f>
        <v>73</v>
      </c>
      <c r="E59" s="15">
        <f>[1]July!E59-[1]June!E59</f>
        <v>139</v>
      </c>
      <c r="F59" s="15">
        <f>[1]July!F59-[1]June!F59</f>
        <v>839</v>
      </c>
    </row>
    <row r="60" spans="1:6" x14ac:dyDescent="0.25">
      <c r="A60" s="8" t="s">
        <v>155</v>
      </c>
      <c r="B60" s="15">
        <f>[1]July!B60-[1]June!B60</f>
        <v>-5574</v>
      </c>
      <c r="C60" s="15">
        <f>[1]July!C60-[1]June!C60</f>
        <v>-5399</v>
      </c>
      <c r="D60" s="15">
        <f>[1]July!D60-[1]June!D60</f>
        <v>-372</v>
      </c>
      <c r="E60" s="15">
        <f>[1]July!E60-[1]June!E60</f>
        <v>-7296</v>
      </c>
      <c r="F60" s="15">
        <f>[1]July!F60-[1]June!F60</f>
        <v>-18641</v>
      </c>
    </row>
    <row r="61" spans="1:6" x14ac:dyDescent="0.25">
      <c r="A61" s="8" t="s">
        <v>156</v>
      </c>
      <c r="B61" s="15">
        <f>[1]July!B61-[1]June!B61</f>
        <v>-219</v>
      </c>
      <c r="C61" s="15">
        <f>[1]July!C61-[1]June!C61</f>
        <v>-456</v>
      </c>
      <c r="D61" s="15">
        <f>[1]July!D61-[1]June!D61</f>
        <v>97</v>
      </c>
      <c r="E61" s="15">
        <f>[1]July!E61-[1]June!E61</f>
        <v>-367</v>
      </c>
      <c r="F61" s="15">
        <f>[1]July!F61-[1]June!F61</f>
        <v>-945</v>
      </c>
    </row>
    <row r="62" spans="1:6" x14ac:dyDescent="0.25">
      <c r="A62" s="8" t="s">
        <v>157</v>
      </c>
      <c r="B62" s="15">
        <f>[1]July!B62-[1]June!B62</f>
        <v>900</v>
      </c>
      <c r="C62" s="15">
        <f>[1]July!C62-[1]June!C62</f>
        <v>220</v>
      </c>
      <c r="D62" s="15">
        <f>[1]July!D62-[1]June!D62</f>
        <v>160</v>
      </c>
      <c r="E62" s="15">
        <f>[1]July!E62-[1]June!E62</f>
        <v>416</v>
      </c>
      <c r="F62" s="15">
        <f>[1]July!F62-[1]June!F62</f>
        <v>1696</v>
      </c>
    </row>
    <row r="63" spans="1:6" x14ac:dyDescent="0.25">
      <c r="A63" s="8" t="s">
        <v>158</v>
      </c>
      <c r="B63" s="15">
        <f>[1]July!B63-[1]June!B63</f>
        <v>358</v>
      </c>
      <c r="C63" s="15">
        <f>[1]July!C63-[1]June!C63</f>
        <v>232</v>
      </c>
      <c r="D63" s="15">
        <f>[1]July!D63-[1]June!D63</f>
        <v>207</v>
      </c>
      <c r="E63" s="15">
        <f>[1]July!E63-[1]June!E63</f>
        <v>152</v>
      </c>
      <c r="F63" s="15">
        <f>[1]July!F63-[1]June!F63</f>
        <v>949</v>
      </c>
    </row>
    <row r="64" spans="1:6" x14ac:dyDescent="0.25">
      <c r="A64" s="8" t="s">
        <v>159</v>
      </c>
      <c r="B64" s="15">
        <f>[1]July!B64-[1]June!B64</f>
        <v>455</v>
      </c>
      <c r="C64" s="15">
        <f>[1]July!C64-[1]June!C64</f>
        <v>79</v>
      </c>
      <c r="D64" s="15">
        <f>[1]July!D64-[1]June!D64</f>
        <v>64</v>
      </c>
      <c r="E64" s="15">
        <f>[1]July!E64-[1]June!E64</f>
        <v>136</v>
      </c>
      <c r="F64" s="15">
        <f>[1]July!F64-[1]June!F64</f>
        <v>734</v>
      </c>
    </row>
    <row r="65" spans="1:6" x14ac:dyDescent="0.25">
      <c r="A65" s="8" t="s">
        <v>160</v>
      </c>
      <c r="B65" s="15">
        <f>[1]July!B65-[1]June!B65</f>
        <v>-806</v>
      </c>
      <c r="C65" s="15">
        <f>[1]July!C65-[1]June!C65</f>
        <v>-552</v>
      </c>
      <c r="D65" s="15">
        <f>[1]July!D65-[1]June!D65</f>
        <v>-34</v>
      </c>
      <c r="E65" s="15">
        <f>[1]July!E65-[1]June!E65</f>
        <v>-584</v>
      </c>
      <c r="F65" s="15">
        <f>[1]July!F65-[1]June!F65</f>
        <v>-1976</v>
      </c>
    </row>
    <row r="66" spans="1:6" x14ac:dyDescent="0.25">
      <c r="A66" s="8" t="s">
        <v>161</v>
      </c>
      <c r="B66" s="15">
        <f>[1]July!B66-[1]June!B66</f>
        <v>10</v>
      </c>
      <c r="C66" s="15">
        <f>[1]July!C66-[1]June!C66</f>
        <v>1</v>
      </c>
      <c r="D66" s="15">
        <f>[1]July!D66-[1]June!D66</f>
        <v>4</v>
      </c>
      <c r="E66" s="15">
        <f>[1]July!E66-[1]June!E66</f>
        <v>4</v>
      </c>
      <c r="F66" s="15">
        <f>[1]July!F66-[1]June!F66</f>
        <v>19</v>
      </c>
    </row>
    <row r="67" spans="1:6" x14ac:dyDescent="0.25">
      <c r="A67" s="8" t="s">
        <v>162</v>
      </c>
      <c r="B67" s="15">
        <f>[1]July!B67-[1]June!B67</f>
        <v>4</v>
      </c>
      <c r="C67" s="15">
        <f>[1]July!C67-[1]June!C67</f>
        <v>-3</v>
      </c>
      <c r="D67" s="15">
        <f>[1]July!D67-[1]June!D67</f>
        <v>1</v>
      </c>
      <c r="E67" s="15">
        <f>[1]July!E67-[1]June!E67</f>
        <v>-1</v>
      </c>
      <c r="F67" s="15">
        <f>[1]July!F67-[1]June!F67</f>
        <v>1</v>
      </c>
    </row>
    <row r="68" spans="1:6" x14ac:dyDescent="0.25">
      <c r="A68" s="8" t="s">
        <v>163</v>
      </c>
      <c r="B68" s="15">
        <f>[1]July!B68-[1]June!B68</f>
        <v>42</v>
      </c>
      <c r="C68" s="15">
        <f>[1]July!C68-[1]June!C68</f>
        <v>-208</v>
      </c>
      <c r="D68" s="15">
        <f>[1]July!D68-[1]June!D68</f>
        <v>164</v>
      </c>
      <c r="E68" s="15">
        <f>[1]July!E68-[1]June!E68</f>
        <v>-177</v>
      </c>
      <c r="F68" s="15">
        <f>[1]July!F68-[1]June!F68</f>
        <v>-179</v>
      </c>
    </row>
    <row r="69" spans="1:6" x14ac:dyDescent="0.25">
      <c r="A69" s="8" t="s">
        <v>164</v>
      </c>
      <c r="B69" s="15">
        <f>[1]July!B69-[1]June!B69</f>
        <v>50</v>
      </c>
      <c r="C69" s="15">
        <f>[1]July!C69-[1]June!C69</f>
        <v>12</v>
      </c>
      <c r="D69" s="15">
        <f>[1]July!D69-[1]June!D69</f>
        <v>24</v>
      </c>
      <c r="E69" s="15">
        <f>[1]July!E69-[1]June!E69</f>
        <v>6</v>
      </c>
      <c r="F69" s="15">
        <f>[1]July!F69-[1]June!F69</f>
        <v>92</v>
      </c>
    </row>
    <row r="70" spans="1:6" x14ac:dyDescent="0.25">
      <c r="A70" s="8" t="s">
        <v>165</v>
      </c>
      <c r="B70" s="15">
        <f>[1]July!B70-[1]June!B70</f>
        <v>-1190</v>
      </c>
      <c r="C70" s="15">
        <f>[1]July!C70-[1]June!C70</f>
        <v>-520</v>
      </c>
      <c r="D70" s="15">
        <f>[1]July!D70-[1]June!D70</f>
        <v>-64</v>
      </c>
      <c r="E70" s="15">
        <f>[1]July!E70-[1]June!E70</f>
        <v>-1087</v>
      </c>
      <c r="F70" s="15">
        <f>[1]July!F70-[1]June!F70</f>
        <v>-2861</v>
      </c>
    </row>
    <row r="71" spans="1:6" ht="15.75" thickBot="1" x14ac:dyDescent="0.3">
      <c r="A71" s="8" t="s">
        <v>166</v>
      </c>
      <c r="B71" s="15">
        <f>[1]July!B71-[1]June!B71</f>
        <v>57</v>
      </c>
      <c r="C71" s="15">
        <f>[1]July!C71-[1]June!C71</f>
        <v>2</v>
      </c>
      <c r="D71" s="15">
        <f>[1]July!D71-[1]June!D71</f>
        <v>5</v>
      </c>
      <c r="E71" s="15">
        <f>[1]July!E71-[1]June!E71</f>
        <v>12</v>
      </c>
      <c r="F71" s="15">
        <f>[1]July!F71-[1]June!F71</f>
        <v>76</v>
      </c>
    </row>
    <row r="72" spans="1:6" ht="16.5" thickTop="1" thickBot="1" x14ac:dyDescent="0.3">
      <c r="A72" s="2" t="s">
        <v>0</v>
      </c>
      <c r="B72" s="6">
        <f>SUM(B5:B71)</f>
        <v>-9857</v>
      </c>
      <c r="C72" s="6">
        <f>SUM(C5:C71)</f>
        <v>-19360</v>
      </c>
      <c r="D72" s="6">
        <f>SUM(D5:D71)</f>
        <v>4274</v>
      </c>
      <c r="E72" s="6">
        <f>SUM(E5:E71)</f>
        <v>-22246</v>
      </c>
      <c r="F72" s="6">
        <f>SUM(F5:F71)</f>
        <v>-47189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87</v>
      </c>
      <c r="B1" s="27"/>
      <c r="C1" s="27"/>
      <c r="D1" s="27"/>
      <c r="E1" s="27"/>
      <c r="F1" s="28"/>
    </row>
    <row r="2" spans="1:6" x14ac:dyDescent="0.25">
      <c r="A2" s="20" t="s">
        <v>188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[1]August!B5-[1]July!B5</f>
        <v>132</v>
      </c>
      <c r="C5" s="15">
        <f>[1]August!C5-[1]July!C5</f>
        <v>90</v>
      </c>
      <c r="D5" s="15">
        <f>[1]August!D5-[1]July!D5</f>
        <v>21</v>
      </c>
      <c r="E5" s="15">
        <f>[1]August!E5-[1]July!E5</f>
        <v>126</v>
      </c>
      <c r="F5" s="15">
        <f>[1]August!F5-[1]July!F5</f>
        <v>369</v>
      </c>
    </row>
    <row r="6" spans="1:6" x14ac:dyDescent="0.25">
      <c r="A6" s="8" t="s">
        <v>101</v>
      </c>
      <c r="B6" s="15">
        <f>[1]August!B6-[1]July!B6</f>
        <v>-25</v>
      </c>
      <c r="C6" s="15">
        <f>[1]August!C6-[1]July!C6</f>
        <v>-18</v>
      </c>
      <c r="D6" s="15">
        <f>[1]August!D6-[1]July!D6</f>
        <v>-3</v>
      </c>
      <c r="E6" s="15">
        <f>[1]August!E6-[1]July!E6</f>
        <v>-12</v>
      </c>
      <c r="F6" s="15">
        <f>[1]August!F6-[1]July!F6</f>
        <v>-58</v>
      </c>
    </row>
    <row r="7" spans="1:6" x14ac:dyDescent="0.25">
      <c r="A7" s="8" t="s">
        <v>102</v>
      </c>
      <c r="B7" s="15">
        <f>[1]August!B7-[1]July!B7</f>
        <v>352</v>
      </c>
      <c r="C7" s="15">
        <f>[1]August!C7-[1]July!C7</f>
        <v>27</v>
      </c>
      <c r="D7" s="15">
        <f>[1]August!D7-[1]July!D7</f>
        <v>55</v>
      </c>
      <c r="E7" s="15">
        <f>[1]August!E7-[1]July!E7</f>
        <v>40</v>
      </c>
      <c r="F7" s="15">
        <f>[1]August!F7-[1]July!F7</f>
        <v>474</v>
      </c>
    </row>
    <row r="8" spans="1:6" x14ac:dyDescent="0.25">
      <c r="A8" s="8" t="s">
        <v>103</v>
      </c>
      <c r="B8" s="15">
        <f>[1]August!B8-[1]July!B8</f>
        <v>40</v>
      </c>
      <c r="C8" s="15">
        <f>[1]August!C8-[1]July!C8</f>
        <v>-9</v>
      </c>
      <c r="D8" s="15">
        <f>[1]August!D8-[1]July!D8</f>
        <v>9</v>
      </c>
      <c r="E8" s="15">
        <f>[1]August!E8-[1]July!E8</f>
        <v>6</v>
      </c>
      <c r="F8" s="15">
        <f>[1]August!F8-[1]July!F8</f>
        <v>46</v>
      </c>
    </row>
    <row r="9" spans="1:6" x14ac:dyDescent="0.25">
      <c r="A9" s="8" t="s">
        <v>104</v>
      </c>
      <c r="B9" s="15">
        <f>[1]August!B9-[1]July!B9</f>
        <v>951</v>
      </c>
      <c r="C9" s="15">
        <f>[1]August!C9-[1]July!C9</f>
        <v>242</v>
      </c>
      <c r="D9" s="15">
        <f>[1]August!D9-[1]July!D9</f>
        <v>190</v>
      </c>
      <c r="E9" s="15">
        <f>[1]August!E9-[1]July!E9</f>
        <v>514</v>
      </c>
      <c r="F9" s="15">
        <f>[1]August!F9-[1]July!F9</f>
        <v>1897</v>
      </c>
    </row>
    <row r="10" spans="1:6" x14ac:dyDescent="0.25">
      <c r="A10" s="8" t="s">
        <v>105</v>
      </c>
      <c r="B10" s="15">
        <f>[1]August!B10-[1]July!B10</f>
        <v>251</v>
      </c>
      <c r="C10" s="15">
        <f>[1]August!C10-[1]July!C10</f>
        <v>-467</v>
      </c>
      <c r="D10" s="15">
        <f>[1]August!D10-[1]July!D10</f>
        <v>209</v>
      </c>
      <c r="E10" s="15">
        <f>[1]August!E10-[1]July!E10</f>
        <v>507</v>
      </c>
      <c r="F10" s="15">
        <f>[1]August!F10-[1]July!F10</f>
        <v>500</v>
      </c>
    </row>
    <row r="11" spans="1:6" x14ac:dyDescent="0.25">
      <c r="A11" s="8" t="s">
        <v>106</v>
      </c>
      <c r="B11" s="15">
        <f>[1]August!B11-[1]July!B11</f>
        <v>-2</v>
      </c>
      <c r="C11" s="15">
        <f>[1]August!C11-[1]July!C11</f>
        <v>-11</v>
      </c>
      <c r="D11" s="15">
        <f>[1]August!D11-[1]July!D11</f>
        <v>3</v>
      </c>
      <c r="E11" s="15">
        <f>[1]August!E11-[1]July!E11</f>
        <v>7</v>
      </c>
      <c r="F11" s="15">
        <f>[1]August!F11-[1]July!F11</f>
        <v>-3</v>
      </c>
    </row>
    <row r="12" spans="1:6" x14ac:dyDescent="0.25">
      <c r="A12" s="8" t="s">
        <v>107</v>
      </c>
      <c r="B12" s="15">
        <f>[1]August!B12-[1]July!B12</f>
        <v>420</v>
      </c>
      <c r="C12" s="15">
        <f>[1]August!C12-[1]July!C12</f>
        <v>15</v>
      </c>
      <c r="D12" s="15">
        <f>[1]August!D12-[1]July!D12</f>
        <v>75</v>
      </c>
      <c r="E12" s="15">
        <f>[1]August!E12-[1]July!E12</f>
        <v>47</v>
      </c>
      <c r="F12" s="15">
        <f>[1]August!F12-[1]July!F12</f>
        <v>557</v>
      </c>
    </row>
    <row r="13" spans="1:6" x14ac:dyDescent="0.25">
      <c r="A13" s="8" t="s">
        <v>108</v>
      </c>
      <c r="B13" s="15">
        <f>[1]August!B13-[1]July!B13</f>
        <v>259</v>
      </c>
      <c r="C13" s="15">
        <f>[1]August!C13-[1]July!C13</f>
        <v>-16</v>
      </c>
      <c r="D13" s="15">
        <f>[1]August!D13-[1]July!D13</f>
        <v>45</v>
      </c>
      <c r="E13" s="15">
        <f>[1]August!E13-[1]July!E13</f>
        <v>35</v>
      </c>
      <c r="F13" s="15">
        <f>[1]August!F13-[1]July!F13</f>
        <v>323</v>
      </c>
    </row>
    <row r="14" spans="1:6" x14ac:dyDescent="0.25">
      <c r="A14" s="8" t="s">
        <v>109</v>
      </c>
      <c r="B14" s="15">
        <f>[1]August!B14-[1]July!B14</f>
        <v>406</v>
      </c>
      <c r="C14" s="15">
        <f>[1]August!C14-[1]July!C14</f>
        <v>151</v>
      </c>
      <c r="D14" s="15">
        <f>[1]August!D14-[1]July!D14</f>
        <v>104</v>
      </c>
      <c r="E14" s="15">
        <f>[1]August!E14-[1]July!E14</f>
        <v>189</v>
      </c>
      <c r="F14" s="15">
        <f>[1]August!F14-[1]July!F14</f>
        <v>850</v>
      </c>
    </row>
    <row r="15" spans="1:6" x14ac:dyDescent="0.25">
      <c r="A15" s="8" t="s">
        <v>110</v>
      </c>
      <c r="B15" s="15">
        <f>[1]August!B15-[1]July!B15</f>
        <v>348</v>
      </c>
      <c r="C15" s="15">
        <f>[1]August!C15-[1]July!C15</f>
        <v>73</v>
      </c>
      <c r="D15" s="15">
        <f>[1]August!D15-[1]July!D15</f>
        <v>91</v>
      </c>
      <c r="E15" s="15">
        <f>[1]August!E15-[1]July!E15</f>
        <v>141</v>
      </c>
      <c r="F15" s="15">
        <f>[1]August!F15-[1]July!F15</f>
        <v>653</v>
      </c>
    </row>
    <row r="16" spans="1:6" x14ac:dyDescent="0.25">
      <c r="A16" s="8" t="s">
        <v>111</v>
      </c>
      <c r="B16" s="15">
        <f>[1]August!B16-[1]July!B16</f>
        <v>61</v>
      </c>
      <c r="C16" s="15">
        <f>[1]August!C16-[1]July!C16</f>
        <v>20</v>
      </c>
      <c r="D16" s="15">
        <f>[1]August!D16-[1]July!D16</f>
        <v>17</v>
      </c>
      <c r="E16" s="15">
        <f>[1]August!E16-[1]July!E16</f>
        <v>23</v>
      </c>
      <c r="F16" s="15">
        <f>[1]August!F16-[1]July!F16</f>
        <v>121</v>
      </c>
    </row>
    <row r="17" spans="1:6" x14ac:dyDescent="0.25">
      <c r="A17" s="8" t="s">
        <v>112</v>
      </c>
      <c r="B17" s="15">
        <f>[1]August!B17-[1]July!B17</f>
        <v>14</v>
      </c>
      <c r="C17" s="15">
        <f>[1]August!C17-[1]July!C17</f>
        <v>1</v>
      </c>
      <c r="D17" s="15">
        <f>[1]August!D17-[1]July!D17</f>
        <v>9</v>
      </c>
      <c r="E17" s="15">
        <f>[1]August!E17-[1]July!E17</f>
        <v>14</v>
      </c>
      <c r="F17" s="15">
        <f>[1]August!F17-[1]July!F17</f>
        <v>38</v>
      </c>
    </row>
    <row r="18" spans="1:6" x14ac:dyDescent="0.25">
      <c r="A18" s="8" t="s">
        <v>113</v>
      </c>
      <c r="B18" s="15">
        <f>[1]August!B18-[1]July!B18</f>
        <v>29</v>
      </c>
      <c r="C18" s="15">
        <f>[1]August!C18-[1]July!C18</f>
        <v>8</v>
      </c>
      <c r="D18" s="15">
        <f>[1]August!D18-[1]July!D18</f>
        <v>-2</v>
      </c>
      <c r="E18" s="15">
        <f>[1]August!E18-[1]July!E18</f>
        <v>13</v>
      </c>
      <c r="F18" s="15">
        <f>[1]August!F18-[1]July!F18</f>
        <v>48</v>
      </c>
    </row>
    <row r="19" spans="1:6" x14ac:dyDescent="0.25">
      <c r="A19" s="8" t="s">
        <v>114</v>
      </c>
      <c r="B19" s="15">
        <f>[1]August!B19-[1]July!B19</f>
        <v>-1226</v>
      </c>
      <c r="C19" s="15">
        <f>[1]August!C19-[1]July!C19</f>
        <v>-2861</v>
      </c>
      <c r="D19" s="15">
        <f>[1]August!D19-[1]July!D19</f>
        <v>34</v>
      </c>
      <c r="E19" s="15">
        <f>[1]August!E19-[1]July!E19</f>
        <v>-1459</v>
      </c>
      <c r="F19" s="15">
        <f>[1]August!F19-[1]July!F19</f>
        <v>-5512</v>
      </c>
    </row>
    <row r="20" spans="1:6" x14ac:dyDescent="0.25">
      <c r="A20" s="8" t="s">
        <v>115</v>
      </c>
      <c r="B20" s="15">
        <f>[1]August!B20-[1]July!B20</f>
        <v>-592</v>
      </c>
      <c r="C20" s="15">
        <f>[1]August!C20-[1]July!C20</f>
        <v>-1065</v>
      </c>
      <c r="D20" s="15">
        <f>[1]August!D20-[1]July!D20</f>
        <v>85</v>
      </c>
      <c r="E20" s="15">
        <f>[1]August!E20-[1]July!E20</f>
        <v>-307</v>
      </c>
      <c r="F20" s="15">
        <f>[1]August!F20-[1]July!F20</f>
        <v>-1879</v>
      </c>
    </row>
    <row r="21" spans="1:6" x14ac:dyDescent="0.25">
      <c r="A21" s="8" t="s">
        <v>116</v>
      </c>
      <c r="B21" s="15">
        <f>[1]August!B21-[1]July!B21</f>
        <v>338</v>
      </c>
      <c r="C21" s="15">
        <f>[1]August!C21-[1]July!C21</f>
        <v>13</v>
      </c>
      <c r="D21" s="15">
        <f>[1]August!D21-[1]July!D21</f>
        <v>49</v>
      </c>
      <c r="E21" s="15">
        <f>[1]August!E21-[1]July!E21</f>
        <v>114</v>
      </c>
      <c r="F21" s="15">
        <f>[1]August!F21-[1]July!F21</f>
        <v>514</v>
      </c>
    </row>
    <row r="22" spans="1:6" x14ac:dyDescent="0.25">
      <c r="A22" s="8" t="s">
        <v>117</v>
      </c>
      <c r="B22" s="15">
        <f>[1]August!B22-[1]July!B22</f>
        <v>25</v>
      </c>
      <c r="C22" s="15">
        <f>[1]August!C22-[1]July!C22</f>
        <v>-11</v>
      </c>
      <c r="D22" s="15">
        <f>[1]August!D22-[1]July!D22</f>
        <v>6</v>
      </c>
      <c r="E22" s="15">
        <f>[1]August!E22-[1]July!E22</f>
        <v>6</v>
      </c>
      <c r="F22" s="15">
        <f>[1]August!F22-[1]July!F22</f>
        <v>26</v>
      </c>
    </row>
    <row r="23" spans="1:6" x14ac:dyDescent="0.25">
      <c r="A23" s="8" t="s">
        <v>118</v>
      </c>
      <c r="B23" s="15">
        <f>[1]August!B23-[1]July!B23</f>
        <v>12</v>
      </c>
      <c r="C23" s="15">
        <f>[1]August!C23-[1]July!C23</f>
        <v>-17</v>
      </c>
      <c r="D23" s="15">
        <f>[1]August!D23-[1]July!D23</f>
        <v>3</v>
      </c>
      <c r="E23" s="15">
        <f>[1]August!E23-[1]July!E23</f>
        <v>17</v>
      </c>
      <c r="F23" s="15">
        <f>[1]August!F23-[1]July!F23</f>
        <v>15</v>
      </c>
    </row>
    <row r="24" spans="1:6" x14ac:dyDescent="0.25">
      <c r="A24" s="8" t="s">
        <v>119</v>
      </c>
      <c r="B24" s="15">
        <f>[1]August!B24-[1]July!B24</f>
        <v>27</v>
      </c>
      <c r="C24" s="15">
        <f>[1]August!C24-[1]July!C24</f>
        <v>3</v>
      </c>
      <c r="D24" s="15">
        <f>[1]August!D24-[1]July!D24</f>
        <v>7</v>
      </c>
      <c r="E24" s="15">
        <f>[1]August!E24-[1]July!E24</f>
        <v>1</v>
      </c>
      <c r="F24" s="15">
        <f>[1]August!F24-[1]July!F24</f>
        <v>38</v>
      </c>
    </row>
    <row r="25" spans="1:6" x14ac:dyDescent="0.25">
      <c r="A25" s="8" t="s">
        <v>120</v>
      </c>
      <c r="B25" s="15">
        <f>[1]August!B25-[1]July!B25</f>
        <v>17</v>
      </c>
      <c r="C25" s="15">
        <f>[1]August!C25-[1]July!C25</f>
        <v>-4</v>
      </c>
      <c r="D25" s="15">
        <f>[1]August!D25-[1]July!D25</f>
        <v>4</v>
      </c>
      <c r="E25" s="15">
        <f>[1]August!E25-[1]July!E25</f>
        <v>5</v>
      </c>
      <c r="F25" s="15">
        <f>[1]August!F25-[1]July!F25</f>
        <v>22</v>
      </c>
    </row>
    <row r="26" spans="1:6" x14ac:dyDescent="0.25">
      <c r="A26" s="8" t="s">
        <v>121</v>
      </c>
      <c r="B26" s="15">
        <f>[1]August!B26-[1]July!B26</f>
        <v>18</v>
      </c>
      <c r="C26" s="15">
        <f>[1]August!C26-[1]July!C26</f>
        <v>-2</v>
      </c>
      <c r="D26" s="15">
        <f>[1]August!D26-[1]July!D26</f>
        <v>1</v>
      </c>
      <c r="E26" s="15">
        <f>[1]August!E26-[1]July!E26</f>
        <v>1</v>
      </c>
      <c r="F26" s="15">
        <f>[1]August!F26-[1]July!F26</f>
        <v>18</v>
      </c>
    </row>
    <row r="27" spans="1:6" x14ac:dyDescent="0.25">
      <c r="A27" s="8" t="s">
        <v>122</v>
      </c>
      <c r="B27" s="15">
        <f>[1]August!B27-[1]July!B27</f>
        <v>4</v>
      </c>
      <c r="C27" s="15">
        <f>[1]August!C27-[1]July!C27</f>
        <v>-4</v>
      </c>
      <c r="D27" s="15">
        <f>[1]August!D27-[1]July!D27</f>
        <v>3</v>
      </c>
      <c r="E27" s="15">
        <f>[1]August!E27-[1]July!E27</f>
        <v>4</v>
      </c>
      <c r="F27" s="15">
        <f>[1]August!F27-[1]July!F27</f>
        <v>7</v>
      </c>
    </row>
    <row r="28" spans="1:6" x14ac:dyDescent="0.25">
      <c r="A28" s="8" t="s">
        <v>123</v>
      </c>
      <c r="B28" s="15">
        <f>[1]August!B28-[1]July!B28</f>
        <v>17</v>
      </c>
      <c r="C28" s="15">
        <f>[1]August!C28-[1]July!C28</f>
        <v>10</v>
      </c>
      <c r="D28" s="15">
        <f>[1]August!D28-[1]July!D28</f>
        <v>15</v>
      </c>
      <c r="E28" s="15">
        <f>[1]August!E28-[1]July!E28</f>
        <v>11</v>
      </c>
      <c r="F28" s="15">
        <f>[1]August!F28-[1]July!F28</f>
        <v>53</v>
      </c>
    </row>
    <row r="29" spans="1:6" x14ac:dyDescent="0.25">
      <c r="A29" s="8" t="s">
        <v>124</v>
      </c>
      <c r="B29" s="15">
        <f>[1]August!B29-[1]July!B29</f>
        <v>52</v>
      </c>
      <c r="C29" s="15">
        <f>[1]August!C29-[1]July!C29</f>
        <v>34</v>
      </c>
      <c r="D29" s="15">
        <f>[1]August!D29-[1]July!D29</f>
        <v>6</v>
      </c>
      <c r="E29" s="15">
        <f>[1]August!E29-[1]July!E29</f>
        <v>27</v>
      </c>
      <c r="F29" s="15">
        <f>[1]August!F29-[1]July!F29</f>
        <v>119</v>
      </c>
    </row>
    <row r="30" spans="1:6" x14ac:dyDescent="0.25">
      <c r="A30" s="8" t="s">
        <v>125</v>
      </c>
      <c r="B30" s="15">
        <f>[1]August!B30-[1]July!B30</f>
        <v>219</v>
      </c>
      <c r="C30" s="15">
        <f>[1]August!C30-[1]July!C30</f>
        <v>-32</v>
      </c>
      <c r="D30" s="15">
        <f>[1]August!D30-[1]July!D30</f>
        <v>55</v>
      </c>
      <c r="E30" s="15">
        <f>[1]August!E30-[1]July!E30</f>
        <v>37</v>
      </c>
      <c r="F30" s="15">
        <f>[1]August!F30-[1]July!F30</f>
        <v>279</v>
      </c>
    </row>
    <row r="31" spans="1:6" x14ac:dyDescent="0.25">
      <c r="A31" s="8" t="s">
        <v>126</v>
      </c>
      <c r="B31" s="15">
        <f>[1]August!B31-[1]July!B31</f>
        <v>95</v>
      </c>
      <c r="C31" s="15">
        <f>[1]August!C31-[1]July!C31</f>
        <v>26</v>
      </c>
      <c r="D31" s="15">
        <f>[1]August!D31-[1]July!D31</f>
        <v>45</v>
      </c>
      <c r="E31" s="15">
        <f>[1]August!E31-[1]July!E31</f>
        <v>7</v>
      </c>
      <c r="F31" s="15">
        <f>[1]August!F31-[1]July!F31</f>
        <v>173</v>
      </c>
    </row>
    <row r="32" spans="1:6" x14ac:dyDescent="0.25">
      <c r="A32" s="8" t="s">
        <v>127</v>
      </c>
      <c r="B32" s="15">
        <f>[1]August!B32-[1]July!B32</f>
        <v>806</v>
      </c>
      <c r="C32" s="15">
        <f>[1]August!C32-[1]July!C32</f>
        <v>470</v>
      </c>
      <c r="D32" s="15">
        <f>[1]August!D32-[1]July!D32</f>
        <v>415</v>
      </c>
      <c r="E32" s="15">
        <f>[1]August!E32-[1]July!E32</f>
        <v>576</v>
      </c>
      <c r="F32" s="15">
        <f>[1]August!F32-[1]July!F32</f>
        <v>2267</v>
      </c>
    </row>
    <row r="33" spans="1:6" x14ac:dyDescent="0.25">
      <c r="A33" s="8" t="s">
        <v>128</v>
      </c>
      <c r="B33" s="15">
        <f>[1]August!B33-[1]July!B33</f>
        <v>26</v>
      </c>
      <c r="C33" s="15">
        <f>[1]August!C33-[1]July!C33</f>
        <v>3</v>
      </c>
      <c r="D33" s="15">
        <f>[1]August!D33-[1]July!D33</f>
        <v>1</v>
      </c>
      <c r="E33" s="15">
        <f>[1]August!E33-[1]July!E33</f>
        <v>1</v>
      </c>
      <c r="F33" s="15">
        <f>[1]August!F33-[1]July!F33</f>
        <v>31</v>
      </c>
    </row>
    <row r="34" spans="1:6" x14ac:dyDescent="0.25">
      <c r="A34" s="8" t="s">
        <v>129</v>
      </c>
      <c r="B34" s="15">
        <f>[1]August!B34-[1]July!B34</f>
        <v>200</v>
      </c>
      <c r="C34" s="15">
        <f>[1]August!C34-[1]July!C34</f>
        <v>45</v>
      </c>
      <c r="D34" s="15">
        <f>[1]August!D34-[1]July!D34</f>
        <v>93</v>
      </c>
      <c r="E34" s="15">
        <f>[1]August!E34-[1]July!E34</f>
        <v>56</v>
      </c>
      <c r="F34" s="15">
        <f>[1]August!F34-[1]July!F34</f>
        <v>394</v>
      </c>
    </row>
    <row r="35" spans="1:6" x14ac:dyDescent="0.25">
      <c r="A35" s="8" t="s">
        <v>130</v>
      </c>
      <c r="B35" s="15">
        <f>[1]August!B35-[1]July!B35</f>
        <v>67</v>
      </c>
      <c r="C35" s="15">
        <f>[1]August!C35-[1]July!C35</f>
        <v>-12</v>
      </c>
      <c r="D35" s="15">
        <f>[1]August!D35-[1]July!D35</f>
        <v>10</v>
      </c>
      <c r="E35" s="15">
        <f>[1]August!E35-[1]July!E35</f>
        <v>14</v>
      </c>
      <c r="F35" s="15">
        <f>[1]August!F35-[1]July!F35</f>
        <v>79</v>
      </c>
    </row>
    <row r="36" spans="1:6" x14ac:dyDescent="0.25">
      <c r="A36" s="8" t="s">
        <v>131</v>
      </c>
      <c r="B36" s="15">
        <f>[1]August!B36-[1]July!B36</f>
        <v>19</v>
      </c>
      <c r="C36" s="15">
        <f>[1]August!C36-[1]July!C36</f>
        <v>5</v>
      </c>
      <c r="D36" s="15">
        <f>[1]August!D36-[1]July!D36</f>
        <v>4</v>
      </c>
      <c r="E36" s="15">
        <f>[1]August!E36-[1]July!E36</f>
        <v>5</v>
      </c>
      <c r="F36" s="15">
        <f>[1]August!F36-[1]July!F36</f>
        <v>33</v>
      </c>
    </row>
    <row r="37" spans="1:6" x14ac:dyDescent="0.25">
      <c r="A37" s="8" t="s">
        <v>132</v>
      </c>
      <c r="B37" s="15">
        <f>[1]August!B37-[1]July!B37</f>
        <v>14</v>
      </c>
      <c r="C37" s="15">
        <f>[1]August!C37-[1]July!C37</f>
        <v>1</v>
      </c>
      <c r="D37" s="15">
        <f>[1]August!D37-[1]July!D37</f>
        <v>-1</v>
      </c>
      <c r="E37" s="15">
        <f>[1]August!E37-[1]July!E37</f>
        <v>0</v>
      </c>
      <c r="F37" s="15">
        <f>[1]August!F37-[1]July!F37</f>
        <v>14</v>
      </c>
    </row>
    <row r="38" spans="1:6" x14ac:dyDescent="0.25">
      <c r="A38" s="8" t="s">
        <v>133</v>
      </c>
      <c r="B38" s="15">
        <f>[1]August!B38-[1]July!B38</f>
        <v>484</v>
      </c>
      <c r="C38" s="15">
        <f>[1]August!C38-[1]July!C38</f>
        <v>167</v>
      </c>
      <c r="D38" s="15">
        <f>[1]August!D38-[1]July!D38</f>
        <v>142</v>
      </c>
      <c r="E38" s="15">
        <f>[1]August!E38-[1]July!E38</f>
        <v>333</v>
      </c>
      <c r="F38" s="15">
        <f>[1]August!F38-[1]July!F38</f>
        <v>1126</v>
      </c>
    </row>
    <row r="39" spans="1:6" x14ac:dyDescent="0.25">
      <c r="A39" s="8" t="s">
        <v>134</v>
      </c>
      <c r="B39" s="15">
        <f>[1]August!B39-[1]July!B39</f>
        <v>890</v>
      </c>
      <c r="C39" s="15">
        <f>[1]August!C39-[1]July!C39</f>
        <v>241</v>
      </c>
      <c r="D39" s="15">
        <f>[1]August!D39-[1]July!D39</f>
        <v>280</v>
      </c>
      <c r="E39" s="15">
        <f>[1]August!E39-[1]July!E39</f>
        <v>319</v>
      </c>
      <c r="F39" s="15">
        <f>[1]August!F39-[1]July!F39</f>
        <v>1730</v>
      </c>
    </row>
    <row r="40" spans="1:6" x14ac:dyDescent="0.25">
      <c r="A40" s="8" t="s">
        <v>135</v>
      </c>
      <c r="B40" s="15">
        <f>[1]August!B40-[1]July!B40</f>
        <v>166</v>
      </c>
      <c r="C40" s="15">
        <f>[1]August!C40-[1]July!C40</f>
        <v>90</v>
      </c>
      <c r="D40" s="15">
        <f>[1]August!D40-[1]July!D40</f>
        <v>56</v>
      </c>
      <c r="E40" s="15">
        <f>[1]August!E40-[1]July!E40</f>
        <v>119</v>
      </c>
      <c r="F40" s="15">
        <f>[1]August!F40-[1]July!F40</f>
        <v>431</v>
      </c>
    </row>
    <row r="41" spans="1:6" x14ac:dyDescent="0.25">
      <c r="A41" s="8" t="s">
        <v>136</v>
      </c>
      <c r="B41" s="15">
        <f>[1]August!B41-[1]July!B41</f>
        <v>80</v>
      </c>
      <c r="C41" s="15">
        <f>[1]August!C41-[1]July!C41</f>
        <v>7</v>
      </c>
      <c r="D41" s="15">
        <f>[1]August!D41-[1]July!D41</f>
        <v>15</v>
      </c>
      <c r="E41" s="15">
        <f>[1]August!E41-[1]July!E41</f>
        <v>13</v>
      </c>
      <c r="F41" s="15">
        <f>[1]August!F41-[1]July!F41</f>
        <v>115</v>
      </c>
    </row>
    <row r="42" spans="1:6" x14ac:dyDescent="0.25">
      <c r="A42" s="8" t="s">
        <v>137</v>
      </c>
      <c r="B42" s="15">
        <f>[1]August!B42-[1]July!B42</f>
        <v>1</v>
      </c>
      <c r="C42" s="15">
        <f>[1]August!C42-[1]July!C42</f>
        <v>-5</v>
      </c>
      <c r="D42" s="15">
        <f>[1]August!D42-[1]July!D42</f>
        <v>1</v>
      </c>
      <c r="E42" s="15">
        <f>[1]August!E42-[1]July!E42</f>
        <v>0</v>
      </c>
      <c r="F42" s="15">
        <f>[1]August!F42-[1]July!F42</f>
        <v>-3</v>
      </c>
    </row>
    <row r="43" spans="1:6" x14ac:dyDescent="0.25">
      <c r="A43" s="8" t="s">
        <v>138</v>
      </c>
      <c r="B43" s="15">
        <f>[1]August!B43-[1]July!B43</f>
        <v>9</v>
      </c>
      <c r="C43" s="15">
        <f>[1]August!C43-[1]July!C43</f>
        <v>0</v>
      </c>
      <c r="D43" s="15">
        <f>[1]August!D43-[1]July!D43</f>
        <v>3</v>
      </c>
      <c r="E43" s="15">
        <f>[1]August!E43-[1]July!E43</f>
        <v>5</v>
      </c>
      <c r="F43" s="15">
        <f>[1]August!F43-[1]July!F43</f>
        <v>17</v>
      </c>
    </row>
    <row r="44" spans="1:6" x14ac:dyDescent="0.25">
      <c r="A44" s="8" t="s">
        <v>139</v>
      </c>
      <c r="B44" s="15">
        <f>[1]August!B44-[1]July!B44</f>
        <v>533</v>
      </c>
      <c r="C44" s="15">
        <f>[1]August!C44-[1]July!C44</f>
        <v>85</v>
      </c>
      <c r="D44" s="15">
        <f>[1]August!D44-[1]July!D44</f>
        <v>118</v>
      </c>
      <c r="E44" s="15">
        <f>[1]August!E44-[1]July!E44</f>
        <v>204</v>
      </c>
      <c r="F44" s="15">
        <f>[1]August!F44-[1]July!F44</f>
        <v>940</v>
      </c>
    </row>
    <row r="45" spans="1:6" x14ac:dyDescent="0.25">
      <c r="A45" s="8" t="s">
        <v>140</v>
      </c>
      <c r="B45" s="15">
        <f>[1]August!B45-[1]July!B45</f>
        <v>655</v>
      </c>
      <c r="C45" s="15">
        <f>[1]August!C45-[1]July!C45</f>
        <v>256</v>
      </c>
      <c r="D45" s="15">
        <f>[1]August!D45-[1]July!D45</f>
        <v>137</v>
      </c>
      <c r="E45" s="15">
        <f>[1]August!E45-[1]July!E45</f>
        <v>273</v>
      </c>
      <c r="F45" s="15">
        <f>[1]August!F45-[1]July!F45</f>
        <v>1321</v>
      </c>
    </row>
    <row r="46" spans="1:6" x14ac:dyDescent="0.25">
      <c r="A46" s="8" t="s">
        <v>141</v>
      </c>
      <c r="B46" s="15">
        <f>[1]August!B46-[1]July!B46</f>
        <v>174</v>
      </c>
      <c r="C46" s="15">
        <f>[1]August!C46-[1]July!C46</f>
        <v>16</v>
      </c>
      <c r="D46" s="15">
        <f>[1]August!D46-[1]July!D46</f>
        <v>77</v>
      </c>
      <c r="E46" s="15">
        <f>[1]August!E46-[1]July!E46</f>
        <v>33</v>
      </c>
      <c r="F46" s="15">
        <f>[1]August!F46-[1]July!F46</f>
        <v>300</v>
      </c>
    </row>
    <row r="47" spans="1:6" x14ac:dyDescent="0.25">
      <c r="A47" s="8" t="s">
        <v>142</v>
      </c>
      <c r="B47" s="15">
        <f>[1]August!B47-[1]July!B47</f>
        <v>-791</v>
      </c>
      <c r="C47" s="15">
        <f>[1]August!C47-[1]July!C47</f>
        <v>-1747</v>
      </c>
      <c r="D47" s="15">
        <f>[1]August!D47-[1]July!D47</f>
        <v>225</v>
      </c>
      <c r="E47" s="15">
        <f>[1]August!E47-[1]July!E47</f>
        <v>-807</v>
      </c>
      <c r="F47" s="15">
        <f>[1]August!F47-[1]July!F47</f>
        <v>-3120</v>
      </c>
    </row>
    <row r="48" spans="1:6" x14ac:dyDescent="0.25">
      <c r="A48" s="8" t="s">
        <v>143</v>
      </c>
      <c r="B48" s="15">
        <f>[1]August!B48-[1]July!B48</f>
        <v>52</v>
      </c>
      <c r="C48" s="15">
        <f>[1]August!C48-[1]July!C48</f>
        <v>7</v>
      </c>
      <c r="D48" s="15">
        <f>[1]August!D48-[1]July!D48</f>
        <v>30</v>
      </c>
      <c r="E48" s="15">
        <f>[1]August!E48-[1]July!E48</f>
        <v>18</v>
      </c>
      <c r="F48" s="15">
        <f>[1]August!F48-[1]July!F48</f>
        <v>107</v>
      </c>
    </row>
    <row r="49" spans="1:6" x14ac:dyDescent="0.25">
      <c r="A49" s="8" t="s">
        <v>144</v>
      </c>
      <c r="B49" s="15">
        <f>[1]August!B49-[1]July!B49</f>
        <v>71</v>
      </c>
      <c r="C49" s="15">
        <f>[1]August!C49-[1]July!C49</f>
        <v>-44</v>
      </c>
      <c r="D49" s="15">
        <f>[1]August!D49-[1]July!D49</f>
        <v>35</v>
      </c>
      <c r="E49" s="15">
        <f>[1]August!E49-[1]July!E49</f>
        <v>-21</v>
      </c>
      <c r="F49" s="15">
        <f>[1]August!F49-[1]July!F49</f>
        <v>41</v>
      </c>
    </row>
    <row r="50" spans="1:6" x14ac:dyDescent="0.25">
      <c r="A50" s="8" t="s">
        <v>145</v>
      </c>
      <c r="B50" s="15">
        <f>[1]August!B50-[1]July!B50</f>
        <v>310</v>
      </c>
      <c r="C50" s="15">
        <f>[1]August!C50-[1]July!C50</f>
        <v>53</v>
      </c>
      <c r="D50" s="15">
        <f>[1]August!D50-[1]July!D50</f>
        <v>60</v>
      </c>
      <c r="E50" s="15">
        <f>[1]August!E50-[1]July!E50</f>
        <v>118</v>
      </c>
      <c r="F50" s="15">
        <f>[1]August!F50-[1]July!F50</f>
        <v>541</v>
      </c>
    </row>
    <row r="51" spans="1:6" x14ac:dyDescent="0.25">
      <c r="A51" s="8" t="s">
        <v>146</v>
      </c>
      <c r="B51" s="15">
        <f>[1]August!B51-[1]July!B51</f>
        <v>22</v>
      </c>
      <c r="C51" s="15">
        <f>[1]August!C51-[1]July!C51</f>
        <v>5</v>
      </c>
      <c r="D51" s="15">
        <f>[1]August!D51-[1]July!D51</f>
        <v>14</v>
      </c>
      <c r="E51" s="15">
        <f>[1]August!E51-[1]July!E51</f>
        <v>17</v>
      </c>
      <c r="F51" s="15">
        <f>[1]August!F51-[1]July!F51</f>
        <v>58</v>
      </c>
    </row>
    <row r="52" spans="1:6" x14ac:dyDescent="0.25">
      <c r="A52" s="8" t="s">
        <v>147</v>
      </c>
      <c r="B52" s="15">
        <f>[1]August!B52-[1]July!B52</f>
        <v>680</v>
      </c>
      <c r="C52" s="15">
        <f>[1]August!C52-[1]July!C52</f>
        <v>807</v>
      </c>
      <c r="D52" s="15">
        <f>[1]August!D52-[1]July!D52</f>
        <v>470</v>
      </c>
      <c r="E52" s="15">
        <f>[1]August!E52-[1]July!E52</f>
        <v>555</v>
      </c>
      <c r="F52" s="15">
        <f>[1]August!F52-[1]July!F52</f>
        <v>2512</v>
      </c>
    </row>
    <row r="53" spans="1:6" x14ac:dyDescent="0.25">
      <c r="A53" s="8" t="s">
        <v>148</v>
      </c>
      <c r="B53" s="15">
        <f>[1]August!B53-[1]July!B53</f>
        <v>482</v>
      </c>
      <c r="C53" s="15">
        <f>[1]August!C53-[1]July!C53</f>
        <v>280</v>
      </c>
      <c r="D53" s="15">
        <f>[1]August!D53-[1]July!D53</f>
        <v>183</v>
      </c>
      <c r="E53" s="15">
        <f>[1]August!E53-[1]July!E53</f>
        <v>303</v>
      </c>
      <c r="F53" s="15">
        <f>[1]August!F53-[1]July!F53</f>
        <v>1248</v>
      </c>
    </row>
    <row r="54" spans="1:6" x14ac:dyDescent="0.25">
      <c r="A54" s="8" t="s">
        <v>149</v>
      </c>
      <c r="B54" s="15">
        <f>[1]August!B54-[1]July!B54</f>
        <v>-9771</v>
      </c>
      <c r="C54" s="15">
        <f>[1]August!C54-[1]July!C54</f>
        <v>-21920</v>
      </c>
      <c r="D54" s="15">
        <f>[1]August!D54-[1]July!D54</f>
        <v>-1280</v>
      </c>
      <c r="E54" s="15">
        <f>[1]August!E54-[1]July!E54</f>
        <v>-23103</v>
      </c>
      <c r="F54" s="15">
        <f>[1]August!F54-[1]July!F54</f>
        <v>-56074</v>
      </c>
    </row>
    <row r="55" spans="1:6" x14ac:dyDescent="0.25">
      <c r="A55" s="8" t="s">
        <v>150</v>
      </c>
      <c r="B55" s="15">
        <f>[1]August!B55-[1]July!B55</f>
        <v>713</v>
      </c>
      <c r="C55" s="15">
        <f>[1]August!C55-[1]July!C55</f>
        <v>194</v>
      </c>
      <c r="D55" s="15">
        <f>[1]August!D55-[1]July!D55</f>
        <v>211</v>
      </c>
      <c r="E55" s="15">
        <f>[1]August!E55-[1]July!E55</f>
        <v>239</v>
      </c>
      <c r="F55" s="15">
        <f>[1]August!F55-[1]July!F55</f>
        <v>1357</v>
      </c>
    </row>
    <row r="56" spans="1:6" x14ac:dyDescent="0.25">
      <c r="A56" s="8" t="s">
        <v>151</v>
      </c>
      <c r="B56" s="15">
        <f>[1]August!B56-[1]July!B56</f>
        <v>512</v>
      </c>
      <c r="C56" s="15">
        <f>[1]August!C56-[1]July!C56</f>
        <v>-18</v>
      </c>
      <c r="D56" s="15">
        <f>[1]August!D56-[1]July!D56</f>
        <v>224</v>
      </c>
      <c r="E56" s="15">
        <f>[1]August!E56-[1]July!E56</f>
        <v>237</v>
      </c>
      <c r="F56" s="15">
        <f>[1]August!F56-[1]July!F56</f>
        <v>955</v>
      </c>
    </row>
    <row r="57" spans="1:6" x14ac:dyDescent="0.25">
      <c r="A57" s="8" t="s">
        <v>152</v>
      </c>
      <c r="B57" s="15">
        <f>[1]August!B57-[1]July!B57</f>
        <v>784</v>
      </c>
      <c r="C57" s="15">
        <f>[1]August!C57-[1]July!C57</f>
        <v>445</v>
      </c>
      <c r="D57" s="15">
        <f>[1]August!D57-[1]July!D57</f>
        <v>242</v>
      </c>
      <c r="E57" s="15">
        <f>[1]August!E57-[1]July!E57</f>
        <v>628</v>
      </c>
      <c r="F57" s="15">
        <f>[1]August!F57-[1]July!F57</f>
        <v>2099</v>
      </c>
    </row>
    <row r="58" spans="1:6" x14ac:dyDescent="0.25">
      <c r="A58" s="8" t="s">
        <v>153</v>
      </c>
      <c r="B58" s="15">
        <f>[1]August!B58-[1]July!B58</f>
        <v>46</v>
      </c>
      <c r="C58" s="15">
        <f>[1]August!C58-[1]July!C58</f>
        <v>37</v>
      </c>
      <c r="D58" s="15">
        <f>[1]August!D58-[1]July!D58</f>
        <v>11</v>
      </c>
      <c r="E58" s="15">
        <f>[1]August!E58-[1]July!E58</f>
        <v>24</v>
      </c>
      <c r="F58" s="15">
        <f>[1]August!F58-[1]July!F58</f>
        <v>118</v>
      </c>
    </row>
    <row r="59" spans="1:6" x14ac:dyDescent="0.25">
      <c r="A59" s="8" t="s">
        <v>154</v>
      </c>
      <c r="B59" s="15">
        <f>[1]August!B59-[1]July!B59</f>
        <v>414</v>
      </c>
      <c r="C59" s="15">
        <f>[1]August!C59-[1]July!C59</f>
        <v>50</v>
      </c>
      <c r="D59" s="15">
        <f>[1]August!D59-[1]July!D59</f>
        <v>86</v>
      </c>
      <c r="E59" s="15">
        <f>[1]August!E59-[1]July!E59</f>
        <v>123</v>
      </c>
      <c r="F59" s="15">
        <f>[1]August!F59-[1]July!F59</f>
        <v>673</v>
      </c>
    </row>
    <row r="60" spans="1:6" x14ac:dyDescent="0.25">
      <c r="A60" s="8" t="s">
        <v>155</v>
      </c>
      <c r="B60" s="15">
        <f>[1]August!B60-[1]July!B60</f>
        <v>769</v>
      </c>
      <c r="C60" s="15">
        <f>[1]August!C60-[1]July!C60</f>
        <v>116</v>
      </c>
      <c r="D60" s="15">
        <f>[1]August!D60-[1]July!D60</f>
        <v>191</v>
      </c>
      <c r="E60" s="15">
        <f>[1]August!E60-[1]July!E60</f>
        <v>260</v>
      </c>
      <c r="F60" s="15">
        <f>[1]August!F60-[1]July!F60</f>
        <v>1336</v>
      </c>
    </row>
    <row r="61" spans="1:6" x14ac:dyDescent="0.25">
      <c r="A61" s="8" t="s">
        <v>156</v>
      </c>
      <c r="B61" s="15">
        <f>[1]August!B61-[1]July!B61</f>
        <v>183</v>
      </c>
      <c r="C61" s="15">
        <f>[1]August!C61-[1]July!C61</f>
        <v>29</v>
      </c>
      <c r="D61" s="15">
        <f>[1]August!D61-[1]July!D61</f>
        <v>185</v>
      </c>
      <c r="E61" s="15">
        <f>[1]August!E61-[1]July!E61</f>
        <v>65</v>
      </c>
      <c r="F61" s="15">
        <f>[1]August!F61-[1]July!F61</f>
        <v>462</v>
      </c>
    </row>
    <row r="62" spans="1:6" x14ac:dyDescent="0.25">
      <c r="A62" s="8" t="s">
        <v>157</v>
      </c>
      <c r="B62" s="15">
        <f>[1]August!B62-[1]July!B62</f>
        <v>370</v>
      </c>
      <c r="C62" s="15">
        <f>[1]August!C62-[1]July!C62</f>
        <v>68</v>
      </c>
      <c r="D62" s="15">
        <f>[1]August!D62-[1]July!D62</f>
        <v>112</v>
      </c>
      <c r="E62" s="15">
        <f>[1]August!E62-[1]July!E62</f>
        <v>205</v>
      </c>
      <c r="F62" s="15">
        <f>[1]August!F62-[1]July!F62</f>
        <v>755</v>
      </c>
    </row>
    <row r="63" spans="1:6" x14ac:dyDescent="0.25">
      <c r="A63" s="8" t="s">
        <v>158</v>
      </c>
      <c r="B63" s="15">
        <f>[1]August!B63-[1]July!B63</f>
        <v>-3177</v>
      </c>
      <c r="C63" s="15">
        <f>[1]August!C63-[1]July!C63</f>
        <v>-7140</v>
      </c>
      <c r="D63" s="15">
        <f>[1]August!D63-[1]July!D63</f>
        <v>-355</v>
      </c>
      <c r="E63" s="15">
        <f>[1]August!E63-[1]July!E63</f>
        <v>-6503</v>
      </c>
      <c r="F63" s="15">
        <f>[1]August!F63-[1]July!F63</f>
        <v>-17175</v>
      </c>
    </row>
    <row r="64" spans="1:6" x14ac:dyDescent="0.25">
      <c r="A64" s="8" t="s">
        <v>159</v>
      </c>
      <c r="B64" s="15">
        <f>[1]August!B64-[1]July!B64</f>
        <v>-3242</v>
      </c>
      <c r="C64" s="15">
        <f>[1]August!C64-[1]July!C64</f>
        <v>-2249</v>
      </c>
      <c r="D64" s="15">
        <f>[1]August!D64-[1]July!D64</f>
        <v>-60</v>
      </c>
      <c r="E64" s="15">
        <f>[1]August!E64-[1]July!E64</f>
        <v>-3228</v>
      </c>
      <c r="F64" s="15">
        <f>[1]August!F64-[1]July!F64</f>
        <v>-8779</v>
      </c>
    </row>
    <row r="65" spans="1:6" x14ac:dyDescent="0.25">
      <c r="A65" s="8" t="s">
        <v>160</v>
      </c>
      <c r="B65" s="15">
        <f>[1]August!B65-[1]July!B65</f>
        <v>66</v>
      </c>
      <c r="C65" s="15">
        <f>[1]August!C65-[1]July!C65</f>
        <v>-5</v>
      </c>
      <c r="D65" s="15">
        <f>[1]August!D65-[1]July!D65</f>
        <v>18</v>
      </c>
      <c r="E65" s="15">
        <f>[1]August!E65-[1]July!E65</f>
        <v>8</v>
      </c>
      <c r="F65" s="15">
        <f>[1]August!F65-[1]July!F65</f>
        <v>87</v>
      </c>
    </row>
    <row r="66" spans="1:6" x14ac:dyDescent="0.25">
      <c r="A66" s="8" t="s">
        <v>161</v>
      </c>
      <c r="B66" s="15">
        <f>[1]August!B66-[1]July!B66</f>
        <v>-2</v>
      </c>
      <c r="C66" s="15">
        <f>[1]August!C66-[1]July!C66</f>
        <v>-6</v>
      </c>
      <c r="D66" s="15">
        <f>[1]August!D66-[1]July!D66</f>
        <v>7</v>
      </c>
      <c r="E66" s="15">
        <f>[1]August!E66-[1]July!E66</f>
        <v>-2</v>
      </c>
      <c r="F66" s="15">
        <f>[1]August!F66-[1]July!F66</f>
        <v>-3</v>
      </c>
    </row>
    <row r="67" spans="1:6" x14ac:dyDescent="0.25">
      <c r="A67" s="8" t="s">
        <v>162</v>
      </c>
      <c r="B67" s="15">
        <f>[1]August!B67-[1]July!B67</f>
        <v>16</v>
      </c>
      <c r="C67" s="15">
        <f>[1]August!C67-[1]July!C67</f>
        <v>0</v>
      </c>
      <c r="D67" s="15">
        <f>[1]August!D67-[1]July!D67</f>
        <v>1</v>
      </c>
      <c r="E67" s="15">
        <f>[1]August!E67-[1]July!E67</f>
        <v>0</v>
      </c>
      <c r="F67" s="15">
        <f>[1]August!F67-[1]July!F67</f>
        <v>17</v>
      </c>
    </row>
    <row r="68" spans="1:6" x14ac:dyDescent="0.25">
      <c r="A68" s="8" t="s">
        <v>163</v>
      </c>
      <c r="B68" s="15">
        <f>[1]August!B68-[1]July!B68</f>
        <v>665</v>
      </c>
      <c r="C68" s="15">
        <f>[1]August!C68-[1]July!C68</f>
        <v>70</v>
      </c>
      <c r="D68" s="15">
        <f>[1]August!D68-[1]July!D68</f>
        <v>256</v>
      </c>
      <c r="E68" s="15">
        <f>[1]August!E68-[1]July!E68</f>
        <v>188</v>
      </c>
      <c r="F68" s="15">
        <f>[1]August!F68-[1]July!F68</f>
        <v>1179</v>
      </c>
    </row>
    <row r="69" spans="1:6" x14ac:dyDescent="0.25">
      <c r="A69" s="8" t="s">
        <v>164</v>
      </c>
      <c r="B69" s="15">
        <f>[1]August!B69-[1]July!B69</f>
        <v>53</v>
      </c>
      <c r="C69" s="15">
        <f>[1]August!C69-[1]July!C69</f>
        <v>-3</v>
      </c>
      <c r="D69" s="15">
        <f>[1]August!D69-[1]July!D69</f>
        <v>14</v>
      </c>
      <c r="E69" s="15">
        <f>[1]August!E69-[1]July!E69</f>
        <v>-1</v>
      </c>
      <c r="F69" s="15">
        <f>[1]August!F69-[1]July!F69</f>
        <v>63</v>
      </c>
    </row>
    <row r="70" spans="1:6" x14ac:dyDescent="0.25">
      <c r="A70" s="8" t="s">
        <v>165</v>
      </c>
      <c r="B70" s="15">
        <f>[1]August!B70-[1]July!B70</f>
        <v>233</v>
      </c>
      <c r="C70" s="15">
        <f>[1]August!C70-[1]July!C70</f>
        <v>12</v>
      </c>
      <c r="D70" s="15">
        <f>[1]August!D70-[1]July!D70</f>
        <v>21</v>
      </c>
      <c r="E70" s="15">
        <f>[1]August!E70-[1]July!E70</f>
        <v>31</v>
      </c>
      <c r="F70" s="15">
        <f>[1]August!F70-[1]July!F70</f>
        <v>297</v>
      </c>
    </row>
    <row r="71" spans="1:6" ht="15.75" thickBot="1" x14ac:dyDescent="0.3">
      <c r="A71" s="8" t="s">
        <v>166</v>
      </c>
      <c r="B71" s="15">
        <f>[1]August!B71-[1]July!B71</f>
        <v>50</v>
      </c>
      <c r="C71" s="15">
        <f>[1]August!C71-[1]July!C71</f>
        <v>-2</v>
      </c>
      <c r="D71" s="15">
        <f>[1]August!D71-[1]July!D71</f>
        <v>5</v>
      </c>
      <c r="E71" s="15">
        <f>[1]August!E71-[1]July!E71</f>
        <v>6</v>
      </c>
      <c r="F71" s="15">
        <f>[1]August!F71-[1]July!F71</f>
        <v>59</v>
      </c>
    </row>
    <row r="72" spans="1:6" ht="16.5" thickTop="1" thickBot="1" x14ac:dyDescent="0.3">
      <c r="A72" s="2" t="s">
        <v>0</v>
      </c>
      <c r="B72" s="6">
        <f>SUM(B5:B71)</f>
        <v>-4126</v>
      </c>
      <c r="C72" s="6">
        <f>SUM(C5:C71)</f>
        <v>-33396</v>
      </c>
      <c r="D72" s="6">
        <f>SUM(D5:D71)</f>
        <v>3393</v>
      </c>
      <c r="E72" s="6">
        <f>SUM(E5:E71)</f>
        <v>-28575</v>
      </c>
      <c r="F72" s="6">
        <f>SUM(F5:F71)</f>
        <v>-62704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72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88</v>
      </c>
      <c r="B1" s="27"/>
      <c r="C1" s="27"/>
      <c r="D1" s="27"/>
      <c r="E1" s="27"/>
      <c r="F1" s="28"/>
    </row>
    <row r="2" spans="1:6" x14ac:dyDescent="0.25">
      <c r="A2" s="20" t="s">
        <v>189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[1]September!B5-[1]August!B5</f>
        <v>103</v>
      </c>
      <c r="C5" s="15">
        <f>[1]September!C5-[1]August!C5</f>
        <v>-164</v>
      </c>
      <c r="D5" s="15">
        <f>[1]September!D5-[1]August!D5</f>
        <v>81</v>
      </c>
      <c r="E5" s="15">
        <f>[1]September!E5-[1]August!E5</f>
        <v>116</v>
      </c>
      <c r="F5" s="15">
        <f>[1]September!F5-[1]August!F5</f>
        <v>136</v>
      </c>
    </row>
    <row r="6" spans="1:6" x14ac:dyDescent="0.25">
      <c r="A6" s="8" t="s">
        <v>101</v>
      </c>
      <c r="B6" s="15">
        <f>[1]September!B6-[1]August!B6</f>
        <v>28</v>
      </c>
      <c r="C6" s="15">
        <f>[1]September!C6-[1]August!C6</f>
        <v>1</v>
      </c>
      <c r="D6" s="15">
        <f>[1]September!D6-[1]August!D6</f>
        <v>9</v>
      </c>
      <c r="E6" s="15">
        <f>[1]September!E6-[1]August!E6</f>
        <v>4</v>
      </c>
      <c r="F6" s="15">
        <f>[1]September!F6-[1]August!F6</f>
        <v>42</v>
      </c>
    </row>
    <row r="7" spans="1:6" x14ac:dyDescent="0.25">
      <c r="A7" s="8" t="s">
        <v>102</v>
      </c>
      <c r="B7" s="15">
        <f>[1]September!B7-[1]August!B7</f>
        <v>307</v>
      </c>
      <c r="C7" s="15">
        <f>[1]September!C7-[1]August!C7</f>
        <v>-34</v>
      </c>
      <c r="D7" s="15">
        <f>[1]September!D7-[1]August!D7</f>
        <v>97</v>
      </c>
      <c r="E7" s="15">
        <f>[1]September!E7-[1]August!E7</f>
        <v>70</v>
      </c>
      <c r="F7" s="15">
        <f>[1]September!F7-[1]August!F7</f>
        <v>440</v>
      </c>
    </row>
    <row r="8" spans="1:6" x14ac:dyDescent="0.25">
      <c r="A8" s="8" t="s">
        <v>103</v>
      </c>
      <c r="B8" s="15">
        <f>[1]September!B8-[1]August!B8</f>
        <v>-746</v>
      </c>
      <c r="C8" s="15">
        <f>[1]September!C8-[1]August!C8</f>
        <v>-742</v>
      </c>
      <c r="D8" s="15">
        <f>[1]September!D8-[1]August!D8</f>
        <v>-10</v>
      </c>
      <c r="E8" s="15">
        <f>[1]September!E8-[1]August!E8</f>
        <v>-596</v>
      </c>
      <c r="F8" s="15">
        <f>[1]September!F8-[1]August!F8</f>
        <v>-2094</v>
      </c>
    </row>
    <row r="9" spans="1:6" x14ac:dyDescent="0.25">
      <c r="A9" s="8" t="s">
        <v>104</v>
      </c>
      <c r="B9" s="15">
        <f>[1]September!B9-[1]August!B9</f>
        <v>993</v>
      </c>
      <c r="C9" s="15">
        <f>[1]September!C9-[1]August!C9</f>
        <v>-6</v>
      </c>
      <c r="D9" s="15">
        <f>[1]September!D9-[1]August!D9</f>
        <v>193</v>
      </c>
      <c r="E9" s="15">
        <f>[1]September!E9-[1]August!E9</f>
        <v>575</v>
      </c>
      <c r="F9" s="15">
        <f>[1]September!F9-[1]August!F9</f>
        <v>1755</v>
      </c>
    </row>
    <row r="10" spans="1:6" x14ac:dyDescent="0.25">
      <c r="A10" s="8" t="s">
        <v>105</v>
      </c>
      <c r="B10" s="15">
        <f>[1]September!B10-[1]August!B10</f>
        <v>1662</v>
      </c>
      <c r="C10" s="15">
        <f>[1]September!C10-[1]August!C10</f>
        <v>336</v>
      </c>
      <c r="D10" s="15">
        <f>[1]September!D10-[1]August!D10</f>
        <v>586</v>
      </c>
      <c r="E10" s="15">
        <f>[1]September!E10-[1]August!E10</f>
        <v>1906</v>
      </c>
      <c r="F10" s="15">
        <f>[1]September!F10-[1]August!F10</f>
        <v>4490</v>
      </c>
    </row>
    <row r="11" spans="1:6" x14ac:dyDescent="0.25">
      <c r="A11" s="8" t="s">
        <v>106</v>
      </c>
      <c r="B11" s="15">
        <f>[1]September!B11-[1]August!B11</f>
        <v>16</v>
      </c>
      <c r="C11" s="15">
        <f>[1]September!C11-[1]August!C11</f>
        <v>-8</v>
      </c>
      <c r="D11" s="15">
        <f>[1]September!D11-[1]August!D11</f>
        <v>3</v>
      </c>
      <c r="E11" s="15">
        <f>[1]September!E11-[1]August!E11</f>
        <v>-3</v>
      </c>
      <c r="F11" s="15">
        <f>[1]September!F11-[1]August!F11</f>
        <v>8</v>
      </c>
    </row>
    <row r="12" spans="1:6" x14ac:dyDescent="0.25">
      <c r="A12" s="8" t="s">
        <v>107</v>
      </c>
      <c r="B12" s="15">
        <f>[1]September!B12-[1]August!B12</f>
        <v>506</v>
      </c>
      <c r="C12" s="15">
        <f>[1]September!C12-[1]August!C12</f>
        <v>34</v>
      </c>
      <c r="D12" s="15">
        <f>[1]September!D12-[1]August!D12</f>
        <v>80</v>
      </c>
      <c r="E12" s="15">
        <f>[1]September!E12-[1]August!E12</f>
        <v>15</v>
      </c>
      <c r="F12" s="15">
        <f>[1]September!F12-[1]August!F12</f>
        <v>635</v>
      </c>
    </row>
    <row r="13" spans="1:6" x14ac:dyDescent="0.25">
      <c r="A13" s="8" t="s">
        <v>108</v>
      </c>
      <c r="B13" s="15">
        <f>[1]September!B13-[1]August!B13</f>
        <v>83</v>
      </c>
      <c r="C13" s="15">
        <f>[1]September!C13-[1]August!C13</f>
        <v>-92</v>
      </c>
      <c r="D13" s="15">
        <f>[1]September!D13-[1]August!D13</f>
        <v>77</v>
      </c>
      <c r="E13" s="15">
        <f>[1]September!E13-[1]August!E13</f>
        <v>-79</v>
      </c>
      <c r="F13" s="15">
        <f>[1]September!F13-[1]August!F13</f>
        <v>-11</v>
      </c>
    </row>
    <row r="14" spans="1:6" x14ac:dyDescent="0.25">
      <c r="A14" s="8" t="s">
        <v>109</v>
      </c>
      <c r="B14" s="15">
        <f>[1]September!B14-[1]August!B14</f>
        <v>305</v>
      </c>
      <c r="C14" s="15">
        <f>[1]September!C14-[1]August!C14</f>
        <v>57</v>
      </c>
      <c r="D14" s="15">
        <f>[1]September!D14-[1]August!D14</f>
        <v>72</v>
      </c>
      <c r="E14" s="15">
        <f>[1]September!E14-[1]August!E14</f>
        <v>102</v>
      </c>
      <c r="F14" s="15">
        <f>[1]September!F14-[1]August!F14</f>
        <v>536</v>
      </c>
    </row>
    <row r="15" spans="1:6" x14ac:dyDescent="0.25">
      <c r="A15" s="8" t="s">
        <v>110</v>
      </c>
      <c r="B15" s="15">
        <f>[1]September!B15-[1]August!B15</f>
        <v>468</v>
      </c>
      <c r="C15" s="15">
        <f>[1]September!C15-[1]August!C15</f>
        <v>-13</v>
      </c>
      <c r="D15" s="15">
        <f>[1]September!D15-[1]August!D15</f>
        <v>117</v>
      </c>
      <c r="E15" s="15">
        <f>[1]September!E15-[1]August!E15</f>
        <v>184</v>
      </c>
      <c r="F15" s="15">
        <f>[1]September!F15-[1]August!F15</f>
        <v>756</v>
      </c>
    </row>
    <row r="16" spans="1:6" x14ac:dyDescent="0.25">
      <c r="A16" s="8" t="s">
        <v>111</v>
      </c>
      <c r="B16" s="15">
        <f>[1]September!B16-[1]August!B16</f>
        <v>59</v>
      </c>
      <c r="C16" s="15">
        <f>[1]September!C16-[1]August!C16</f>
        <v>-8</v>
      </c>
      <c r="D16" s="15">
        <f>[1]September!D16-[1]August!D16</f>
        <v>17</v>
      </c>
      <c r="E16" s="15">
        <f>[1]September!E16-[1]August!E16</f>
        <v>23</v>
      </c>
      <c r="F16" s="15">
        <f>[1]September!F16-[1]August!F16</f>
        <v>91</v>
      </c>
    </row>
    <row r="17" spans="1:6" x14ac:dyDescent="0.25">
      <c r="A17" s="8" t="s">
        <v>112</v>
      </c>
      <c r="B17" s="15">
        <f>[1]September!B17-[1]August!B17</f>
        <v>17</v>
      </c>
      <c r="C17" s="15">
        <f>[1]September!C17-[1]August!C17</f>
        <v>-12</v>
      </c>
      <c r="D17" s="15">
        <f>[1]September!D17-[1]August!D17</f>
        <v>3</v>
      </c>
      <c r="E17" s="15">
        <f>[1]September!E17-[1]August!E17</f>
        <v>6</v>
      </c>
      <c r="F17" s="15">
        <f>[1]September!F17-[1]August!F17</f>
        <v>14</v>
      </c>
    </row>
    <row r="18" spans="1:6" x14ac:dyDescent="0.25">
      <c r="A18" s="8" t="s">
        <v>113</v>
      </c>
      <c r="B18" s="15">
        <f>[1]September!B18-[1]August!B18</f>
        <v>1</v>
      </c>
      <c r="C18" s="15">
        <f>[1]September!C18-[1]August!C18</f>
        <v>-10</v>
      </c>
      <c r="D18" s="15">
        <f>[1]September!D18-[1]August!D18</f>
        <v>0</v>
      </c>
      <c r="E18" s="15">
        <f>[1]September!E18-[1]August!E18</f>
        <v>-1</v>
      </c>
      <c r="F18" s="15">
        <f>[1]September!F18-[1]August!F18</f>
        <v>-10</v>
      </c>
    </row>
    <row r="19" spans="1:6" x14ac:dyDescent="0.25">
      <c r="A19" s="8" t="s">
        <v>114</v>
      </c>
      <c r="B19" s="15">
        <f>[1]September!B19-[1]August!B19</f>
        <v>-3107</v>
      </c>
      <c r="C19" s="15">
        <f>[1]September!C19-[1]August!C19</f>
        <v>-6223</v>
      </c>
      <c r="D19" s="15">
        <f>[1]September!D19-[1]August!D19</f>
        <v>-287</v>
      </c>
      <c r="E19" s="15">
        <f>[1]September!E19-[1]August!E19</f>
        <v>-3543</v>
      </c>
      <c r="F19" s="15">
        <f>[1]September!F19-[1]August!F19</f>
        <v>-13160</v>
      </c>
    </row>
    <row r="20" spans="1:6" x14ac:dyDescent="0.25">
      <c r="A20" s="8" t="s">
        <v>115</v>
      </c>
      <c r="B20" s="15">
        <f>[1]September!B20-[1]August!B20</f>
        <v>-2653</v>
      </c>
      <c r="C20" s="15">
        <f>[1]September!C20-[1]August!C20</f>
        <v>-3363</v>
      </c>
      <c r="D20" s="15">
        <f>[1]September!D20-[1]August!D20</f>
        <v>-145</v>
      </c>
      <c r="E20" s="15">
        <f>[1]September!E20-[1]August!E20</f>
        <v>-3400</v>
      </c>
      <c r="F20" s="15">
        <f>[1]September!F20-[1]August!F20</f>
        <v>-9561</v>
      </c>
    </row>
    <row r="21" spans="1:6" x14ac:dyDescent="0.25">
      <c r="A21" s="8" t="s">
        <v>116</v>
      </c>
      <c r="B21" s="15">
        <f>[1]September!B21-[1]August!B21</f>
        <v>263</v>
      </c>
      <c r="C21" s="15">
        <f>[1]September!C21-[1]August!C21</f>
        <v>-1</v>
      </c>
      <c r="D21" s="15">
        <f>[1]September!D21-[1]August!D21</f>
        <v>63</v>
      </c>
      <c r="E21" s="15">
        <f>[1]September!E21-[1]August!E21</f>
        <v>38</v>
      </c>
      <c r="F21" s="15">
        <f>[1]September!F21-[1]August!F21</f>
        <v>363</v>
      </c>
    </row>
    <row r="22" spans="1:6" x14ac:dyDescent="0.25">
      <c r="A22" s="8" t="s">
        <v>117</v>
      </c>
      <c r="B22" s="15">
        <f>[1]September!B22-[1]August!B22</f>
        <v>3</v>
      </c>
      <c r="C22" s="15">
        <f>[1]September!C22-[1]August!C22</f>
        <v>-11</v>
      </c>
      <c r="D22" s="15">
        <f>[1]September!D22-[1]August!D22</f>
        <v>4</v>
      </c>
      <c r="E22" s="15">
        <f>[1]September!E22-[1]August!E22</f>
        <v>8</v>
      </c>
      <c r="F22" s="15">
        <f>[1]September!F22-[1]August!F22</f>
        <v>4</v>
      </c>
    </row>
    <row r="23" spans="1:6" x14ac:dyDescent="0.25">
      <c r="A23" s="8" t="s">
        <v>118</v>
      </c>
      <c r="B23" s="15">
        <f>[1]September!B23-[1]August!B23</f>
        <v>44</v>
      </c>
      <c r="C23" s="15">
        <f>[1]September!C23-[1]August!C23</f>
        <v>-21</v>
      </c>
      <c r="D23" s="15">
        <f>[1]September!D23-[1]August!D23</f>
        <v>9</v>
      </c>
      <c r="E23" s="15">
        <f>[1]September!E23-[1]August!E23</f>
        <v>21</v>
      </c>
      <c r="F23" s="15">
        <f>[1]September!F23-[1]August!F23</f>
        <v>53</v>
      </c>
    </row>
    <row r="24" spans="1:6" x14ac:dyDescent="0.25">
      <c r="A24" s="8" t="s">
        <v>119</v>
      </c>
      <c r="B24" s="15">
        <f>[1]September!B24-[1]August!B24</f>
        <v>30</v>
      </c>
      <c r="C24" s="15">
        <f>[1]September!C24-[1]August!C24</f>
        <v>-3</v>
      </c>
      <c r="D24" s="15">
        <f>[1]September!D24-[1]August!D24</f>
        <v>20</v>
      </c>
      <c r="E24" s="15">
        <f>[1]September!E24-[1]August!E24</f>
        <v>5</v>
      </c>
      <c r="F24" s="15">
        <f>[1]September!F24-[1]August!F24</f>
        <v>52</v>
      </c>
    </row>
    <row r="25" spans="1:6" x14ac:dyDescent="0.25">
      <c r="A25" s="8" t="s">
        <v>120</v>
      </c>
      <c r="B25" s="15">
        <f>[1]September!B25-[1]August!B25</f>
        <v>-4</v>
      </c>
      <c r="C25" s="15">
        <f>[1]September!C25-[1]August!C25</f>
        <v>-1</v>
      </c>
      <c r="D25" s="15">
        <f>[1]September!D25-[1]August!D25</f>
        <v>4</v>
      </c>
      <c r="E25" s="15">
        <f>[1]September!E25-[1]August!E25</f>
        <v>5</v>
      </c>
      <c r="F25" s="15">
        <f>[1]September!F25-[1]August!F25</f>
        <v>4</v>
      </c>
    </row>
    <row r="26" spans="1:6" x14ac:dyDescent="0.25">
      <c r="A26" s="8" t="s">
        <v>121</v>
      </c>
      <c r="B26" s="15">
        <f>[1]September!B26-[1]August!B26</f>
        <v>36</v>
      </c>
      <c r="C26" s="15">
        <f>[1]September!C26-[1]August!C26</f>
        <v>-10</v>
      </c>
      <c r="D26" s="15">
        <f>[1]September!D26-[1]August!D26</f>
        <v>10</v>
      </c>
      <c r="E26" s="15">
        <f>[1]September!E26-[1]August!E26</f>
        <v>6</v>
      </c>
      <c r="F26" s="15">
        <f>[1]September!F26-[1]August!F26</f>
        <v>42</v>
      </c>
    </row>
    <row r="27" spans="1:6" x14ac:dyDescent="0.25">
      <c r="A27" s="8" t="s">
        <v>122</v>
      </c>
      <c r="B27" s="15">
        <f>[1]September!B27-[1]August!B27</f>
        <v>16</v>
      </c>
      <c r="C27" s="15">
        <f>[1]September!C27-[1]August!C27</f>
        <v>4</v>
      </c>
      <c r="D27" s="15">
        <f>[1]September!D27-[1]August!D27</f>
        <v>2</v>
      </c>
      <c r="E27" s="15">
        <f>[1]September!E27-[1]August!E27</f>
        <v>11</v>
      </c>
      <c r="F27" s="15">
        <f>[1]September!F27-[1]August!F27</f>
        <v>33</v>
      </c>
    </row>
    <row r="28" spans="1:6" x14ac:dyDescent="0.25">
      <c r="A28" s="8" t="s">
        <v>123</v>
      </c>
      <c r="B28" s="15">
        <f>[1]September!B28-[1]August!B28</f>
        <v>14</v>
      </c>
      <c r="C28" s="15">
        <f>[1]September!C28-[1]August!C28</f>
        <v>11</v>
      </c>
      <c r="D28" s="15">
        <f>[1]September!D28-[1]August!D28</f>
        <v>2</v>
      </c>
      <c r="E28" s="15">
        <f>[1]September!E28-[1]August!E28</f>
        <v>10</v>
      </c>
      <c r="F28" s="15">
        <f>[1]September!F28-[1]August!F28</f>
        <v>37</v>
      </c>
    </row>
    <row r="29" spans="1:6" x14ac:dyDescent="0.25">
      <c r="A29" s="8" t="s">
        <v>124</v>
      </c>
      <c r="B29" s="15">
        <f>[1]September!B29-[1]August!B29</f>
        <v>68</v>
      </c>
      <c r="C29" s="15">
        <f>[1]September!C29-[1]August!C29</f>
        <v>30</v>
      </c>
      <c r="D29" s="15">
        <f>[1]September!D29-[1]August!D29</f>
        <v>7</v>
      </c>
      <c r="E29" s="15">
        <f>[1]September!E29-[1]August!E29</f>
        <v>19</v>
      </c>
      <c r="F29" s="15">
        <f>[1]September!F29-[1]August!F29</f>
        <v>124</v>
      </c>
    </row>
    <row r="30" spans="1:6" x14ac:dyDescent="0.25">
      <c r="A30" s="8" t="s">
        <v>125</v>
      </c>
      <c r="B30" s="15">
        <f>[1]September!B30-[1]August!B30</f>
        <v>305</v>
      </c>
      <c r="C30" s="15">
        <f>[1]September!C30-[1]August!C30</f>
        <v>-37</v>
      </c>
      <c r="D30" s="15">
        <f>[1]September!D30-[1]August!D30</f>
        <v>45</v>
      </c>
      <c r="E30" s="15">
        <f>[1]September!E30-[1]August!E30</f>
        <v>74</v>
      </c>
      <c r="F30" s="15">
        <f>[1]September!F30-[1]August!F30</f>
        <v>387</v>
      </c>
    </row>
    <row r="31" spans="1:6" x14ac:dyDescent="0.25">
      <c r="A31" s="8" t="s">
        <v>126</v>
      </c>
      <c r="B31" s="15">
        <f>[1]September!B31-[1]August!B31</f>
        <v>126</v>
      </c>
      <c r="C31" s="15">
        <f>[1]September!C31-[1]August!C31</f>
        <v>-6</v>
      </c>
      <c r="D31" s="15">
        <f>[1]September!D31-[1]August!D31</f>
        <v>45</v>
      </c>
      <c r="E31" s="15">
        <f>[1]September!E31-[1]August!E31</f>
        <v>40</v>
      </c>
      <c r="F31" s="15">
        <f>[1]September!F31-[1]August!F31</f>
        <v>205</v>
      </c>
    </row>
    <row r="32" spans="1:6" x14ac:dyDescent="0.25">
      <c r="A32" s="8" t="s">
        <v>127</v>
      </c>
      <c r="B32" s="15">
        <f>[1]September!B32-[1]August!B32</f>
        <v>943</v>
      </c>
      <c r="C32" s="15">
        <f>[1]September!C32-[1]August!C32</f>
        <v>-204</v>
      </c>
      <c r="D32" s="15">
        <f>[1]September!D32-[1]August!D32</f>
        <v>355</v>
      </c>
      <c r="E32" s="15">
        <f>[1]September!E32-[1]August!E32</f>
        <v>633</v>
      </c>
      <c r="F32" s="15">
        <f>[1]September!F32-[1]August!F32</f>
        <v>1727</v>
      </c>
    </row>
    <row r="33" spans="1:6" x14ac:dyDescent="0.25">
      <c r="A33" s="8" t="s">
        <v>128</v>
      </c>
      <c r="B33" s="15">
        <f>[1]September!B33-[1]August!B33</f>
        <v>30</v>
      </c>
      <c r="C33" s="15">
        <f>[1]September!C33-[1]August!C33</f>
        <v>-12</v>
      </c>
      <c r="D33" s="15">
        <f>[1]September!D33-[1]August!D33</f>
        <v>3</v>
      </c>
      <c r="E33" s="15">
        <f>[1]September!E33-[1]August!E33</f>
        <v>1</v>
      </c>
      <c r="F33" s="15">
        <f>[1]September!F33-[1]August!F33</f>
        <v>22</v>
      </c>
    </row>
    <row r="34" spans="1:6" x14ac:dyDescent="0.25">
      <c r="A34" s="8" t="s">
        <v>129</v>
      </c>
      <c r="B34" s="15">
        <f>[1]September!B34-[1]August!B34</f>
        <v>190</v>
      </c>
      <c r="C34" s="15">
        <f>[1]September!C34-[1]August!C34</f>
        <v>38</v>
      </c>
      <c r="D34" s="15">
        <f>[1]September!D34-[1]August!D34</f>
        <v>96</v>
      </c>
      <c r="E34" s="15">
        <f>[1]September!E34-[1]August!E34</f>
        <v>79</v>
      </c>
      <c r="F34" s="15">
        <f>[1]September!F34-[1]August!F34</f>
        <v>403</v>
      </c>
    </row>
    <row r="35" spans="1:6" x14ac:dyDescent="0.25">
      <c r="A35" s="8" t="s">
        <v>130</v>
      </c>
      <c r="B35" s="15">
        <f>[1]September!B35-[1]August!B35</f>
        <v>72</v>
      </c>
      <c r="C35" s="15">
        <f>[1]September!C35-[1]August!C35</f>
        <v>3</v>
      </c>
      <c r="D35" s="15">
        <f>[1]September!D35-[1]August!D35</f>
        <v>-3</v>
      </c>
      <c r="E35" s="15">
        <f>[1]September!E35-[1]August!E35</f>
        <v>50</v>
      </c>
      <c r="F35" s="15">
        <f>[1]September!F35-[1]August!F35</f>
        <v>122</v>
      </c>
    </row>
    <row r="36" spans="1:6" x14ac:dyDescent="0.25">
      <c r="A36" s="8" t="s">
        <v>131</v>
      </c>
      <c r="B36" s="15">
        <f>[1]September!B36-[1]August!B36</f>
        <v>18</v>
      </c>
      <c r="C36" s="15">
        <f>[1]September!C36-[1]August!C36</f>
        <v>-8</v>
      </c>
      <c r="D36" s="15">
        <f>[1]September!D36-[1]August!D36</f>
        <v>2</v>
      </c>
      <c r="E36" s="15">
        <f>[1]September!E36-[1]August!E36</f>
        <v>8</v>
      </c>
      <c r="F36" s="15">
        <f>[1]September!F36-[1]August!F36</f>
        <v>20</v>
      </c>
    </row>
    <row r="37" spans="1:6" x14ac:dyDescent="0.25">
      <c r="A37" s="8" t="s">
        <v>132</v>
      </c>
      <c r="B37" s="15">
        <f>[1]September!B37-[1]August!B37</f>
        <v>5</v>
      </c>
      <c r="C37" s="15">
        <f>[1]September!C37-[1]August!C37</f>
        <v>1</v>
      </c>
      <c r="D37" s="15">
        <f>[1]September!D37-[1]August!D37</f>
        <v>0</v>
      </c>
      <c r="E37" s="15">
        <f>[1]September!E37-[1]August!E37</f>
        <v>3</v>
      </c>
      <c r="F37" s="15">
        <f>[1]September!F37-[1]August!F37</f>
        <v>9</v>
      </c>
    </row>
    <row r="38" spans="1:6" x14ac:dyDescent="0.25">
      <c r="A38" s="8" t="s">
        <v>133</v>
      </c>
      <c r="B38" s="15">
        <f>[1]September!B38-[1]August!B38</f>
        <v>622</v>
      </c>
      <c r="C38" s="15">
        <f>[1]September!C38-[1]August!C38</f>
        <v>115</v>
      </c>
      <c r="D38" s="15">
        <f>[1]September!D38-[1]August!D38</f>
        <v>168</v>
      </c>
      <c r="E38" s="15">
        <f>[1]September!E38-[1]August!E38</f>
        <v>312</v>
      </c>
      <c r="F38" s="15">
        <f>[1]September!F38-[1]August!F38</f>
        <v>1217</v>
      </c>
    </row>
    <row r="39" spans="1:6" x14ac:dyDescent="0.25">
      <c r="A39" s="8" t="s">
        <v>134</v>
      </c>
      <c r="B39" s="15">
        <f>[1]September!B39-[1]August!B39</f>
        <v>987</v>
      </c>
      <c r="C39" s="15">
        <f>[1]September!C39-[1]August!C39</f>
        <v>6</v>
      </c>
      <c r="D39" s="15">
        <f>[1]September!D39-[1]August!D39</f>
        <v>251</v>
      </c>
      <c r="E39" s="15">
        <f>[1]September!E39-[1]August!E39</f>
        <v>396</v>
      </c>
      <c r="F39" s="15">
        <f>[1]September!F39-[1]August!F39</f>
        <v>1640</v>
      </c>
    </row>
    <row r="40" spans="1:6" x14ac:dyDescent="0.25">
      <c r="A40" s="8" t="s">
        <v>135</v>
      </c>
      <c r="B40" s="15">
        <f>[1]September!B40-[1]August!B40</f>
        <v>165</v>
      </c>
      <c r="C40" s="15">
        <f>[1]September!C40-[1]August!C40</f>
        <v>-9</v>
      </c>
      <c r="D40" s="15">
        <f>[1]September!D40-[1]August!D40</f>
        <v>75</v>
      </c>
      <c r="E40" s="15">
        <f>[1]September!E40-[1]August!E40</f>
        <v>170</v>
      </c>
      <c r="F40" s="15">
        <f>[1]September!F40-[1]August!F40</f>
        <v>401</v>
      </c>
    </row>
    <row r="41" spans="1:6" x14ac:dyDescent="0.25">
      <c r="A41" s="8" t="s">
        <v>136</v>
      </c>
      <c r="B41" s="15">
        <f>[1]September!B41-[1]August!B41</f>
        <v>68</v>
      </c>
      <c r="C41" s="15">
        <f>[1]September!C41-[1]August!C41</f>
        <v>-16</v>
      </c>
      <c r="D41" s="15">
        <f>[1]September!D41-[1]August!D41</f>
        <v>17</v>
      </c>
      <c r="E41" s="15">
        <f>[1]September!E41-[1]August!E41</f>
        <v>19</v>
      </c>
      <c r="F41" s="15">
        <f>[1]September!F41-[1]August!F41</f>
        <v>88</v>
      </c>
    </row>
    <row r="42" spans="1:6" x14ac:dyDescent="0.25">
      <c r="A42" s="8" t="s">
        <v>137</v>
      </c>
      <c r="B42" s="15">
        <f>[1]September!B42-[1]August!B42</f>
        <v>1</v>
      </c>
      <c r="C42" s="15">
        <f>[1]September!C42-[1]August!C42</f>
        <v>-7</v>
      </c>
      <c r="D42" s="15">
        <f>[1]September!D42-[1]August!D42</f>
        <v>0</v>
      </c>
      <c r="E42" s="15">
        <f>[1]September!E42-[1]August!E42</f>
        <v>4</v>
      </c>
      <c r="F42" s="15">
        <f>[1]September!F42-[1]August!F42</f>
        <v>-2</v>
      </c>
    </row>
    <row r="43" spans="1:6" x14ac:dyDescent="0.25">
      <c r="A43" s="8" t="s">
        <v>138</v>
      </c>
      <c r="B43" s="15">
        <f>[1]September!B43-[1]August!B43</f>
        <v>26</v>
      </c>
      <c r="C43" s="15">
        <f>[1]September!C43-[1]August!C43</f>
        <v>-8</v>
      </c>
      <c r="D43" s="15">
        <f>[1]September!D43-[1]August!D43</f>
        <v>0</v>
      </c>
      <c r="E43" s="15">
        <f>[1]September!E43-[1]August!E43</f>
        <v>2</v>
      </c>
      <c r="F43" s="15">
        <f>[1]September!F43-[1]August!F43</f>
        <v>20</v>
      </c>
    </row>
    <row r="44" spans="1:6" x14ac:dyDescent="0.25">
      <c r="A44" s="8" t="s">
        <v>139</v>
      </c>
      <c r="B44" s="15">
        <f>[1]September!B44-[1]August!B44</f>
        <v>607</v>
      </c>
      <c r="C44" s="15">
        <f>[1]September!C44-[1]August!C44</f>
        <v>-33</v>
      </c>
      <c r="D44" s="15">
        <f>[1]September!D44-[1]August!D44</f>
        <v>116</v>
      </c>
      <c r="E44" s="15">
        <f>[1]September!E44-[1]August!E44</f>
        <v>250</v>
      </c>
      <c r="F44" s="15">
        <f>[1]September!F44-[1]August!F44</f>
        <v>940</v>
      </c>
    </row>
    <row r="45" spans="1:6" x14ac:dyDescent="0.25">
      <c r="A45" s="8" t="s">
        <v>140</v>
      </c>
      <c r="B45" s="15">
        <f>[1]September!B45-[1]August!B45</f>
        <v>653</v>
      </c>
      <c r="C45" s="15">
        <f>[1]September!C45-[1]August!C45</f>
        <v>86</v>
      </c>
      <c r="D45" s="15">
        <f>[1]September!D45-[1]August!D45</f>
        <v>147</v>
      </c>
      <c r="E45" s="15">
        <f>[1]September!E45-[1]August!E45</f>
        <v>232</v>
      </c>
      <c r="F45" s="15">
        <f>[1]September!F45-[1]August!F45</f>
        <v>1118</v>
      </c>
    </row>
    <row r="46" spans="1:6" x14ac:dyDescent="0.25">
      <c r="A46" s="8" t="s">
        <v>141</v>
      </c>
      <c r="B46" s="15">
        <f>[1]September!B46-[1]August!B46</f>
        <v>197</v>
      </c>
      <c r="C46" s="15">
        <f>[1]September!C46-[1]August!C46</f>
        <v>-36</v>
      </c>
      <c r="D46" s="15">
        <f>[1]September!D46-[1]August!D46</f>
        <v>68</v>
      </c>
      <c r="E46" s="15">
        <f>[1]September!E46-[1]August!E46</f>
        <v>41</v>
      </c>
      <c r="F46" s="15">
        <f>[1]September!F46-[1]August!F46</f>
        <v>270</v>
      </c>
    </row>
    <row r="47" spans="1:6" x14ac:dyDescent="0.25">
      <c r="A47" s="8" t="s">
        <v>142</v>
      </c>
      <c r="B47" s="15">
        <f>[1]September!B47-[1]August!B47</f>
        <v>-1578</v>
      </c>
      <c r="C47" s="15">
        <f>[1]September!C47-[1]August!C47</f>
        <v>-4546</v>
      </c>
      <c r="D47" s="15">
        <f>[1]September!D47-[1]August!D47</f>
        <v>204</v>
      </c>
      <c r="E47" s="15">
        <f>[1]September!E47-[1]August!E47</f>
        <v>-1983</v>
      </c>
      <c r="F47" s="15">
        <f>[1]September!F47-[1]August!F47</f>
        <v>-7903</v>
      </c>
    </row>
    <row r="48" spans="1:6" x14ac:dyDescent="0.25">
      <c r="A48" s="8" t="s">
        <v>143</v>
      </c>
      <c r="B48" s="15">
        <f>[1]September!B48-[1]August!B48</f>
        <v>13</v>
      </c>
      <c r="C48" s="15">
        <f>[1]September!C48-[1]August!C48</f>
        <v>-57</v>
      </c>
      <c r="D48" s="15">
        <f>[1]September!D48-[1]August!D48</f>
        <v>14</v>
      </c>
      <c r="E48" s="15">
        <f>[1]September!E48-[1]August!E48</f>
        <v>-29</v>
      </c>
      <c r="F48" s="15">
        <f>[1]September!F48-[1]August!F48</f>
        <v>-59</v>
      </c>
    </row>
    <row r="49" spans="1:6" x14ac:dyDescent="0.25">
      <c r="A49" s="8" t="s">
        <v>144</v>
      </c>
      <c r="B49" s="15">
        <f>[1]September!B49-[1]August!B49</f>
        <v>159</v>
      </c>
      <c r="C49" s="15">
        <f>[1]September!C49-[1]August!C49</f>
        <v>-21</v>
      </c>
      <c r="D49" s="15">
        <f>[1]September!D49-[1]August!D49</f>
        <v>37</v>
      </c>
      <c r="E49" s="15">
        <f>[1]September!E49-[1]August!E49</f>
        <v>16</v>
      </c>
      <c r="F49" s="15">
        <f>[1]September!F49-[1]August!F49</f>
        <v>191</v>
      </c>
    </row>
    <row r="50" spans="1:6" x14ac:dyDescent="0.25">
      <c r="A50" s="8" t="s">
        <v>145</v>
      </c>
      <c r="B50" s="15">
        <f>[1]September!B50-[1]August!B50</f>
        <v>334</v>
      </c>
      <c r="C50" s="15">
        <f>[1]September!C50-[1]August!C50</f>
        <v>21</v>
      </c>
      <c r="D50" s="15">
        <f>[1]September!D50-[1]August!D50</f>
        <v>87</v>
      </c>
      <c r="E50" s="15">
        <f>[1]September!E50-[1]August!E50</f>
        <v>67</v>
      </c>
      <c r="F50" s="15">
        <f>[1]September!F50-[1]August!F50</f>
        <v>509</v>
      </c>
    </row>
    <row r="51" spans="1:6" x14ac:dyDescent="0.25">
      <c r="A51" s="8" t="s">
        <v>146</v>
      </c>
      <c r="B51" s="15">
        <f>[1]September!B51-[1]August!B51</f>
        <v>55</v>
      </c>
      <c r="C51" s="15">
        <f>[1]September!C51-[1]August!C51</f>
        <v>-11</v>
      </c>
      <c r="D51" s="15">
        <f>[1]September!D51-[1]August!D51</f>
        <v>12</v>
      </c>
      <c r="E51" s="15">
        <f>[1]September!E51-[1]August!E51</f>
        <v>12</v>
      </c>
      <c r="F51" s="15">
        <f>[1]September!F51-[1]August!F51</f>
        <v>68</v>
      </c>
    </row>
    <row r="52" spans="1:6" x14ac:dyDescent="0.25">
      <c r="A52" s="8" t="s">
        <v>147</v>
      </c>
      <c r="B52" s="15">
        <f>[1]September!B52-[1]August!B52</f>
        <v>91</v>
      </c>
      <c r="C52" s="15">
        <f>[1]September!C52-[1]August!C52</f>
        <v>-4988</v>
      </c>
      <c r="D52" s="15">
        <f>[1]September!D52-[1]August!D52</f>
        <v>401</v>
      </c>
      <c r="E52" s="15">
        <f>[1]September!E52-[1]August!E52</f>
        <v>-613</v>
      </c>
      <c r="F52" s="15">
        <f>[1]September!F52-[1]August!F52</f>
        <v>-5109</v>
      </c>
    </row>
    <row r="53" spans="1:6" x14ac:dyDescent="0.25">
      <c r="A53" s="8" t="s">
        <v>148</v>
      </c>
      <c r="B53" s="15">
        <f>[1]September!B53-[1]August!B53</f>
        <v>363</v>
      </c>
      <c r="C53" s="15">
        <f>[1]September!C53-[1]August!C53</f>
        <v>57</v>
      </c>
      <c r="D53" s="15">
        <f>[1]September!D53-[1]August!D53</f>
        <v>112</v>
      </c>
      <c r="E53" s="15">
        <f>[1]September!E53-[1]August!E53</f>
        <v>172</v>
      </c>
      <c r="F53" s="15">
        <f>[1]September!F53-[1]August!F53</f>
        <v>704</v>
      </c>
    </row>
    <row r="54" spans="1:6" x14ac:dyDescent="0.25">
      <c r="A54" s="8" t="s">
        <v>149</v>
      </c>
      <c r="B54" s="15">
        <f>[1]September!B54-[1]August!B54</f>
        <v>1500</v>
      </c>
      <c r="C54" s="15">
        <f>[1]September!C54-[1]August!C54</f>
        <v>-268</v>
      </c>
      <c r="D54" s="15">
        <f>[1]September!D54-[1]August!D54</f>
        <v>478</v>
      </c>
      <c r="E54" s="15">
        <f>[1]September!E54-[1]August!E54</f>
        <v>895</v>
      </c>
      <c r="F54" s="15">
        <f>[1]September!F54-[1]August!F54</f>
        <v>2605</v>
      </c>
    </row>
    <row r="55" spans="1:6" x14ac:dyDescent="0.25">
      <c r="A55" s="8" t="s">
        <v>150</v>
      </c>
      <c r="B55" s="15">
        <f>[1]September!B55-[1]August!B55</f>
        <v>781</v>
      </c>
      <c r="C55" s="15">
        <f>[1]September!C55-[1]August!C55</f>
        <v>106</v>
      </c>
      <c r="D55" s="15">
        <f>[1]September!D55-[1]August!D55</f>
        <v>264</v>
      </c>
      <c r="E55" s="15">
        <f>[1]September!E55-[1]August!E55</f>
        <v>487</v>
      </c>
      <c r="F55" s="15">
        <f>[1]September!F55-[1]August!F55</f>
        <v>1638</v>
      </c>
    </row>
    <row r="56" spans="1:6" x14ac:dyDescent="0.25">
      <c r="A56" s="8" t="s">
        <v>151</v>
      </c>
      <c r="B56" s="15">
        <f>[1]September!B56-[1]August!B56</f>
        <v>815</v>
      </c>
      <c r="C56" s="15">
        <f>[1]September!C56-[1]August!C56</f>
        <v>-367</v>
      </c>
      <c r="D56" s="15">
        <f>[1]September!D56-[1]August!D56</f>
        <v>317</v>
      </c>
      <c r="E56" s="15">
        <f>[1]September!E56-[1]August!E56</f>
        <v>371</v>
      </c>
      <c r="F56" s="15">
        <f>[1]September!F56-[1]August!F56</f>
        <v>1136</v>
      </c>
    </row>
    <row r="57" spans="1:6" x14ac:dyDescent="0.25">
      <c r="A57" s="8" t="s">
        <v>152</v>
      </c>
      <c r="B57" s="15">
        <f>[1]September!B57-[1]August!B57</f>
        <v>1146</v>
      </c>
      <c r="C57" s="15">
        <f>[1]September!C57-[1]August!C57</f>
        <v>470</v>
      </c>
      <c r="D57" s="15">
        <f>[1]September!D57-[1]August!D57</f>
        <v>345</v>
      </c>
      <c r="E57" s="15">
        <f>[1]September!E57-[1]August!E57</f>
        <v>908</v>
      </c>
      <c r="F57" s="15">
        <f>[1]September!F57-[1]August!F57</f>
        <v>2869</v>
      </c>
    </row>
    <row r="58" spans="1:6" x14ac:dyDescent="0.25">
      <c r="A58" s="8" t="s">
        <v>153</v>
      </c>
      <c r="B58" s="15">
        <f>[1]September!B58-[1]August!B58</f>
        <v>30</v>
      </c>
      <c r="C58" s="15">
        <f>[1]September!C58-[1]August!C58</f>
        <v>-59</v>
      </c>
      <c r="D58" s="15">
        <f>[1]September!D58-[1]August!D58</f>
        <v>18</v>
      </c>
      <c r="E58" s="15">
        <f>[1]September!E58-[1]August!E58</f>
        <v>7</v>
      </c>
      <c r="F58" s="15">
        <f>[1]September!F58-[1]August!F58</f>
        <v>-4</v>
      </c>
    </row>
    <row r="59" spans="1:6" x14ac:dyDescent="0.25">
      <c r="A59" s="8" t="s">
        <v>154</v>
      </c>
      <c r="B59" s="15">
        <f>[1]September!B59-[1]August!B59</f>
        <v>475</v>
      </c>
      <c r="C59" s="15">
        <f>[1]September!C59-[1]August!C59</f>
        <v>30</v>
      </c>
      <c r="D59" s="15">
        <f>[1]September!D59-[1]August!D59</f>
        <v>95</v>
      </c>
      <c r="E59" s="15">
        <f>[1]September!E59-[1]August!E59</f>
        <v>142</v>
      </c>
      <c r="F59" s="15">
        <f>[1]September!F59-[1]August!F59</f>
        <v>742</v>
      </c>
    </row>
    <row r="60" spans="1:6" x14ac:dyDescent="0.25">
      <c r="A60" s="8" t="s">
        <v>155</v>
      </c>
      <c r="B60" s="15">
        <f>[1]September!B60-[1]August!B60</f>
        <v>656</v>
      </c>
      <c r="C60" s="15">
        <f>[1]September!C60-[1]August!C60</f>
        <v>-163</v>
      </c>
      <c r="D60" s="15">
        <f>[1]September!D60-[1]August!D60</f>
        <v>246</v>
      </c>
      <c r="E60" s="15">
        <f>[1]September!E60-[1]August!E60</f>
        <v>162</v>
      </c>
      <c r="F60" s="15">
        <f>[1]September!F60-[1]August!F60</f>
        <v>901</v>
      </c>
    </row>
    <row r="61" spans="1:6" x14ac:dyDescent="0.25">
      <c r="A61" s="8" t="s">
        <v>156</v>
      </c>
      <c r="B61" s="15">
        <f>[1]September!B61-[1]August!B61</f>
        <v>-796</v>
      </c>
      <c r="C61" s="15">
        <f>[1]September!C61-[1]August!C61</f>
        <v>-1737</v>
      </c>
      <c r="D61" s="15">
        <f>[1]September!D61-[1]August!D61</f>
        <v>48</v>
      </c>
      <c r="E61" s="15">
        <f>[1]September!E61-[1]August!E61</f>
        <v>-1570</v>
      </c>
      <c r="F61" s="15">
        <f>[1]September!F61-[1]August!F61</f>
        <v>-4055</v>
      </c>
    </row>
    <row r="62" spans="1:6" x14ac:dyDescent="0.25">
      <c r="A62" s="8" t="s">
        <v>157</v>
      </c>
      <c r="B62" s="15">
        <f>[1]September!B62-[1]August!B62</f>
        <v>252</v>
      </c>
      <c r="C62" s="15">
        <f>[1]September!C62-[1]August!C62</f>
        <v>-203</v>
      </c>
      <c r="D62" s="15">
        <f>[1]September!D62-[1]August!D62</f>
        <v>79</v>
      </c>
      <c r="E62" s="15">
        <f>[1]September!E62-[1]August!E62</f>
        <v>129</v>
      </c>
      <c r="F62" s="15">
        <f>[1]September!F62-[1]August!F62</f>
        <v>257</v>
      </c>
    </row>
    <row r="63" spans="1:6" x14ac:dyDescent="0.25">
      <c r="A63" s="8" t="s">
        <v>158</v>
      </c>
      <c r="B63" s="15">
        <f>[1]September!B63-[1]August!B63</f>
        <v>452</v>
      </c>
      <c r="C63" s="15">
        <f>[1]September!C63-[1]August!C63</f>
        <v>195</v>
      </c>
      <c r="D63" s="15">
        <f>[1]September!D63-[1]August!D63</f>
        <v>136</v>
      </c>
      <c r="E63" s="15">
        <f>[1]September!E63-[1]August!E63</f>
        <v>187</v>
      </c>
      <c r="F63" s="15">
        <f>[1]September!F63-[1]August!F63</f>
        <v>970</v>
      </c>
    </row>
    <row r="64" spans="1:6" x14ac:dyDescent="0.25">
      <c r="A64" s="8" t="s">
        <v>159</v>
      </c>
      <c r="B64" s="15">
        <f>[1]September!B64-[1]August!B64</f>
        <v>421</v>
      </c>
      <c r="C64" s="15">
        <f>[1]September!C64-[1]August!C64</f>
        <v>68</v>
      </c>
      <c r="D64" s="15">
        <f>[1]September!D64-[1]August!D64</f>
        <v>86</v>
      </c>
      <c r="E64" s="15">
        <f>[1]September!E64-[1]August!E64</f>
        <v>59</v>
      </c>
      <c r="F64" s="15">
        <f>[1]September!F64-[1]August!F64</f>
        <v>634</v>
      </c>
    </row>
    <row r="65" spans="1:6" x14ac:dyDescent="0.25">
      <c r="A65" s="8" t="s">
        <v>160</v>
      </c>
      <c r="B65" s="15">
        <f>[1]September!B65-[1]August!B65</f>
        <v>96</v>
      </c>
      <c r="C65" s="15">
        <f>[1]September!C65-[1]August!C65</f>
        <v>-21</v>
      </c>
      <c r="D65" s="15">
        <f>[1]September!D65-[1]August!D65</f>
        <v>17</v>
      </c>
      <c r="E65" s="15">
        <f>[1]September!E65-[1]August!E65</f>
        <v>18</v>
      </c>
      <c r="F65" s="15">
        <f>[1]September!F65-[1]August!F65</f>
        <v>110</v>
      </c>
    </row>
    <row r="66" spans="1:6" x14ac:dyDescent="0.25">
      <c r="A66" s="8" t="s">
        <v>161</v>
      </c>
      <c r="B66" s="15">
        <f>[1]September!B66-[1]August!B66</f>
        <v>25</v>
      </c>
      <c r="C66" s="15">
        <f>[1]September!C66-[1]August!C66</f>
        <v>-22</v>
      </c>
      <c r="D66" s="15">
        <f>[1]September!D66-[1]August!D66</f>
        <v>5</v>
      </c>
      <c r="E66" s="15">
        <f>[1]September!E66-[1]August!E66</f>
        <v>2</v>
      </c>
      <c r="F66" s="15">
        <f>[1]September!F66-[1]August!F66</f>
        <v>10</v>
      </c>
    </row>
    <row r="67" spans="1:6" x14ac:dyDescent="0.25">
      <c r="A67" s="8" t="s">
        <v>162</v>
      </c>
      <c r="B67" s="15">
        <f>[1]September!B67-[1]August!B67</f>
        <v>1</v>
      </c>
      <c r="C67" s="15">
        <f>[1]September!C67-[1]August!C67</f>
        <v>-18</v>
      </c>
      <c r="D67" s="15">
        <f>[1]September!D67-[1]August!D67</f>
        <v>3</v>
      </c>
      <c r="E67" s="15">
        <f>[1]September!E67-[1]August!E67</f>
        <v>1</v>
      </c>
      <c r="F67" s="15">
        <f>[1]September!F67-[1]August!F67</f>
        <v>-13</v>
      </c>
    </row>
    <row r="68" spans="1:6" x14ac:dyDescent="0.25">
      <c r="A68" s="8" t="s">
        <v>163</v>
      </c>
      <c r="B68" s="15">
        <f>[1]September!B68-[1]August!B68</f>
        <v>697</v>
      </c>
      <c r="C68" s="15">
        <f>[1]September!C68-[1]August!C68</f>
        <v>-230</v>
      </c>
      <c r="D68" s="15">
        <f>[1]September!D68-[1]August!D68</f>
        <v>280</v>
      </c>
      <c r="E68" s="15">
        <f>[1]September!E68-[1]August!E68</f>
        <v>169</v>
      </c>
      <c r="F68" s="15">
        <f>[1]September!F68-[1]August!F68</f>
        <v>916</v>
      </c>
    </row>
    <row r="69" spans="1:6" x14ac:dyDescent="0.25">
      <c r="A69" s="8" t="s">
        <v>164</v>
      </c>
      <c r="B69" s="15">
        <f>[1]September!B69-[1]August!B69</f>
        <v>38</v>
      </c>
      <c r="C69" s="15">
        <f>[1]September!C69-[1]August!C69</f>
        <v>-8</v>
      </c>
      <c r="D69" s="15">
        <f>[1]September!D69-[1]August!D69</f>
        <v>8</v>
      </c>
      <c r="E69" s="15">
        <f>[1]September!E69-[1]August!E69</f>
        <v>11</v>
      </c>
      <c r="F69" s="15">
        <f>[1]September!F69-[1]August!F69</f>
        <v>49</v>
      </c>
    </row>
    <row r="70" spans="1:6" x14ac:dyDescent="0.25">
      <c r="A70" s="8" t="s">
        <v>165</v>
      </c>
      <c r="B70" s="15">
        <f>[1]September!B70-[1]August!B70</f>
        <v>209</v>
      </c>
      <c r="C70" s="15">
        <f>[1]September!C70-[1]August!C70</f>
        <v>-4</v>
      </c>
      <c r="D70" s="15">
        <f>[1]September!D70-[1]August!D70</f>
        <v>17</v>
      </c>
      <c r="E70" s="15">
        <f>[1]September!E70-[1]August!E70</f>
        <v>7</v>
      </c>
      <c r="F70" s="15">
        <f>[1]September!F70-[1]August!F70</f>
        <v>229</v>
      </c>
    </row>
    <row r="71" spans="1:6" ht="15.75" thickBot="1" x14ac:dyDescent="0.3">
      <c r="A71" s="8" t="s">
        <v>166</v>
      </c>
      <c r="B71" s="15">
        <f>[1]September!B71-[1]August!B71</f>
        <v>47</v>
      </c>
      <c r="C71" s="15">
        <f>[1]September!C71-[1]August!C71</f>
        <v>-7</v>
      </c>
      <c r="D71" s="15">
        <f>[1]September!D71-[1]August!D71</f>
        <v>9</v>
      </c>
      <c r="E71" s="15">
        <f>[1]September!E71-[1]August!E71</f>
        <v>4</v>
      </c>
      <c r="F71" s="15">
        <f>[1]September!F71-[1]August!F71</f>
        <v>53</v>
      </c>
    </row>
    <row r="72" spans="1:6" ht="16.5" thickTop="1" thickBot="1" x14ac:dyDescent="0.3">
      <c r="A72" s="16" t="s">
        <v>0</v>
      </c>
      <c r="B72" s="6">
        <f>SUM(B5:B71)</f>
        <v>9809</v>
      </c>
      <c r="C72" s="6">
        <f>SUM(C5:C71)</f>
        <v>-22159</v>
      </c>
      <c r="D72" s="6">
        <f>SUM(D5:D71)</f>
        <v>5717</v>
      </c>
      <c r="E72" s="6">
        <f>SUM(E5:E71)</f>
        <v>-2553</v>
      </c>
      <c r="F72" s="6">
        <f>SUM(F5:F71)</f>
        <v>-9186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89</v>
      </c>
      <c r="B1" s="27"/>
      <c r="C1" s="27"/>
      <c r="D1" s="27"/>
      <c r="E1" s="27"/>
      <c r="F1" s="28"/>
    </row>
    <row r="2" spans="1:6" x14ac:dyDescent="0.25">
      <c r="A2" s="20" t="s">
        <v>190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[1]October!B5-[1]September!B5</f>
        <v>76</v>
      </c>
      <c r="C5" s="15">
        <f>[1]October!C5-[1]September!C5</f>
        <v>53</v>
      </c>
      <c r="D5" s="15">
        <f>[1]October!D5-[1]September!D5</f>
        <v>65</v>
      </c>
      <c r="E5" s="15">
        <f>[1]October!E5-[1]September!E5</f>
        <v>179</v>
      </c>
      <c r="F5" s="14">
        <f>SUM(B5:E5)</f>
        <v>373</v>
      </c>
    </row>
    <row r="6" spans="1:6" x14ac:dyDescent="0.25">
      <c r="A6" s="8" t="s">
        <v>101</v>
      </c>
      <c r="B6" s="15">
        <f>[1]October!B6-[1]September!B6</f>
        <v>-33</v>
      </c>
      <c r="C6" s="15">
        <f>[1]October!C6-[1]September!C6</f>
        <v>-17</v>
      </c>
      <c r="D6" s="15">
        <f>[1]October!D6-[1]September!D6</f>
        <v>-5</v>
      </c>
      <c r="E6" s="15">
        <f>[1]October!E6-[1]September!E6</f>
        <v>-8</v>
      </c>
      <c r="F6" s="14">
        <f t="shared" ref="F6:F69" si="0">SUM(B6:E6)</f>
        <v>-63</v>
      </c>
    </row>
    <row r="7" spans="1:6" x14ac:dyDescent="0.25">
      <c r="A7" s="8" t="s">
        <v>102</v>
      </c>
      <c r="B7" s="15">
        <f>[1]October!B7-[1]September!B7</f>
        <v>-4712</v>
      </c>
      <c r="C7" s="15">
        <f>[1]October!C7-[1]September!C7</f>
        <v>-2868</v>
      </c>
      <c r="D7" s="15">
        <f>[1]October!D7-[1]September!D7</f>
        <v>-298</v>
      </c>
      <c r="E7" s="15">
        <f>[1]October!E7-[1]September!E7</f>
        <v>-4618</v>
      </c>
      <c r="F7" s="14">
        <f t="shared" si="0"/>
        <v>-12496</v>
      </c>
    </row>
    <row r="8" spans="1:6" x14ac:dyDescent="0.25">
      <c r="A8" s="8" t="s">
        <v>103</v>
      </c>
      <c r="B8" s="15">
        <f>[1]October!B8-[1]September!B8</f>
        <v>11</v>
      </c>
      <c r="C8" s="15">
        <f>[1]October!C8-[1]September!C8</f>
        <v>0</v>
      </c>
      <c r="D8" s="15">
        <f>[1]October!D8-[1]September!D8</f>
        <v>10</v>
      </c>
      <c r="E8" s="15">
        <f>[1]October!E8-[1]September!E8</f>
        <v>18</v>
      </c>
      <c r="F8" s="14">
        <f t="shared" si="0"/>
        <v>39</v>
      </c>
    </row>
    <row r="9" spans="1:6" x14ac:dyDescent="0.25">
      <c r="A9" s="8" t="s">
        <v>104</v>
      </c>
      <c r="B9" s="15">
        <f>[1]October!B9-[1]September!B9</f>
        <v>794</v>
      </c>
      <c r="C9" s="15">
        <f>[1]October!C9-[1]September!C9</f>
        <v>197</v>
      </c>
      <c r="D9" s="15">
        <f>[1]October!D9-[1]September!D9</f>
        <v>257</v>
      </c>
      <c r="E9" s="15">
        <f>[1]October!E9-[1]September!E9</f>
        <v>580</v>
      </c>
      <c r="F9" s="14">
        <f t="shared" si="0"/>
        <v>1828</v>
      </c>
    </row>
    <row r="10" spans="1:6" x14ac:dyDescent="0.25">
      <c r="A10" s="8" t="s">
        <v>105</v>
      </c>
      <c r="B10" s="15">
        <f>[1]October!B10-[1]September!B10</f>
        <v>754</v>
      </c>
      <c r="C10" s="15">
        <f>[1]October!C10-[1]September!C10</f>
        <v>-451</v>
      </c>
      <c r="D10" s="15">
        <f>[1]October!D10-[1]September!D10</f>
        <v>424</v>
      </c>
      <c r="E10" s="15">
        <f>[1]October!E10-[1]September!E10</f>
        <v>468</v>
      </c>
      <c r="F10" s="14">
        <f t="shared" si="0"/>
        <v>1195</v>
      </c>
    </row>
    <row r="11" spans="1:6" x14ac:dyDescent="0.25">
      <c r="A11" s="8" t="s">
        <v>106</v>
      </c>
      <c r="B11" s="15">
        <f>[1]October!B11-[1]September!B11</f>
        <v>10</v>
      </c>
      <c r="C11" s="15">
        <f>[1]October!C11-[1]September!C11</f>
        <v>-3</v>
      </c>
      <c r="D11" s="15">
        <f>[1]October!D11-[1]September!D11</f>
        <v>3</v>
      </c>
      <c r="E11" s="15">
        <f>[1]October!E11-[1]September!E11</f>
        <v>4</v>
      </c>
      <c r="F11" s="14">
        <f t="shared" si="0"/>
        <v>14</v>
      </c>
    </row>
    <row r="12" spans="1:6" x14ac:dyDescent="0.25">
      <c r="A12" s="8" t="s">
        <v>107</v>
      </c>
      <c r="B12" s="15">
        <f>[1]October!B12-[1]September!B12</f>
        <v>598</v>
      </c>
      <c r="C12" s="15">
        <f>[1]October!C12-[1]September!C12</f>
        <v>80</v>
      </c>
      <c r="D12" s="15">
        <f>[1]October!D12-[1]September!D12</f>
        <v>135</v>
      </c>
      <c r="E12" s="15">
        <f>[1]October!E12-[1]September!E12</f>
        <v>116</v>
      </c>
      <c r="F12" s="14">
        <f t="shared" si="0"/>
        <v>929</v>
      </c>
    </row>
    <row r="13" spans="1:6" x14ac:dyDescent="0.25">
      <c r="A13" s="8" t="s">
        <v>108</v>
      </c>
      <c r="B13" s="15">
        <f>[1]October!B13-[1]September!B13</f>
        <v>373</v>
      </c>
      <c r="C13" s="15">
        <f>[1]October!C13-[1]September!C13</f>
        <v>-21</v>
      </c>
      <c r="D13" s="15">
        <f>[1]October!D13-[1]September!D13</f>
        <v>84</v>
      </c>
      <c r="E13" s="15">
        <f>[1]October!E13-[1]September!E13</f>
        <v>43</v>
      </c>
      <c r="F13" s="14">
        <f t="shared" si="0"/>
        <v>479</v>
      </c>
    </row>
    <row r="14" spans="1:6" x14ac:dyDescent="0.25">
      <c r="A14" s="8" t="s">
        <v>109</v>
      </c>
      <c r="B14" s="15">
        <f>[1]October!B14-[1]September!B14</f>
        <v>40</v>
      </c>
      <c r="C14" s="15">
        <f>[1]October!C14-[1]September!C14</f>
        <v>17</v>
      </c>
      <c r="D14" s="15">
        <f>[1]October!D14-[1]September!D14</f>
        <v>80</v>
      </c>
      <c r="E14" s="15">
        <f>[1]October!E14-[1]September!E14</f>
        <v>95</v>
      </c>
      <c r="F14" s="14">
        <f t="shared" si="0"/>
        <v>232</v>
      </c>
    </row>
    <row r="15" spans="1:6" x14ac:dyDescent="0.25">
      <c r="A15" s="8" t="s">
        <v>110</v>
      </c>
      <c r="B15" s="15">
        <f>[1]October!B15-[1]September!B15</f>
        <v>284</v>
      </c>
      <c r="C15" s="15">
        <f>[1]October!C15-[1]September!C15</f>
        <v>17</v>
      </c>
      <c r="D15" s="15">
        <f>[1]October!D15-[1]September!D15</f>
        <v>90</v>
      </c>
      <c r="E15" s="15">
        <f>[1]October!E15-[1]September!E15</f>
        <v>97</v>
      </c>
      <c r="F15" s="14">
        <f t="shared" si="0"/>
        <v>488</v>
      </c>
    </row>
    <row r="16" spans="1:6" x14ac:dyDescent="0.25">
      <c r="A16" s="8" t="s">
        <v>111</v>
      </c>
      <c r="B16" s="15">
        <f>[1]October!B16-[1]September!B16</f>
        <v>83</v>
      </c>
      <c r="C16" s="15">
        <f>[1]October!C16-[1]September!C16</f>
        <v>10</v>
      </c>
      <c r="D16" s="15">
        <f>[1]October!D16-[1]September!D16</f>
        <v>17</v>
      </c>
      <c r="E16" s="15">
        <f>[1]October!E16-[1]September!E16</f>
        <v>21</v>
      </c>
      <c r="F16" s="14">
        <f t="shared" si="0"/>
        <v>131</v>
      </c>
    </row>
    <row r="17" spans="1:6" x14ac:dyDescent="0.25">
      <c r="A17" s="8" t="s">
        <v>112</v>
      </c>
      <c r="B17" s="15">
        <f>[1]October!B17-[1]September!B17</f>
        <v>57</v>
      </c>
      <c r="C17" s="15">
        <f>[1]October!C17-[1]September!C17</f>
        <v>-16</v>
      </c>
      <c r="D17" s="15">
        <f>[1]October!D17-[1]September!D17</f>
        <v>1</v>
      </c>
      <c r="E17" s="15">
        <f>[1]October!E17-[1]September!E17</f>
        <v>7</v>
      </c>
      <c r="F17" s="14">
        <f t="shared" si="0"/>
        <v>49</v>
      </c>
    </row>
    <row r="18" spans="1:6" x14ac:dyDescent="0.25">
      <c r="A18" s="8" t="s">
        <v>113</v>
      </c>
      <c r="B18" s="15">
        <f>[1]October!B18-[1]September!B18</f>
        <v>10</v>
      </c>
      <c r="C18" s="15">
        <f>[1]October!C18-[1]September!C18</f>
        <v>-3</v>
      </c>
      <c r="D18" s="15">
        <f>[1]October!D18-[1]September!D18</f>
        <v>2</v>
      </c>
      <c r="E18" s="15">
        <f>[1]October!E18-[1]September!E18</f>
        <v>3</v>
      </c>
      <c r="F18" s="14">
        <f t="shared" si="0"/>
        <v>12</v>
      </c>
    </row>
    <row r="19" spans="1:6" x14ac:dyDescent="0.25">
      <c r="A19" s="8" t="s">
        <v>114</v>
      </c>
      <c r="B19" s="15">
        <f>[1]October!B19-[1]September!B19</f>
        <v>-628</v>
      </c>
      <c r="C19" s="15">
        <f>[1]October!C19-[1]September!C19</f>
        <v>-1179</v>
      </c>
      <c r="D19" s="15">
        <f>[1]October!D19-[1]September!D19</f>
        <v>172</v>
      </c>
      <c r="E19" s="15">
        <f>[1]October!E19-[1]September!E19</f>
        <v>-731</v>
      </c>
      <c r="F19" s="14">
        <f t="shared" si="0"/>
        <v>-2366</v>
      </c>
    </row>
    <row r="20" spans="1:6" x14ac:dyDescent="0.25">
      <c r="A20" s="8" t="s">
        <v>115</v>
      </c>
      <c r="B20" s="15">
        <f>[1]October!B20-[1]September!B20</f>
        <v>298</v>
      </c>
      <c r="C20" s="15">
        <f>[1]October!C20-[1]September!C20</f>
        <v>22</v>
      </c>
      <c r="D20" s="15">
        <f>[1]October!D20-[1]September!D20</f>
        <v>144</v>
      </c>
      <c r="E20" s="15">
        <f>[1]October!E20-[1]September!E20</f>
        <v>74</v>
      </c>
      <c r="F20" s="14">
        <f t="shared" si="0"/>
        <v>538</v>
      </c>
    </row>
    <row r="21" spans="1:6" x14ac:dyDescent="0.25">
      <c r="A21" s="8" t="s">
        <v>116</v>
      </c>
      <c r="B21" s="15">
        <f>[1]October!B21-[1]September!B21</f>
        <v>281</v>
      </c>
      <c r="C21" s="15">
        <f>[1]October!C21-[1]September!C21</f>
        <v>66</v>
      </c>
      <c r="D21" s="15">
        <f>[1]October!D21-[1]September!D21</f>
        <v>62</v>
      </c>
      <c r="E21" s="15">
        <f>[1]October!E21-[1]September!E21</f>
        <v>97</v>
      </c>
      <c r="F21" s="14">
        <f t="shared" si="0"/>
        <v>506</v>
      </c>
    </row>
    <row r="22" spans="1:6" x14ac:dyDescent="0.25">
      <c r="A22" s="8" t="s">
        <v>117</v>
      </c>
      <c r="B22" s="15">
        <f>[1]October!B22-[1]September!B22</f>
        <v>20</v>
      </c>
      <c r="C22" s="15">
        <f>[1]October!C22-[1]September!C22</f>
        <v>6</v>
      </c>
      <c r="D22" s="15">
        <f>[1]October!D22-[1]September!D22</f>
        <v>1</v>
      </c>
      <c r="E22" s="15">
        <f>[1]October!E22-[1]September!E22</f>
        <v>5</v>
      </c>
      <c r="F22" s="14">
        <f t="shared" si="0"/>
        <v>32</v>
      </c>
    </row>
    <row r="23" spans="1:6" x14ac:dyDescent="0.25">
      <c r="A23" s="8" t="s">
        <v>118</v>
      </c>
      <c r="B23" s="15">
        <f>[1]October!B23-[1]September!B23</f>
        <v>32</v>
      </c>
      <c r="C23" s="15">
        <f>[1]October!C23-[1]September!C23</f>
        <v>22</v>
      </c>
      <c r="D23" s="15">
        <f>[1]October!D23-[1]September!D23</f>
        <v>8</v>
      </c>
      <c r="E23" s="15">
        <f>[1]October!E23-[1]September!E23</f>
        <v>8</v>
      </c>
      <c r="F23" s="14">
        <f t="shared" si="0"/>
        <v>70</v>
      </c>
    </row>
    <row r="24" spans="1:6" x14ac:dyDescent="0.25">
      <c r="A24" s="8" t="s">
        <v>119</v>
      </c>
      <c r="B24" s="15">
        <f>[1]October!B24-[1]September!B24</f>
        <v>28</v>
      </c>
      <c r="C24" s="15">
        <f>[1]October!C24-[1]September!C24</f>
        <v>-1</v>
      </c>
      <c r="D24" s="15">
        <f>[1]October!D24-[1]September!D24</f>
        <v>2</v>
      </c>
      <c r="E24" s="15">
        <f>[1]October!E24-[1]September!E24</f>
        <v>6</v>
      </c>
      <c r="F24" s="14">
        <f t="shared" si="0"/>
        <v>35</v>
      </c>
    </row>
    <row r="25" spans="1:6" x14ac:dyDescent="0.25">
      <c r="A25" s="8" t="s">
        <v>120</v>
      </c>
      <c r="B25" s="15">
        <f>[1]October!B25-[1]September!B25</f>
        <v>11</v>
      </c>
      <c r="C25" s="15">
        <f>[1]October!C25-[1]September!C25</f>
        <v>4</v>
      </c>
      <c r="D25" s="15">
        <f>[1]October!D25-[1]September!D25</f>
        <v>3</v>
      </c>
      <c r="E25" s="15">
        <f>[1]October!E25-[1]September!E25</f>
        <v>7</v>
      </c>
      <c r="F25" s="14">
        <f t="shared" si="0"/>
        <v>25</v>
      </c>
    </row>
    <row r="26" spans="1:6" x14ac:dyDescent="0.25">
      <c r="A26" s="8" t="s">
        <v>121</v>
      </c>
      <c r="B26" s="15">
        <f>[1]October!B26-[1]September!B26</f>
        <v>18</v>
      </c>
      <c r="C26" s="15">
        <f>[1]October!C26-[1]September!C26</f>
        <v>-8</v>
      </c>
      <c r="D26" s="15">
        <f>[1]October!D26-[1]September!D26</f>
        <v>8</v>
      </c>
      <c r="E26" s="15">
        <f>[1]October!E26-[1]September!E26</f>
        <v>14</v>
      </c>
      <c r="F26" s="14">
        <f t="shared" si="0"/>
        <v>32</v>
      </c>
    </row>
    <row r="27" spans="1:6" x14ac:dyDescent="0.25">
      <c r="A27" s="8" t="s">
        <v>122</v>
      </c>
      <c r="B27" s="15">
        <f>[1]October!B27-[1]September!B27</f>
        <v>5</v>
      </c>
      <c r="C27" s="15">
        <f>[1]October!C27-[1]September!C27</f>
        <v>4</v>
      </c>
      <c r="D27" s="15">
        <f>[1]October!D27-[1]September!D27</f>
        <v>7</v>
      </c>
      <c r="E27" s="15">
        <f>[1]October!E27-[1]September!E27</f>
        <v>4</v>
      </c>
      <c r="F27" s="14">
        <f t="shared" si="0"/>
        <v>20</v>
      </c>
    </row>
    <row r="28" spans="1:6" x14ac:dyDescent="0.25">
      <c r="A28" s="8" t="s">
        <v>123</v>
      </c>
      <c r="B28" s="15">
        <f>[1]October!B28-[1]September!B28</f>
        <v>-3</v>
      </c>
      <c r="C28" s="15">
        <f>[1]October!C28-[1]September!C28</f>
        <v>5</v>
      </c>
      <c r="D28" s="15">
        <f>[1]October!D28-[1]September!D28</f>
        <v>15</v>
      </c>
      <c r="E28" s="15">
        <f>[1]October!E28-[1]September!E28</f>
        <v>-7</v>
      </c>
      <c r="F28" s="14">
        <f t="shared" si="0"/>
        <v>10</v>
      </c>
    </row>
    <row r="29" spans="1:6" x14ac:dyDescent="0.25">
      <c r="A29" s="8" t="s">
        <v>124</v>
      </c>
      <c r="B29" s="15">
        <f>[1]October!B29-[1]September!B29</f>
        <v>53</v>
      </c>
      <c r="C29" s="15">
        <f>[1]October!C29-[1]September!C29</f>
        <v>16</v>
      </c>
      <c r="D29" s="15">
        <f>[1]October!D29-[1]September!D29</f>
        <v>5</v>
      </c>
      <c r="E29" s="15">
        <f>[1]October!E29-[1]September!E29</f>
        <v>32</v>
      </c>
      <c r="F29" s="14">
        <f t="shared" si="0"/>
        <v>106</v>
      </c>
    </row>
    <row r="30" spans="1:6" x14ac:dyDescent="0.25">
      <c r="A30" s="8" t="s">
        <v>125</v>
      </c>
      <c r="B30" s="15">
        <f>[1]October!B30-[1]September!B30</f>
        <v>256</v>
      </c>
      <c r="C30" s="15">
        <f>[1]October!C30-[1]September!C30</f>
        <v>27</v>
      </c>
      <c r="D30" s="15">
        <f>[1]October!D30-[1]September!D30</f>
        <v>72</v>
      </c>
      <c r="E30" s="15">
        <f>[1]October!E30-[1]September!E30</f>
        <v>87</v>
      </c>
      <c r="F30" s="14">
        <f t="shared" si="0"/>
        <v>442</v>
      </c>
    </row>
    <row r="31" spans="1:6" x14ac:dyDescent="0.25">
      <c r="A31" s="8" t="s">
        <v>126</v>
      </c>
      <c r="B31" s="15">
        <f>[1]October!B31-[1]September!B31</f>
        <v>140</v>
      </c>
      <c r="C31" s="15">
        <f>[1]October!C31-[1]September!C31</f>
        <v>23</v>
      </c>
      <c r="D31" s="15">
        <f>[1]October!D31-[1]September!D31</f>
        <v>50</v>
      </c>
      <c r="E31" s="15">
        <f>[1]October!E31-[1]September!E31</f>
        <v>20</v>
      </c>
      <c r="F31" s="14">
        <f t="shared" si="0"/>
        <v>233</v>
      </c>
    </row>
    <row r="32" spans="1:6" x14ac:dyDescent="0.25">
      <c r="A32" s="8" t="s">
        <v>127</v>
      </c>
      <c r="B32" s="15">
        <f>[1]October!B32-[1]September!B32</f>
        <v>550</v>
      </c>
      <c r="C32" s="15">
        <f>[1]October!C32-[1]September!C32</f>
        <v>-128</v>
      </c>
      <c r="D32" s="15">
        <f>[1]October!D32-[1]September!D32</f>
        <v>365</v>
      </c>
      <c r="E32" s="15">
        <f>[1]October!E32-[1]September!E32</f>
        <v>635</v>
      </c>
      <c r="F32" s="14">
        <f t="shared" si="0"/>
        <v>1422</v>
      </c>
    </row>
    <row r="33" spans="1:6" x14ac:dyDescent="0.25">
      <c r="A33" s="8" t="s">
        <v>128</v>
      </c>
      <c r="B33" s="15">
        <f>[1]October!B33-[1]September!B33</f>
        <v>24</v>
      </c>
      <c r="C33" s="15">
        <f>[1]October!C33-[1]September!C33</f>
        <v>-7</v>
      </c>
      <c r="D33" s="15">
        <f>[1]October!D33-[1]September!D33</f>
        <v>6</v>
      </c>
      <c r="E33" s="15">
        <f>[1]October!E33-[1]September!E33</f>
        <v>0</v>
      </c>
      <c r="F33" s="14">
        <f t="shared" si="0"/>
        <v>23</v>
      </c>
    </row>
    <row r="34" spans="1:6" x14ac:dyDescent="0.25">
      <c r="A34" s="8" t="s">
        <v>129</v>
      </c>
      <c r="B34" s="15">
        <f>[1]October!B34-[1]September!B34</f>
        <v>255</v>
      </c>
      <c r="C34" s="15">
        <f>[1]October!C34-[1]September!C34</f>
        <v>101</v>
      </c>
      <c r="D34" s="15">
        <f>[1]October!D34-[1]September!D34</f>
        <v>92</v>
      </c>
      <c r="E34" s="15">
        <f>[1]October!E34-[1]September!E34</f>
        <v>107</v>
      </c>
      <c r="F34" s="14">
        <f t="shared" si="0"/>
        <v>555</v>
      </c>
    </row>
    <row r="35" spans="1:6" x14ac:dyDescent="0.25">
      <c r="A35" s="8" t="s">
        <v>130</v>
      </c>
      <c r="B35" s="15">
        <f>[1]October!B35-[1]September!B35</f>
        <v>95</v>
      </c>
      <c r="C35" s="15">
        <f>[1]October!C35-[1]September!C35</f>
        <v>-2</v>
      </c>
      <c r="D35" s="15">
        <f>[1]October!D35-[1]September!D35</f>
        <v>19</v>
      </c>
      <c r="E35" s="15">
        <f>[1]October!E35-[1]September!E35</f>
        <v>15</v>
      </c>
      <c r="F35" s="14">
        <f t="shared" si="0"/>
        <v>127</v>
      </c>
    </row>
    <row r="36" spans="1:6" x14ac:dyDescent="0.25">
      <c r="A36" s="8" t="s">
        <v>131</v>
      </c>
      <c r="B36" s="15">
        <f>[1]October!B36-[1]September!B36</f>
        <v>29</v>
      </c>
      <c r="C36" s="15">
        <f>[1]October!C36-[1]September!C36</f>
        <v>4</v>
      </c>
      <c r="D36" s="15">
        <f>[1]October!D36-[1]September!D36</f>
        <v>2</v>
      </c>
      <c r="E36" s="15">
        <f>[1]October!E36-[1]September!E36</f>
        <v>-1</v>
      </c>
      <c r="F36" s="14">
        <f t="shared" si="0"/>
        <v>34</v>
      </c>
    </row>
    <row r="37" spans="1:6" x14ac:dyDescent="0.25">
      <c r="A37" s="8" t="s">
        <v>132</v>
      </c>
      <c r="B37" s="15">
        <f>[1]October!B37-[1]September!B37</f>
        <v>7</v>
      </c>
      <c r="C37" s="15">
        <f>[1]October!C37-[1]September!C37</f>
        <v>0</v>
      </c>
      <c r="D37" s="15">
        <f>[1]October!D37-[1]September!D37</f>
        <v>1</v>
      </c>
      <c r="E37" s="15">
        <f>[1]October!E37-[1]September!E37</f>
        <v>0</v>
      </c>
      <c r="F37" s="14">
        <f t="shared" si="0"/>
        <v>8</v>
      </c>
    </row>
    <row r="38" spans="1:6" x14ac:dyDescent="0.25">
      <c r="A38" s="8" t="s">
        <v>133</v>
      </c>
      <c r="B38" s="15">
        <f>[1]October!B38-[1]September!B38</f>
        <v>547</v>
      </c>
      <c r="C38" s="15">
        <f>[1]October!C38-[1]September!C38</f>
        <v>206</v>
      </c>
      <c r="D38" s="15">
        <f>[1]October!D38-[1]September!D38</f>
        <v>163</v>
      </c>
      <c r="E38" s="15">
        <f>[1]October!E38-[1]September!E38</f>
        <v>426</v>
      </c>
      <c r="F38" s="14">
        <f t="shared" si="0"/>
        <v>1342</v>
      </c>
    </row>
    <row r="39" spans="1:6" x14ac:dyDescent="0.25">
      <c r="A39" s="8" t="s">
        <v>134</v>
      </c>
      <c r="B39" s="15">
        <f>[1]October!B39-[1]September!B39</f>
        <v>-6584</v>
      </c>
      <c r="C39" s="15">
        <f>[1]October!C39-[1]September!C39</f>
        <v>-8241</v>
      </c>
      <c r="D39" s="15">
        <f>[1]October!D39-[1]September!D39</f>
        <v>-290</v>
      </c>
      <c r="E39" s="15">
        <f>[1]October!E39-[1]September!E39</f>
        <v>-11563</v>
      </c>
      <c r="F39" s="14">
        <f t="shared" si="0"/>
        <v>-26678</v>
      </c>
    </row>
    <row r="40" spans="1:6" x14ac:dyDescent="0.25">
      <c r="A40" s="8" t="s">
        <v>135</v>
      </c>
      <c r="B40" s="15">
        <f>[1]October!B40-[1]September!B40</f>
        <v>83</v>
      </c>
      <c r="C40" s="15">
        <f>[1]October!C40-[1]September!C40</f>
        <v>95</v>
      </c>
      <c r="D40" s="15">
        <f>[1]October!D40-[1]September!D40</f>
        <v>67</v>
      </c>
      <c r="E40" s="15">
        <f>[1]October!E40-[1]September!E40</f>
        <v>196</v>
      </c>
      <c r="F40" s="14">
        <f t="shared" si="0"/>
        <v>441</v>
      </c>
    </row>
    <row r="41" spans="1:6" x14ac:dyDescent="0.25">
      <c r="A41" s="8" t="s">
        <v>136</v>
      </c>
      <c r="B41" s="15">
        <f>[1]October!B41-[1]September!B41</f>
        <v>100</v>
      </c>
      <c r="C41" s="15">
        <f>[1]October!C41-[1]September!C41</f>
        <v>12</v>
      </c>
      <c r="D41" s="15">
        <f>[1]October!D41-[1]September!D41</f>
        <v>35</v>
      </c>
      <c r="E41" s="15">
        <f>[1]October!E41-[1]September!E41</f>
        <v>11</v>
      </c>
      <c r="F41" s="14">
        <f t="shared" si="0"/>
        <v>158</v>
      </c>
    </row>
    <row r="42" spans="1:6" x14ac:dyDescent="0.25">
      <c r="A42" s="8" t="s">
        <v>137</v>
      </c>
      <c r="B42" s="15">
        <f>[1]October!B42-[1]September!B42</f>
        <v>8</v>
      </c>
      <c r="C42" s="15">
        <f>[1]October!C42-[1]September!C42</f>
        <v>0</v>
      </c>
      <c r="D42" s="15">
        <f>[1]October!D42-[1]September!D42</f>
        <v>1</v>
      </c>
      <c r="E42" s="15">
        <f>[1]October!E42-[1]September!E42</f>
        <v>-1</v>
      </c>
      <c r="F42" s="14">
        <f t="shared" si="0"/>
        <v>8</v>
      </c>
    </row>
    <row r="43" spans="1:6" x14ac:dyDescent="0.25">
      <c r="A43" s="8" t="s">
        <v>138</v>
      </c>
      <c r="B43" s="15">
        <f>[1]October!B43-[1]September!B43</f>
        <v>14</v>
      </c>
      <c r="C43" s="15">
        <f>[1]October!C43-[1]September!C43</f>
        <v>0</v>
      </c>
      <c r="D43" s="15">
        <f>[1]October!D43-[1]September!D43</f>
        <v>2</v>
      </c>
      <c r="E43" s="15">
        <f>[1]October!E43-[1]September!E43</f>
        <v>8</v>
      </c>
      <c r="F43" s="14">
        <f t="shared" si="0"/>
        <v>24</v>
      </c>
    </row>
    <row r="44" spans="1:6" x14ac:dyDescent="0.25">
      <c r="A44" s="8" t="s">
        <v>139</v>
      </c>
      <c r="B44" s="15">
        <f>[1]October!B44-[1]September!B44</f>
        <v>601</v>
      </c>
      <c r="C44" s="15">
        <f>[1]October!C44-[1]September!C44</f>
        <v>4</v>
      </c>
      <c r="D44" s="15">
        <f>[1]October!D44-[1]September!D44</f>
        <v>132</v>
      </c>
      <c r="E44" s="15">
        <f>[1]October!E44-[1]September!E44</f>
        <v>156</v>
      </c>
      <c r="F44" s="14">
        <f t="shared" si="0"/>
        <v>893</v>
      </c>
    </row>
    <row r="45" spans="1:6" x14ac:dyDescent="0.25">
      <c r="A45" s="8" t="s">
        <v>140</v>
      </c>
      <c r="B45" s="15">
        <f>[1]October!B45-[1]September!B45</f>
        <v>664</v>
      </c>
      <c r="C45" s="15">
        <f>[1]October!C45-[1]September!C45</f>
        <v>196</v>
      </c>
      <c r="D45" s="15">
        <f>[1]October!D45-[1]September!D45</f>
        <v>179</v>
      </c>
      <c r="E45" s="15">
        <f>[1]October!E45-[1]September!E45</f>
        <v>313</v>
      </c>
      <c r="F45" s="14">
        <f t="shared" si="0"/>
        <v>1352</v>
      </c>
    </row>
    <row r="46" spans="1:6" x14ac:dyDescent="0.25">
      <c r="A46" s="8" t="s">
        <v>141</v>
      </c>
      <c r="B46" s="15">
        <f>[1]October!B46-[1]September!B46</f>
        <v>155</v>
      </c>
      <c r="C46" s="15">
        <f>[1]October!C46-[1]September!C46</f>
        <v>-20</v>
      </c>
      <c r="D46" s="15">
        <f>[1]October!D46-[1]September!D46</f>
        <v>71</v>
      </c>
      <c r="E46" s="15">
        <f>[1]October!E46-[1]September!E46</f>
        <v>62</v>
      </c>
      <c r="F46" s="14">
        <f t="shared" si="0"/>
        <v>268</v>
      </c>
    </row>
    <row r="47" spans="1:6" x14ac:dyDescent="0.25">
      <c r="A47" s="8" t="s">
        <v>142</v>
      </c>
      <c r="B47" s="15">
        <f>[1]October!B47-[1]September!B47</f>
        <v>611</v>
      </c>
      <c r="C47" s="15">
        <f>[1]October!C47-[1]September!C47</f>
        <v>-837</v>
      </c>
      <c r="D47" s="15">
        <f>[1]October!D47-[1]September!D47</f>
        <v>387</v>
      </c>
      <c r="E47" s="15">
        <f>[1]October!E47-[1]September!E47</f>
        <v>638</v>
      </c>
      <c r="F47" s="14">
        <f t="shared" si="0"/>
        <v>799</v>
      </c>
    </row>
    <row r="48" spans="1:6" x14ac:dyDescent="0.25">
      <c r="A48" s="8" t="s">
        <v>143</v>
      </c>
      <c r="B48" s="15">
        <f>[1]October!B48-[1]September!B48</f>
        <v>102</v>
      </c>
      <c r="C48" s="15">
        <f>[1]October!C48-[1]September!C48</f>
        <v>-18</v>
      </c>
      <c r="D48" s="15">
        <f>[1]October!D48-[1]September!D48</f>
        <v>10</v>
      </c>
      <c r="E48" s="15">
        <f>[1]October!E48-[1]September!E48</f>
        <v>52</v>
      </c>
      <c r="F48" s="14">
        <f t="shared" si="0"/>
        <v>146</v>
      </c>
    </row>
    <row r="49" spans="1:6" x14ac:dyDescent="0.25">
      <c r="A49" s="8" t="s">
        <v>144</v>
      </c>
      <c r="B49" s="15">
        <f>[1]October!B49-[1]September!B49</f>
        <v>163</v>
      </c>
      <c r="C49" s="15">
        <f>[1]October!C49-[1]September!C49</f>
        <v>20</v>
      </c>
      <c r="D49" s="15">
        <f>[1]October!D49-[1]September!D49</f>
        <v>37</v>
      </c>
      <c r="E49" s="15">
        <f>[1]October!E49-[1]September!E49</f>
        <v>50</v>
      </c>
      <c r="F49" s="14">
        <f t="shared" si="0"/>
        <v>270</v>
      </c>
    </row>
    <row r="50" spans="1:6" x14ac:dyDescent="0.25">
      <c r="A50" s="8" t="s">
        <v>145</v>
      </c>
      <c r="B50" s="15">
        <f>[1]October!B50-[1]September!B50</f>
        <v>283</v>
      </c>
      <c r="C50" s="15">
        <f>[1]October!C50-[1]September!C50</f>
        <v>59</v>
      </c>
      <c r="D50" s="15">
        <f>[1]October!D50-[1]September!D50</f>
        <v>50</v>
      </c>
      <c r="E50" s="15">
        <f>[1]October!E50-[1]September!E50</f>
        <v>155</v>
      </c>
      <c r="F50" s="14">
        <f t="shared" si="0"/>
        <v>547</v>
      </c>
    </row>
    <row r="51" spans="1:6" x14ac:dyDescent="0.25">
      <c r="A51" s="8" t="s">
        <v>146</v>
      </c>
      <c r="B51" s="15">
        <f>[1]October!B51-[1]September!B51</f>
        <v>-94</v>
      </c>
      <c r="C51" s="15">
        <f>[1]October!C51-[1]September!C51</f>
        <v>-30</v>
      </c>
      <c r="D51" s="15">
        <f>[1]October!D51-[1]September!D51</f>
        <v>-1</v>
      </c>
      <c r="E51" s="15">
        <f>[1]October!E51-[1]September!E51</f>
        <v>-37</v>
      </c>
      <c r="F51" s="14">
        <f t="shared" si="0"/>
        <v>-162</v>
      </c>
    </row>
    <row r="52" spans="1:6" x14ac:dyDescent="0.25">
      <c r="A52" s="8" t="s">
        <v>147</v>
      </c>
      <c r="B52" s="15">
        <f>[1]October!B52-[1]September!B52</f>
        <v>47</v>
      </c>
      <c r="C52" s="15">
        <f>[1]October!C52-[1]September!C52</f>
        <v>-107</v>
      </c>
      <c r="D52" s="15">
        <f>[1]October!D52-[1]September!D52</f>
        <v>470</v>
      </c>
      <c r="E52" s="15">
        <f>[1]October!E52-[1]September!E52</f>
        <v>-296</v>
      </c>
      <c r="F52" s="14">
        <f t="shared" si="0"/>
        <v>114</v>
      </c>
    </row>
    <row r="53" spans="1:6" x14ac:dyDescent="0.25">
      <c r="A53" s="8" t="s">
        <v>148</v>
      </c>
      <c r="B53" s="15">
        <f>[1]October!B53-[1]September!B53</f>
        <v>540</v>
      </c>
      <c r="C53" s="15">
        <f>[1]October!C53-[1]September!C53</f>
        <v>423</v>
      </c>
      <c r="D53" s="15">
        <f>[1]October!D53-[1]September!D53</f>
        <v>200</v>
      </c>
      <c r="E53" s="15">
        <f>[1]October!E53-[1]September!E53</f>
        <v>533</v>
      </c>
      <c r="F53" s="14">
        <f t="shared" si="0"/>
        <v>1696</v>
      </c>
    </row>
    <row r="54" spans="1:6" x14ac:dyDescent="0.25">
      <c r="A54" s="8" t="s">
        <v>149</v>
      </c>
      <c r="B54" s="15">
        <f>[1]October!B54-[1]September!B54</f>
        <v>1496</v>
      </c>
      <c r="C54" s="15">
        <f>[1]October!C54-[1]September!C54</f>
        <v>465</v>
      </c>
      <c r="D54" s="15">
        <f>[1]October!D54-[1]September!D54</f>
        <v>500</v>
      </c>
      <c r="E54" s="15">
        <f>[1]October!E54-[1]September!E54</f>
        <v>999</v>
      </c>
      <c r="F54" s="14">
        <f t="shared" si="0"/>
        <v>3460</v>
      </c>
    </row>
    <row r="55" spans="1:6" x14ac:dyDescent="0.25">
      <c r="A55" s="8" t="s">
        <v>150</v>
      </c>
      <c r="B55" s="15">
        <f>[1]October!B55-[1]September!B55</f>
        <v>834</v>
      </c>
      <c r="C55" s="15">
        <f>[1]October!C55-[1]September!C55</f>
        <v>155</v>
      </c>
      <c r="D55" s="15">
        <f>[1]October!D55-[1]September!D55</f>
        <v>305</v>
      </c>
      <c r="E55" s="15">
        <f>[1]October!E55-[1]September!E55</f>
        <v>331</v>
      </c>
      <c r="F55" s="14">
        <f t="shared" si="0"/>
        <v>1625</v>
      </c>
    </row>
    <row r="56" spans="1:6" x14ac:dyDescent="0.25">
      <c r="A56" s="8" t="s">
        <v>151</v>
      </c>
      <c r="B56" s="15">
        <f>[1]October!B56-[1]September!B56</f>
        <v>911</v>
      </c>
      <c r="C56" s="15">
        <f>[1]October!C56-[1]September!C56</f>
        <v>391</v>
      </c>
      <c r="D56" s="15">
        <f>[1]October!D56-[1]September!D56</f>
        <v>378</v>
      </c>
      <c r="E56" s="15">
        <f>[1]October!E56-[1]September!E56</f>
        <v>555</v>
      </c>
      <c r="F56" s="14">
        <f t="shared" si="0"/>
        <v>2235</v>
      </c>
    </row>
    <row r="57" spans="1:6" x14ac:dyDescent="0.25">
      <c r="A57" s="8" t="s">
        <v>152</v>
      </c>
      <c r="B57" s="15">
        <f>[1]October!B57-[1]September!B57</f>
        <v>1370</v>
      </c>
      <c r="C57" s="15">
        <f>[1]October!C57-[1]September!C57</f>
        <v>981</v>
      </c>
      <c r="D57" s="15">
        <f>[1]October!D57-[1]September!D57</f>
        <v>440</v>
      </c>
      <c r="E57" s="15">
        <f>[1]October!E57-[1]September!E57</f>
        <v>1191</v>
      </c>
      <c r="F57" s="14">
        <f t="shared" si="0"/>
        <v>3982</v>
      </c>
    </row>
    <row r="58" spans="1:6" x14ac:dyDescent="0.25">
      <c r="A58" s="8" t="s">
        <v>153</v>
      </c>
      <c r="B58" s="15">
        <f>[1]October!B58-[1]September!B58</f>
        <v>-1085</v>
      </c>
      <c r="C58" s="15">
        <f>[1]October!C58-[1]September!C58</f>
        <v>-1102</v>
      </c>
      <c r="D58" s="15">
        <f>[1]October!D58-[1]September!D58</f>
        <v>-63</v>
      </c>
      <c r="E58" s="15">
        <f>[1]October!E58-[1]September!E58</f>
        <v>-1133</v>
      </c>
      <c r="F58" s="14">
        <f t="shared" si="0"/>
        <v>-3383</v>
      </c>
    </row>
    <row r="59" spans="1:6" x14ac:dyDescent="0.25">
      <c r="A59" s="8" t="s">
        <v>154</v>
      </c>
      <c r="B59" s="15">
        <f>[1]October!B59-[1]September!B59</f>
        <v>498</v>
      </c>
      <c r="C59" s="15">
        <f>[1]October!C59-[1]September!C59</f>
        <v>71</v>
      </c>
      <c r="D59" s="15">
        <f>[1]October!D59-[1]September!D59</f>
        <v>92</v>
      </c>
      <c r="E59" s="15">
        <f>[1]October!E59-[1]September!E59</f>
        <v>87</v>
      </c>
      <c r="F59" s="14">
        <f t="shared" si="0"/>
        <v>748</v>
      </c>
    </row>
    <row r="60" spans="1:6" x14ac:dyDescent="0.25">
      <c r="A60" s="8" t="s">
        <v>155</v>
      </c>
      <c r="B60" s="15">
        <f>[1]October!B60-[1]September!B60</f>
        <v>717</v>
      </c>
      <c r="C60" s="15">
        <f>[1]October!C60-[1]September!C60</f>
        <v>8</v>
      </c>
      <c r="D60" s="15">
        <f>[1]October!D60-[1]September!D60</f>
        <v>209</v>
      </c>
      <c r="E60" s="15">
        <f>[1]October!E60-[1]September!E60</f>
        <v>235</v>
      </c>
      <c r="F60" s="14">
        <f t="shared" si="0"/>
        <v>1169</v>
      </c>
    </row>
    <row r="61" spans="1:6" x14ac:dyDescent="0.25">
      <c r="A61" s="8" t="s">
        <v>156</v>
      </c>
      <c r="B61" s="15">
        <f>[1]October!B61-[1]September!B61</f>
        <v>-1178</v>
      </c>
      <c r="C61" s="15">
        <f>[1]October!C61-[1]September!C61</f>
        <v>-2077</v>
      </c>
      <c r="D61" s="15">
        <f>[1]October!D61-[1]September!D61</f>
        <v>-116</v>
      </c>
      <c r="E61" s="15">
        <f>[1]October!E61-[1]September!E61</f>
        <v>-1994</v>
      </c>
      <c r="F61" s="14">
        <f t="shared" si="0"/>
        <v>-5365</v>
      </c>
    </row>
    <row r="62" spans="1:6" x14ac:dyDescent="0.25">
      <c r="A62" s="8" t="s">
        <v>157</v>
      </c>
      <c r="B62" s="15">
        <f>[1]October!B62-[1]September!B62</f>
        <v>753</v>
      </c>
      <c r="C62" s="15">
        <f>[1]October!C62-[1]September!C62</f>
        <v>-42</v>
      </c>
      <c r="D62" s="15">
        <f>[1]October!D62-[1]September!D62</f>
        <v>34</v>
      </c>
      <c r="E62" s="15">
        <f>[1]October!E62-[1]September!E62</f>
        <v>462</v>
      </c>
      <c r="F62" s="14">
        <f t="shared" si="0"/>
        <v>1207</v>
      </c>
    </row>
    <row r="63" spans="1:6" x14ac:dyDescent="0.25">
      <c r="A63" s="8" t="s">
        <v>158</v>
      </c>
      <c r="B63" s="15">
        <f>[1]October!B63-[1]September!B63</f>
        <v>555</v>
      </c>
      <c r="C63" s="15">
        <f>[1]October!C63-[1]September!C63</f>
        <v>309</v>
      </c>
      <c r="D63" s="15">
        <f>[1]October!D63-[1]September!D63</f>
        <v>163</v>
      </c>
      <c r="E63" s="15">
        <f>[1]October!E63-[1]September!E63</f>
        <v>299</v>
      </c>
      <c r="F63" s="14">
        <f t="shared" si="0"/>
        <v>1326</v>
      </c>
    </row>
    <row r="64" spans="1:6" x14ac:dyDescent="0.25">
      <c r="A64" s="8" t="s">
        <v>159</v>
      </c>
      <c r="B64" s="15">
        <f>[1]October!B64-[1]September!B64</f>
        <v>611</v>
      </c>
      <c r="C64" s="15">
        <f>[1]October!C64-[1]September!C64</f>
        <v>140</v>
      </c>
      <c r="D64" s="15">
        <f>[1]October!D64-[1]September!D64</f>
        <v>118</v>
      </c>
      <c r="E64" s="15">
        <f>[1]October!E64-[1]September!E64</f>
        <v>103</v>
      </c>
      <c r="F64" s="14">
        <f t="shared" si="0"/>
        <v>972</v>
      </c>
    </row>
    <row r="65" spans="1:6" x14ac:dyDescent="0.25">
      <c r="A65" s="8" t="s">
        <v>160</v>
      </c>
      <c r="B65" s="15">
        <f>[1]October!B65-[1]September!B65</f>
        <v>58</v>
      </c>
      <c r="C65" s="15">
        <f>[1]October!C65-[1]September!C65</f>
        <v>13</v>
      </c>
      <c r="D65" s="15">
        <f>[1]October!D65-[1]September!D65</f>
        <v>19</v>
      </c>
      <c r="E65" s="15">
        <f>[1]October!E65-[1]September!E65</f>
        <v>25</v>
      </c>
      <c r="F65" s="14">
        <f t="shared" si="0"/>
        <v>115</v>
      </c>
    </row>
    <row r="66" spans="1:6" x14ac:dyDescent="0.25">
      <c r="A66" s="8" t="s">
        <v>161</v>
      </c>
      <c r="B66" s="15">
        <f>[1]October!B66-[1]September!B66</f>
        <v>20</v>
      </c>
      <c r="C66" s="15">
        <f>[1]October!C66-[1]September!C66</f>
        <v>3</v>
      </c>
      <c r="D66" s="15">
        <f>[1]October!D66-[1]September!D66</f>
        <v>5</v>
      </c>
      <c r="E66" s="15">
        <f>[1]October!E66-[1]September!E66</f>
        <v>11</v>
      </c>
      <c r="F66" s="14">
        <f t="shared" si="0"/>
        <v>39</v>
      </c>
    </row>
    <row r="67" spans="1:6" x14ac:dyDescent="0.25">
      <c r="A67" s="8" t="s">
        <v>162</v>
      </c>
      <c r="B67" s="15">
        <f>[1]October!B67-[1]September!B67</f>
        <v>8</v>
      </c>
      <c r="C67" s="15">
        <f>[1]October!C67-[1]September!C67</f>
        <v>-12</v>
      </c>
      <c r="D67" s="15">
        <f>[1]October!D67-[1]September!D67</f>
        <v>-1</v>
      </c>
      <c r="E67" s="15">
        <f>[1]October!E67-[1]September!E67</f>
        <v>-1</v>
      </c>
      <c r="F67" s="14">
        <f t="shared" si="0"/>
        <v>-6</v>
      </c>
    </row>
    <row r="68" spans="1:6" x14ac:dyDescent="0.25">
      <c r="A68" s="8" t="s">
        <v>163</v>
      </c>
      <c r="B68" s="15">
        <f>[1]October!B68-[1]September!B68</f>
        <v>767</v>
      </c>
      <c r="C68" s="15">
        <f>[1]October!C68-[1]September!C68</f>
        <v>67</v>
      </c>
      <c r="D68" s="15">
        <f>[1]October!D68-[1]September!D68</f>
        <v>302</v>
      </c>
      <c r="E68" s="15">
        <f>[1]October!E68-[1]September!E68</f>
        <v>379</v>
      </c>
      <c r="F68" s="14">
        <f t="shared" si="0"/>
        <v>1515</v>
      </c>
    </row>
    <row r="69" spans="1:6" x14ac:dyDescent="0.25">
      <c r="A69" s="8" t="s">
        <v>164</v>
      </c>
      <c r="B69" s="15">
        <f>[1]October!B69-[1]September!B69</f>
        <v>57</v>
      </c>
      <c r="C69" s="15">
        <f>[1]October!C69-[1]September!C69</f>
        <v>-3</v>
      </c>
      <c r="D69" s="15">
        <f>[1]October!D69-[1]September!D69</f>
        <v>20</v>
      </c>
      <c r="E69" s="15">
        <f>[1]October!E69-[1]September!E69</f>
        <v>2</v>
      </c>
      <c r="F69" s="14">
        <f t="shared" si="0"/>
        <v>76</v>
      </c>
    </row>
    <row r="70" spans="1:6" x14ac:dyDescent="0.25">
      <c r="A70" s="8" t="s">
        <v>165</v>
      </c>
      <c r="B70" s="15">
        <f>[1]October!B70-[1]September!B70</f>
        <v>300</v>
      </c>
      <c r="C70" s="15">
        <f>[1]October!C70-[1]September!C70</f>
        <v>21</v>
      </c>
      <c r="D70" s="15">
        <f>[1]October!D70-[1]September!D70</f>
        <v>50</v>
      </c>
      <c r="E70" s="15">
        <f>[1]October!E70-[1]September!E70</f>
        <v>18</v>
      </c>
      <c r="F70" s="14">
        <f t="shared" ref="F70:F71" si="1">SUM(B70:E70)</f>
        <v>389</v>
      </c>
    </row>
    <row r="71" spans="1:6" ht="15.75" thickBot="1" x14ac:dyDescent="0.3">
      <c r="A71" s="8" t="s">
        <v>166</v>
      </c>
      <c r="B71" s="15">
        <f>[1]October!B71-[1]September!B71</f>
        <v>28</v>
      </c>
      <c r="C71" s="15">
        <f>[1]October!C71-[1]September!C71</f>
        <v>-1</v>
      </c>
      <c r="D71" s="15">
        <f>[1]October!D71-[1]September!D71</f>
        <v>11</v>
      </c>
      <c r="E71" s="15">
        <f>[1]October!E71-[1]September!E71</f>
        <v>4</v>
      </c>
      <c r="F71" s="14">
        <f t="shared" si="1"/>
        <v>42</v>
      </c>
    </row>
    <row r="72" spans="1:6" ht="16.5" thickTop="1" thickBot="1" x14ac:dyDescent="0.3">
      <c r="A72" s="2" t="s">
        <v>0</v>
      </c>
      <c r="B72" s="10">
        <f>SUM(B5:B71)</f>
        <v>3776</v>
      </c>
      <c r="C72" s="10">
        <f>SUM(C5:C71)</f>
        <v>-12881</v>
      </c>
      <c r="D72" s="10">
        <f>SUM(D5:D71)</f>
        <v>5878</v>
      </c>
      <c r="E72" s="10">
        <f>SUM(E5:E71)</f>
        <v>-10347</v>
      </c>
      <c r="F72" s="6">
        <f>SUM(F5:F71)</f>
        <v>-13574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90</v>
      </c>
      <c r="B1" s="27"/>
      <c r="C1" s="27"/>
      <c r="D1" s="27"/>
      <c r="E1" s="27"/>
      <c r="F1" s="28"/>
    </row>
    <row r="2" spans="1:6" x14ac:dyDescent="0.25">
      <c r="A2" s="20" t="s">
        <v>191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[1]November!B5-[1]October!B5</f>
        <v>81</v>
      </c>
      <c r="C5" s="15">
        <f>[1]November!C5-[1]October!C5</f>
        <v>58</v>
      </c>
      <c r="D5" s="15">
        <f>[1]November!D5-[1]October!D5</f>
        <v>74</v>
      </c>
      <c r="E5" s="15">
        <f>[1]November!E5-[1]October!E5</f>
        <v>69</v>
      </c>
      <c r="F5" s="14">
        <f>SUM(B5:E5)</f>
        <v>282</v>
      </c>
    </row>
    <row r="6" spans="1:6" x14ac:dyDescent="0.25">
      <c r="A6" s="8" t="s">
        <v>101</v>
      </c>
      <c r="B6" s="15">
        <f>[1]November!B6-[1]October!B6</f>
        <v>48</v>
      </c>
      <c r="C6" s="15">
        <f>[1]November!C6-[1]October!C6</f>
        <v>5</v>
      </c>
      <c r="D6" s="15">
        <f>[1]November!D6-[1]October!D6</f>
        <v>0</v>
      </c>
      <c r="E6" s="15">
        <f>[1]November!E6-[1]October!E6</f>
        <v>7</v>
      </c>
      <c r="F6" s="14">
        <f t="shared" ref="F6:F69" si="0">SUM(B6:E6)</f>
        <v>60</v>
      </c>
    </row>
    <row r="7" spans="1:6" x14ac:dyDescent="0.25">
      <c r="A7" s="8" t="s">
        <v>102</v>
      </c>
      <c r="B7" s="15">
        <f>[1]November!B7-[1]October!B7</f>
        <v>270</v>
      </c>
      <c r="C7" s="15">
        <f>[1]November!C7-[1]October!C7</f>
        <v>72</v>
      </c>
      <c r="D7" s="15">
        <f>[1]November!D7-[1]October!D7</f>
        <v>71</v>
      </c>
      <c r="E7" s="15">
        <f>[1]November!E7-[1]October!E7</f>
        <v>70</v>
      </c>
      <c r="F7" s="14">
        <f t="shared" si="0"/>
        <v>483</v>
      </c>
    </row>
    <row r="8" spans="1:6" x14ac:dyDescent="0.25">
      <c r="A8" s="8" t="s">
        <v>103</v>
      </c>
      <c r="B8" s="15">
        <f>[1]November!B8-[1]October!B8</f>
        <v>12</v>
      </c>
      <c r="C8" s="15">
        <f>[1]November!C8-[1]October!C8</f>
        <v>16</v>
      </c>
      <c r="D8" s="15">
        <f>[1]November!D8-[1]October!D8</f>
        <v>17</v>
      </c>
      <c r="E8" s="15">
        <f>[1]November!E8-[1]October!E8</f>
        <v>-1</v>
      </c>
      <c r="F8" s="14">
        <f t="shared" si="0"/>
        <v>44</v>
      </c>
    </row>
    <row r="9" spans="1:6" x14ac:dyDescent="0.25">
      <c r="A9" s="8" t="s">
        <v>104</v>
      </c>
      <c r="B9" s="15">
        <f>[1]November!B9-[1]October!B9</f>
        <v>550</v>
      </c>
      <c r="C9" s="15">
        <f>[1]November!C9-[1]October!C9</f>
        <v>174</v>
      </c>
      <c r="D9" s="15">
        <f>[1]November!D9-[1]October!D9</f>
        <v>223</v>
      </c>
      <c r="E9" s="15">
        <f>[1]November!E9-[1]October!E9</f>
        <v>451</v>
      </c>
      <c r="F9" s="14">
        <f t="shared" si="0"/>
        <v>1398</v>
      </c>
    </row>
    <row r="10" spans="1:6" x14ac:dyDescent="0.25">
      <c r="A10" s="8" t="s">
        <v>105</v>
      </c>
      <c r="B10" s="15">
        <f>[1]November!B10-[1]October!B10</f>
        <v>463</v>
      </c>
      <c r="C10" s="15">
        <f>[1]November!C10-[1]October!C10</f>
        <v>-26</v>
      </c>
      <c r="D10" s="15">
        <f>[1]November!D10-[1]October!D10</f>
        <v>212</v>
      </c>
      <c r="E10" s="15">
        <f>[1]November!E10-[1]October!E10</f>
        <v>577</v>
      </c>
      <c r="F10" s="14">
        <f t="shared" si="0"/>
        <v>1226</v>
      </c>
    </row>
    <row r="11" spans="1:6" x14ac:dyDescent="0.25">
      <c r="A11" s="8" t="s">
        <v>106</v>
      </c>
      <c r="B11" s="15">
        <f>[1]November!B11-[1]October!B11</f>
        <v>12</v>
      </c>
      <c r="C11" s="15">
        <f>[1]November!C11-[1]October!C11</f>
        <v>-2</v>
      </c>
      <c r="D11" s="15">
        <f>[1]November!D11-[1]October!D11</f>
        <v>3</v>
      </c>
      <c r="E11" s="15">
        <f>[1]November!E11-[1]October!E11</f>
        <v>2</v>
      </c>
      <c r="F11" s="14">
        <f t="shared" si="0"/>
        <v>15</v>
      </c>
    </row>
    <row r="12" spans="1:6" x14ac:dyDescent="0.25">
      <c r="A12" s="8" t="s">
        <v>107</v>
      </c>
      <c r="B12" s="15">
        <f>[1]November!B12-[1]October!B12</f>
        <v>473</v>
      </c>
      <c r="C12" s="15">
        <f>[1]November!C12-[1]October!C12</f>
        <v>80</v>
      </c>
      <c r="D12" s="15">
        <f>[1]November!D12-[1]October!D12</f>
        <v>152</v>
      </c>
      <c r="E12" s="15">
        <f>[1]November!E12-[1]October!E12</f>
        <v>105</v>
      </c>
      <c r="F12" s="14">
        <f t="shared" si="0"/>
        <v>810</v>
      </c>
    </row>
    <row r="13" spans="1:6" x14ac:dyDescent="0.25">
      <c r="A13" s="8" t="s">
        <v>108</v>
      </c>
      <c r="B13" s="15">
        <f>[1]November!B13-[1]October!B13</f>
        <v>331</v>
      </c>
      <c r="C13" s="15">
        <f>[1]November!C13-[1]October!C13</f>
        <v>29</v>
      </c>
      <c r="D13" s="15">
        <f>[1]November!D13-[1]October!D13</f>
        <v>104</v>
      </c>
      <c r="E13" s="15">
        <f>[1]November!E13-[1]October!E13</f>
        <v>16</v>
      </c>
      <c r="F13" s="14">
        <f t="shared" si="0"/>
        <v>480</v>
      </c>
    </row>
    <row r="14" spans="1:6" x14ac:dyDescent="0.25">
      <c r="A14" s="8" t="s">
        <v>109</v>
      </c>
      <c r="B14" s="15">
        <f>[1]November!B14-[1]October!B14</f>
        <v>218</v>
      </c>
      <c r="C14" s="15">
        <f>[1]November!C14-[1]October!C14</f>
        <v>71</v>
      </c>
      <c r="D14" s="15">
        <f>[1]November!D14-[1]October!D14</f>
        <v>69</v>
      </c>
      <c r="E14" s="15">
        <f>[1]November!E14-[1]October!E14</f>
        <v>63</v>
      </c>
      <c r="F14" s="14">
        <f t="shared" si="0"/>
        <v>421</v>
      </c>
    </row>
    <row r="15" spans="1:6" x14ac:dyDescent="0.25">
      <c r="A15" s="8" t="s">
        <v>110</v>
      </c>
      <c r="B15" s="15">
        <f>[1]November!B15-[1]October!B15</f>
        <v>119</v>
      </c>
      <c r="C15" s="15">
        <f>[1]November!C15-[1]October!C15</f>
        <v>-35</v>
      </c>
      <c r="D15" s="15">
        <f>[1]November!D15-[1]October!D15</f>
        <v>91</v>
      </c>
      <c r="E15" s="15">
        <f>[1]November!E15-[1]October!E15</f>
        <v>-15</v>
      </c>
      <c r="F15" s="14">
        <f t="shared" si="0"/>
        <v>160</v>
      </c>
    </row>
    <row r="16" spans="1:6" x14ac:dyDescent="0.25">
      <c r="A16" s="8" t="s">
        <v>111</v>
      </c>
      <c r="B16" s="15">
        <f>[1]November!B16-[1]October!B16</f>
        <v>27</v>
      </c>
      <c r="C16" s="15">
        <f>[1]November!C16-[1]October!C16</f>
        <v>18</v>
      </c>
      <c r="D16" s="15">
        <f>[1]November!D16-[1]October!D16</f>
        <v>19</v>
      </c>
      <c r="E16" s="15">
        <f>[1]November!E16-[1]October!E16</f>
        <v>21</v>
      </c>
      <c r="F16" s="14">
        <f t="shared" si="0"/>
        <v>85</v>
      </c>
    </row>
    <row r="17" spans="1:6" x14ac:dyDescent="0.25">
      <c r="A17" s="8" t="s">
        <v>112</v>
      </c>
      <c r="B17" s="15">
        <f>[1]November!B17-[1]October!B17</f>
        <v>31</v>
      </c>
      <c r="C17" s="15">
        <f>[1]November!C17-[1]October!C17</f>
        <v>0</v>
      </c>
      <c r="D17" s="15">
        <f>[1]November!D17-[1]October!D17</f>
        <v>7</v>
      </c>
      <c r="E17" s="15">
        <f>[1]November!E17-[1]October!E17</f>
        <v>10</v>
      </c>
      <c r="F17" s="14">
        <f t="shared" si="0"/>
        <v>48</v>
      </c>
    </row>
    <row r="18" spans="1:6" x14ac:dyDescent="0.25">
      <c r="A18" s="8" t="s">
        <v>113</v>
      </c>
      <c r="B18" s="15">
        <f>[1]November!B18-[1]October!B18</f>
        <v>22</v>
      </c>
      <c r="C18" s="15">
        <f>[1]November!C18-[1]October!C18</f>
        <v>-5</v>
      </c>
      <c r="D18" s="15">
        <f>[1]November!D18-[1]October!D18</f>
        <v>3</v>
      </c>
      <c r="E18" s="15">
        <f>[1]November!E18-[1]October!E18</f>
        <v>3</v>
      </c>
      <c r="F18" s="14">
        <f t="shared" si="0"/>
        <v>23</v>
      </c>
    </row>
    <row r="19" spans="1:6" x14ac:dyDescent="0.25">
      <c r="A19" s="8" t="s">
        <v>114</v>
      </c>
      <c r="B19" s="15">
        <f>[1]November!B19-[1]October!B19</f>
        <v>-49</v>
      </c>
      <c r="C19" s="15">
        <f>[1]November!C19-[1]October!C19</f>
        <v>-132</v>
      </c>
      <c r="D19" s="15">
        <f>[1]November!D19-[1]October!D19</f>
        <v>170</v>
      </c>
      <c r="E19" s="15">
        <f>[1]November!E19-[1]October!E19</f>
        <v>-47</v>
      </c>
      <c r="F19" s="14">
        <f t="shared" si="0"/>
        <v>-58</v>
      </c>
    </row>
    <row r="20" spans="1:6" x14ac:dyDescent="0.25">
      <c r="A20" s="8" t="s">
        <v>115</v>
      </c>
      <c r="B20" s="15">
        <f>[1]November!B20-[1]October!B20</f>
        <v>251</v>
      </c>
      <c r="C20" s="15">
        <f>[1]November!C20-[1]October!C20</f>
        <v>94</v>
      </c>
      <c r="D20" s="15">
        <f>[1]November!D20-[1]October!D20</f>
        <v>110</v>
      </c>
      <c r="E20" s="15">
        <f>[1]November!E20-[1]October!E20</f>
        <v>122</v>
      </c>
      <c r="F20" s="14">
        <f t="shared" si="0"/>
        <v>577</v>
      </c>
    </row>
    <row r="21" spans="1:6" x14ac:dyDescent="0.25">
      <c r="A21" s="8" t="s">
        <v>116</v>
      </c>
      <c r="B21" s="15">
        <f>[1]November!B21-[1]October!B21</f>
        <v>195</v>
      </c>
      <c r="C21" s="15">
        <f>[1]November!C21-[1]October!C21</f>
        <v>52</v>
      </c>
      <c r="D21" s="15">
        <f>[1]November!D21-[1]October!D21</f>
        <v>39</v>
      </c>
      <c r="E21" s="15">
        <f>[1]November!E21-[1]October!E21</f>
        <v>90</v>
      </c>
      <c r="F21" s="14">
        <f t="shared" si="0"/>
        <v>376</v>
      </c>
    </row>
    <row r="22" spans="1:6" x14ac:dyDescent="0.25">
      <c r="A22" s="8" t="s">
        <v>117</v>
      </c>
      <c r="B22" s="15">
        <f>[1]November!B22-[1]October!B22</f>
        <v>5</v>
      </c>
      <c r="C22" s="15">
        <f>[1]November!C22-[1]October!C22</f>
        <v>-9</v>
      </c>
      <c r="D22" s="15">
        <f>[1]November!D22-[1]October!D22</f>
        <v>0</v>
      </c>
      <c r="E22" s="15">
        <f>[1]November!E22-[1]October!E22</f>
        <v>14</v>
      </c>
      <c r="F22" s="14">
        <f t="shared" si="0"/>
        <v>10</v>
      </c>
    </row>
    <row r="23" spans="1:6" x14ac:dyDescent="0.25">
      <c r="A23" s="8" t="s">
        <v>118</v>
      </c>
      <c r="B23" s="15">
        <f>[1]November!B23-[1]October!B23</f>
        <v>18</v>
      </c>
      <c r="C23" s="15">
        <f>[1]November!C23-[1]October!C23</f>
        <v>16</v>
      </c>
      <c r="D23" s="15">
        <f>[1]November!D23-[1]October!D23</f>
        <v>7</v>
      </c>
      <c r="E23" s="15">
        <f>[1]November!E23-[1]October!E23</f>
        <v>11</v>
      </c>
      <c r="F23" s="14">
        <f t="shared" si="0"/>
        <v>52</v>
      </c>
    </row>
    <row r="24" spans="1:6" x14ac:dyDescent="0.25">
      <c r="A24" s="8" t="s">
        <v>119</v>
      </c>
      <c r="B24" s="15">
        <f>[1]November!B24-[1]October!B24</f>
        <v>15</v>
      </c>
      <c r="C24" s="15">
        <f>[1]November!C24-[1]October!C24</f>
        <v>3</v>
      </c>
      <c r="D24" s="15">
        <f>[1]November!D24-[1]October!D24</f>
        <v>5</v>
      </c>
      <c r="E24" s="15">
        <f>[1]November!E24-[1]October!E24</f>
        <v>13</v>
      </c>
      <c r="F24" s="14">
        <f t="shared" si="0"/>
        <v>36</v>
      </c>
    </row>
    <row r="25" spans="1:6" x14ac:dyDescent="0.25">
      <c r="A25" s="8" t="s">
        <v>120</v>
      </c>
      <c r="B25" s="15">
        <f>[1]November!B25-[1]October!B25</f>
        <v>15</v>
      </c>
      <c r="C25" s="15">
        <f>[1]November!C25-[1]October!C25</f>
        <v>5</v>
      </c>
      <c r="D25" s="15">
        <f>[1]November!D25-[1]October!D25</f>
        <v>1</v>
      </c>
      <c r="E25" s="15">
        <f>[1]November!E25-[1]October!E25</f>
        <v>1</v>
      </c>
      <c r="F25" s="14">
        <f t="shared" si="0"/>
        <v>22</v>
      </c>
    </row>
    <row r="26" spans="1:6" x14ac:dyDescent="0.25">
      <c r="A26" s="8" t="s">
        <v>121</v>
      </c>
      <c r="B26" s="15">
        <f>[1]November!B26-[1]October!B26</f>
        <v>34</v>
      </c>
      <c r="C26" s="15">
        <f>[1]November!C26-[1]October!C26</f>
        <v>-3</v>
      </c>
      <c r="D26" s="15">
        <f>[1]November!D26-[1]October!D26</f>
        <v>4</v>
      </c>
      <c r="E26" s="15">
        <f>[1]November!E26-[1]October!E26</f>
        <v>3</v>
      </c>
      <c r="F26" s="14">
        <f t="shared" si="0"/>
        <v>38</v>
      </c>
    </row>
    <row r="27" spans="1:6" x14ac:dyDescent="0.25">
      <c r="A27" s="8" t="s">
        <v>122</v>
      </c>
      <c r="B27" s="15">
        <f>[1]November!B27-[1]October!B27</f>
        <v>20</v>
      </c>
      <c r="C27" s="15">
        <f>[1]November!C27-[1]October!C27</f>
        <v>-2</v>
      </c>
      <c r="D27" s="15">
        <f>[1]November!D27-[1]October!D27</f>
        <v>7</v>
      </c>
      <c r="E27" s="15">
        <f>[1]November!E27-[1]October!E27</f>
        <v>9</v>
      </c>
      <c r="F27" s="14">
        <f t="shared" si="0"/>
        <v>34</v>
      </c>
    </row>
    <row r="28" spans="1:6" x14ac:dyDescent="0.25">
      <c r="A28" s="8" t="s">
        <v>123</v>
      </c>
      <c r="B28" s="15">
        <f>[1]November!B28-[1]October!B28</f>
        <v>-4</v>
      </c>
      <c r="C28" s="15">
        <f>[1]November!C28-[1]October!C28</f>
        <v>-4</v>
      </c>
      <c r="D28" s="15">
        <f>[1]November!D28-[1]October!D28</f>
        <v>8</v>
      </c>
      <c r="E28" s="15">
        <f>[1]November!E28-[1]October!E28</f>
        <v>0</v>
      </c>
      <c r="F28" s="14">
        <f t="shared" si="0"/>
        <v>0</v>
      </c>
    </row>
    <row r="29" spans="1:6" x14ac:dyDescent="0.25">
      <c r="A29" s="8" t="s">
        <v>124</v>
      </c>
      <c r="B29" s="15">
        <f>[1]November!B29-[1]October!B29</f>
        <v>22</v>
      </c>
      <c r="C29" s="15">
        <f>[1]November!C29-[1]October!C29</f>
        <v>24</v>
      </c>
      <c r="D29" s="15">
        <f>[1]November!D29-[1]October!D29</f>
        <v>13</v>
      </c>
      <c r="E29" s="15">
        <f>[1]November!E29-[1]October!E29</f>
        <v>31</v>
      </c>
      <c r="F29" s="14">
        <f t="shared" si="0"/>
        <v>90</v>
      </c>
    </row>
    <row r="30" spans="1:6" x14ac:dyDescent="0.25">
      <c r="A30" s="8" t="s">
        <v>125</v>
      </c>
      <c r="B30" s="15">
        <f>[1]November!B30-[1]October!B30</f>
        <v>195</v>
      </c>
      <c r="C30" s="15">
        <f>[1]November!C30-[1]October!C30</f>
        <v>36</v>
      </c>
      <c r="D30" s="15">
        <f>[1]November!D30-[1]October!D30</f>
        <v>50</v>
      </c>
      <c r="E30" s="15">
        <f>[1]November!E30-[1]October!E30</f>
        <v>58</v>
      </c>
      <c r="F30" s="14">
        <f t="shared" si="0"/>
        <v>339</v>
      </c>
    </row>
    <row r="31" spans="1:6" x14ac:dyDescent="0.25">
      <c r="A31" s="8" t="s">
        <v>126</v>
      </c>
      <c r="B31" s="15">
        <f>[1]November!B31-[1]October!B31</f>
        <v>143</v>
      </c>
      <c r="C31" s="15">
        <f>[1]November!C31-[1]October!C31</f>
        <v>15</v>
      </c>
      <c r="D31" s="15">
        <f>[1]November!D31-[1]October!D31</f>
        <v>40</v>
      </c>
      <c r="E31" s="15">
        <f>[1]November!E31-[1]October!E31</f>
        <v>-8</v>
      </c>
      <c r="F31" s="14">
        <f t="shared" si="0"/>
        <v>190</v>
      </c>
    </row>
    <row r="32" spans="1:6" x14ac:dyDescent="0.25">
      <c r="A32" s="8" t="s">
        <v>127</v>
      </c>
      <c r="B32" s="15">
        <f>[1]November!B32-[1]October!B32</f>
        <v>824</v>
      </c>
      <c r="C32" s="15">
        <f>[1]November!C32-[1]October!C32</f>
        <v>728</v>
      </c>
      <c r="D32" s="15">
        <f>[1]November!D32-[1]October!D32</f>
        <v>466</v>
      </c>
      <c r="E32" s="15">
        <f>[1]November!E32-[1]October!E32</f>
        <v>827</v>
      </c>
      <c r="F32" s="14">
        <f t="shared" si="0"/>
        <v>2845</v>
      </c>
    </row>
    <row r="33" spans="1:6" x14ac:dyDescent="0.25">
      <c r="A33" s="8" t="s">
        <v>128</v>
      </c>
      <c r="B33" s="15">
        <f>[1]November!B33-[1]October!B33</f>
        <v>31</v>
      </c>
      <c r="C33" s="15">
        <f>[1]November!C33-[1]October!C33</f>
        <v>-10</v>
      </c>
      <c r="D33" s="15">
        <f>[1]November!D33-[1]October!D33</f>
        <v>1</v>
      </c>
      <c r="E33" s="15">
        <f>[1]November!E33-[1]October!E33</f>
        <v>2</v>
      </c>
      <c r="F33" s="14">
        <f t="shared" si="0"/>
        <v>24</v>
      </c>
    </row>
    <row r="34" spans="1:6" x14ac:dyDescent="0.25">
      <c r="A34" s="8" t="s">
        <v>129</v>
      </c>
      <c r="B34" s="15">
        <f>[1]November!B34-[1]October!B34</f>
        <v>194</v>
      </c>
      <c r="C34" s="15">
        <f>[1]November!C34-[1]October!C34</f>
        <v>54</v>
      </c>
      <c r="D34" s="15">
        <f>[1]November!D34-[1]October!D34</f>
        <v>80</v>
      </c>
      <c r="E34" s="15">
        <f>[1]November!E34-[1]October!E34</f>
        <v>36</v>
      </c>
      <c r="F34" s="14">
        <f t="shared" si="0"/>
        <v>364</v>
      </c>
    </row>
    <row r="35" spans="1:6" x14ac:dyDescent="0.25">
      <c r="A35" s="8" t="s">
        <v>130</v>
      </c>
      <c r="B35" s="15">
        <f>[1]November!B35-[1]October!B35</f>
        <v>104</v>
      </c>
      <c r="C35" s="15">
        <f>[1]November!C35-[1]October!C35</f>
        <v>-14</v>
      </c>
      <c r="D35" s="15">
        <f>[1]November!D35-[1]October!D35</f>
        <v>5</v>
      </c>
      <c r="E35" s="15">
        <f>[1]November!E35-[1]October!E35</f>
        <v>16</v>
      </c>
      <c r="F35" s="14">
        <f t="shared" si="0"/>
        <v>111</v>
      </c>
    </row>
    <row r="36" spans="1:6" x14ac:dyDescent="0.25">
      <c r="A36" s="8" t="s">
        <v>131</v>
      </c>
      <c r="B36" s="15">
        <f>[1]November!B36-[1]October!B36</f>
        <v>14</v>
      </c>
      <c r="C36" s="15">
        <f>[1]November!C36-[1]October!C36</f>
        <v>-5</v>
      </c>
      <c r="D36" s="15">
        <f>[1]November!D36-[1]October!D36</f>
        <v>7</v>
      </c>
      <c r="E36" s="15">
        <f>[1]November!E36-[1]October!E36</f>
        <v>3</v>
      </c>
      <c r="F36" s="14">
        <f t="shared" si="0"/>
        <v>19</v>
      </c>
    </row>
    <row r="37" spans="1:6" x14ac:dyDescent="0.25">
      <c r="A37" s="8" t="s">
        <v>132</v>
      </c>
      <c r="B37" s="15">
        <f>[1]November!B37-[1]October!B37</f>
        <v>9</v>
      </c>
      <c r="C37" s="15">
        <f>[1]November!C37-[1]October!C37</f>
        <v>0</v>
      </c>
      <c r="D37" s="15">
        <f>[1]November!D37-[1]October!D37</f>
        <v>1</v>
      </c>
      <c r="E37" s="15">
        <f>[1]November!E37-[1]October!E37</f>
        <v>-3</v>
      </c>
      <c r="F37" s="14">
        <f t="shared" si="0"/>
        <v>7</v>
      </c>
    </row>
    <row r="38" spans="1:6" x14ac:dyDescent="0.25">
      <c r="A38" s="8" t="s">
        <v>133</v>
      </c>
      <c r="B38" s="15">
        <f>[1]November!B38-[1]October!B38</f>
        <v>339</v>
      </c>
      <c r="C38" s="15">
        <f>[1]November!C38-[1]October!C38</f>
        <v>124</v>
      </c>
      <c r="D38" s="15">
        <f>[1]November!D38-[1]October!D38</f>
        <v>103</v>
      </c>
      <c r="E38" s="15">
        <f>[1]November!E38-[1]October!E38</f>
        <v>194</v>
      </c>
      <c r="F38" s="14">
        <f t="shared" si="0"/>
        <v>760</v>
      </c>
    </row>
    <row r="39" spans="1:6" x14ac:dyDescent="0.25">
      <c r="A39" s="8" t="s">
        <v>134</v>
      </c>
      <c r="B39" s="15">
        <f>[1]November!B39-[1]October!B39</f>
        <v>925</v>
      </c>
      <c r="C39" s="15">
        <f>[1]November!C39-[1]October!C39</f>
        <v>212</v>
      </c>
      <c r="D39" s="15">
        <f>[1]November!D39-[1]October!D39</f>
        <v>289</v>
      </c>
      <c r="E39" s="15">
        <f>[1]November!E39-[1]October!E39</f>
        <v>347</v>
      </c>
      <c r="F39" s="14">
        <f t="shared" si="0"/>
        <v>1773</v>
      </c>
    </row>
    <row r="40" spans="1:6" x14ac:dyDescent="0.25">
      <c r="A40" s="8" t="s">
        <v>135</v>
      </c>
      <c r="B40" s="15">
        <f>[1]November!B40-[1]October!B40</f>
        <v>35</v>
      </c>
      <c r="C40" s="15">
        <f>[1]November!C40-[1]October!C40</f>
        <v>35</v>
      </c>
      <c r="D40" s="15">
        <f>[1]November!D40-[1]October!D40</f>
        <v>58</v>
      </c>
      <c r="E40" s="15">
        <f>[1]November!E40-[1]October!E40</f>
        <v>99</v>
      </c>
      <c r="F40" s="14">
        <f t="shared" si="0"/>
        <v>227</v>
      </c>
    </row>
    <row r="41" spans="1:6" x14ac:dyDescent="0.25">
      <c r="A41" s="8" t="s">
        <v>136</v>
      </c>
      <c r="B41" s="15">
        <f>[1]November!B41-[1]October!B41</f>
        <v>52</v>
      </c>
      <c r="C41" s="15">
        <f>[1]November!C41-[1]October!C41</f>
        <v>2</v>
      </c>
      <c r="D41" s="15">
        <f>[1]November!D41-[1]October!D41</f>
        <v>26</v>
      </c>
      <c r="E41" s="15">
        <f>[1]November!E41-[1]October!E41</f>
        <v>-3</v>
      </c>
      <c r="F41" s="14">
        <f t="shared" si="0"/>
        <v>77</v>
      </c>
    </row>
    <row r="42" spans="1:6" x14ac:dyDescent="0.25">
      <c r="A42" s="8" t="s">
        <v>137</v>
      </c>
      <c r="B42" s="15">
        <f>[1]November!B42-[1]October!B42</f>
        <v>4</v>
      </c>
      <c r="C42" s="15">
        <f>[1]November!C42-[1]October!C42</f>
        <v>-4</v>
      </c>
      <c r="D42" s="15">
        <f>[1]November!D42-[1]October!D42</f>
        <v>0</v>
      </c>
      <c r="E42" s="15">
        <f>[1]November!E42-[1]October!E42</f>
        <v>0</v>
      </c>
      <c r="F42" s="14">
        <f t="shared" si="0"/>
        <v>0</v>
      </c>
    </row>
    <row r="43" spans="1:6" x14ac:dyDescent="0.25">
      <c r="A43" s="8" t="s">
        <v>138</v>
      </c>
      <c r="B43" s="15">
        <f>[1]November!B43-[1]October!B43</f>
        <v>9</v>
      </c>
      <c r="C43" s="15">
        <f>[1]November!C43-[1]October!C43</f>
        <v>-5</v>
      </c>
      <c r="D43" s="15">
        <f>[1]November!D43-[1]October!D43</f>
        <v>2</v>
      </c>
      <c r="E43" s="15">
        <f>[1]November!E43-[1]October!E43</f>
        <v>2</v>
      </c>
      <c r="F43" s="14">
        <f t="shared" si="0"/>
        <v>8</v>
      </c>
    </row>
    <row r="44" spans="1:6" x14ac:dyDescent="0.25">
      <c r="A44" s="8" t="s">
        <v>139</v>
      </c>
      <c r="B44" s="15">
        <f>[1]November!B44-[1]October!B44</f>
        <v>446</v>
      </c>
      <c r="C44" s="15">
        <f>[1]November!C44-[1]October!C44</f>
        <v>168</v>
      </c>
      <c r="D44" s="15">
        <f>[1]November!D44-[1]October!D44</f>
        <v>138</v>
      </c>
      <c r="E44" s="15">
        <f>[1]November!E44-[1]October!E44</f>
        <v>200</v>
      </c>
      <c r="F44" s="14">
        <f t="shared" si="0"/>
        <v>952</v>
      </c>
    </row>
    <row r="45" spans="1:6" x14ac:dyDescent="0.25">
      <c r="A45" s="8" t="s">
        <v>140</v>
      </c>
      <c r="B45" s="15">
        <f>[1]November!B45-[1]October!B45</f>
        <v>404</v>
      </c>
      <c r="C45" s="15">
        <f>[1]November!C45-[1]October!C45</f>
        <v>159</v>
      </c>
      <c r="D45" s="15">
        <f>[1]November!D45-[1]October!D45</f>
        <v>137</v>
      </c>
      <c r="E45" s="15">
        <f>[1]November!E45-[1]October!E45</f>
        <v>272</v>
      </c>
      <c r="F45" s="14">
        <f t="shared" si="0"/>
        <v>972</v>
      </c>
    </row>
    <row r="46" spans="1:6" x14ac:dyDescent="0.25">
      <c r="A46" s="8" t="s">
        <v>141</v>
      </c>
      <c r="B46" s="15">
        <f>[1]November!B46-[1]October!B46</f>
        <v>174</v>
      </c>
      <c r="C46" s="15">
        <f>[1]November!C46-[1]October!C46</f>
        <v>3</v>
      </c>
      <c r="D46" s="15">
        <f>[1]November!D46-[1]October!D46</f>
        <v>52</v>
      </c>
      <c r="E46" s="15">
        <f>[1]November!E46-[1]October!E46</f>
        <v>19</v>
      </c>
      <c r="F46" s="14">
        <f t="shared" si="0"/>
        <v>248</v>
      </c>
    </row>
    <row r="47" spans="1:6" x14ac:dyDescent="0.25">
      <c r="A47" s="8" t="s">
        <v>142</v>
      </c>
      <c r="B47" s="15">
        <f>[1]November!B47-[1]October!B47</f>
        <v>798</v>
      </c>
      <c r="C47" s="15">
        <f>[1]November!C47-[1]October!C47</f>
        <v>379</v>
      </c>
      <c r="D47" s="15">
        <f>[1]November!D47-[1]October!D47</f>
        <v>386</v>
      </c>
      <c r="E47" s="15">
        <f>[1]November!E47-[1]October!E47</f>
        <v>887</v>
      </c>
      <c r="F47" s="14">
        <f t="shared" si="0"/>
        <v>2450</v>
      </c>
    </row>
    <row r="48" spans="1:6" x14ac:dyDescent="0.25">
      <c r="A48" s="8" t="s">
        <v>143</v>
      </c>
      <c r="B48" s="15">
        <f>[1]November!B48-[1]October!B48</f>
        <v>67</v>
      </c>
      <c r="C48" s="15">
        <f>[1]November!C48-[1]October!C48</f>
        <v>-15</v>
      </c>
      <c r="D48" s="15">
        <f>[1]November!D48-[1]October!D48</f>
        <v>37</v>
      </c>
      <c r="E48" s="15">
        <f>[1]November!E48-[1]October!E48</f>
        <v>2</v>
      </c>
      <c r="F48" s="14">
        <f t="shared" si="0"/>
        <v>91</v>
      </c>
    </row>
    <row r="49" spans="1:6" x14ac:dyDescent="0.25">
      <c r="A49" s="8" t="s">
        <v>144</v>
      </c>
      <c r="B49" s="15">
        <f>[1]November!B49-[1]October!B49</f>
        <v>182</v>
      </c>
      <c r="C49" s="15">
        <f>[1]November!C49-[1]October!C49</f>
        <v>25</v>
      </c>
      <c r="D49" s="15">
        <f>[1]November!D49-[1]October!D49</f>
        <v>35</v>
      </c>
      <c r="E49" s="15">
        <f>[1]November!E49-[1]October!E49</f>
        <v>17</v>
      </c>
      <c r="F49" s="14">
        <f t="shared" si="0"/>
        <v>259</v>
      </c>
    </row>
    <row r="50" spans="1:6" x14ac:dyDescent="0.25">
      <c r="A50" s="8" t="s">
        <v>145</v>
      </c>
      <c r="B50" s="15">
        <f>[1]November!B50-[1]October!B50</f>
        <v>159</v>
      </c>
      <c r="C50" s="15">
        <f>[1]November!C50-[1]October!C50</f>
        <v>44</v>
      </c>
      <c r="D50" s="15">
        <f>[1]November!D50-[1]October!D50</f>
        <v>73</v>
      </c>
      <c r="E50" s="15">
        <f>[1]November!E50-[1]October!E50</f>
        <v>69</v>
      </c>
      <c r="F50" s="14">
        <f t="shared" si="0"/>
        <v>345</v>
      </c>
    </row>
    <row r="51" spans="1:6" x14ac:dyDescent="0.25">
      <c r="A51" s="8" t="s">
        <v>146</v>
      </c>
      <c r="B51" s="15">
        <f>[1]November!B51-[1]October!B51</f>
        <v>44</v>
      </c>
      <c r="C51" s="15">
        <f>[1]November!C51-[1]October!C51</f>
        <v>10</v>
      </c>
      <c r="D51" s="15">
        <f>[1]November!D51-[1]October!D51</f>
        <v>13</v>
      </c>
      <c r="E51" s="15">
        <f>[1]November!E51-[1]October!E51</f>
        <v>0</v>
      </c>
      <c r="F51" s="14">
        <f t="shared" si="0"/>
        <v>67</v>
      </c>
    </row>
    <row r="52" spans="1:6" x14ac:dyDescent="0.25">
      <c r="A52" s="8" t="s">
        <v>147</v>
      </c>
      <c r="B52" s="15">
        <f>[1]November!B52-[1]October!B52</f>
        <v>-229</v>
      </c>
      <c r="C52" s="15">
        <f>[1]November!C52-[1]October!C52</f>
        <v>-367</v>
      </c>
      <c r="D52" s="15">
        <f>[1]November!D52-[1]October!D52</f>
        <v>249</v>
      </c>
      <c r="E52" s="15">
        <f>[1]November!E52-[1]October!E52</f>
        <v>-506</v>
      </c>
      <c r="F52" s="14">
        <f t="shared" si="0"/>
        <v>-853</v>
      </c>
    </row>
    <row r="53" spans="1:6" x14ac:dyDescent="0.25">
      <c r="A53" s="8" t="s">
        <v>148</v>
      </c>
      <c r="B53" s="15">
        <f>[1]November!B53-[1]October!B53</f>
        <v>420</v>
      </c>
      <c r="C53" s="15">
        <f>[1]November!C53-[1]October!C53</f>
        <v>406</v>
      </c>
      <c r="D53" s="15">
        <f>[1]November!D53-[1]October!D53</f>
        <v>164</v>
      </c>
      <c r="E53" s="15">
        <f>[1]November!E53-[1]October!E53</f>
        <v>384</v>
      </c>
      <c r="F53" s="14">
        <f t="shared" si="0"/>
        <v>1374</v>
      </c>
    </row>
    <row r="54" spans="1:6" x14ac:dyDescent="0.25">
      <c r="A54" s="8" t="s">
        <v>149</v>
      </c>
      <c r="B54" s="15">
        <f>[1]November!B54-[1]October!B54</f>
        <v>1213</v>
      </c>
      <c r="C54" s="15">
        <f>[1]November!C54-[1]October!C54</f>
        <v>746</v>
      </c>
      <c r="D54" s="15">
        <f>[1]November!D54-[1]October!D54</f>
        <v>471</v>
      </c>
      <c r="E54" s="15">
        <f>[1]November!E54-[1]October!E54</f>
        <v>842</v>
      </c>
      <c r="F54" s="14">
        <f t="shared" si="0"/>
        <v>3272</v>
      </c>
    </row>
    <row r="55" spans="1:6" x14ac:dyDescent="0.25">
      <c r="A55" s="8" t="s">
        <v>150</v>
      </c>
      <c r="B55" s="15">
        <f>[1]November!B55-[1]October!B55</f>
        <v>635</v>
      </c>
      <c r="C55" s="15">
        <f>[1]November!C55-[1]October!C55</f>
        <v>275</v>
      </c>
      <c r="D55" s="15">
        <f>[1]November!D55-[1]October!D55</f>
        <v>254</v>
      </c>
      <c r="E55" s="15">
        <f>[1]November!E55-[1]October!E55</f>
        <v>349</v>
      </c>
      <c r="F55" s="14">
        <f t="shared" si="0"/>
        <v>1513</v>
      </c>
    </row>
    <row r="56" spans="1:6" x14ac:dyDescent="0.25">
      <c r="A56" s="8" t="s">
        <v>151</v>
      </c>
      <c r="B56" s="15">
        <f>[1]November!B56-[1]October!B56</f>
        <v>192</v>
      </c>
      <c r="C56" s="15">
        <f>[1]November!C56-[1]October!C56</f>
        <v>-88</v>
      </c>
      <c r="D56" s="15">
        <f>[1]November!D56-[1]October!D56</f>
        <v>216</v>
      </c>
      <c r="E56" s="15">
        <f>[1]November!E56-[1]October!E56</f>
        <v>104</v>
      </c>
      <c r="F56" s="14">
        <f t="shared" si="0"/>
        <v>424</v>
      </c>
    </row>
    <row r="57" spans="1:6" x14ac:dyDescent="0.25">
      <c r="A57" s="8" t="s">
        <v>152</v>
      </c>
      <c r="B57" s="15">
        <f>[1]November!B57-[1]October!B57</f>
        <v>383</v>
      </c>
      <c r="C57" s="15">
        <f>[1]November!C57-[1]October!C57</f>
        <v>223</v>
      </c>
      <c r="D57" s="15">
        <f>[1]November!D57-[1]October!D57</f>
        <v>222</v>
      </c>
      <c r="E57" s="15">
        <f>[1]November!E57-[1]October!E57</f>
        <v>343</v>
      </c>
      <c r="F57" s="14">
        <f t="shared" si="0"/>
        <v>1171</v>
      </c>
    </row>
    <row r="58" spans="1:6" x14ac:dyDescent="0.25">
      <c r="A58" s="8" t="s">
        <v>153</v>
      </c>
      <c r="B58" s="15">
        <f>[1]November!B58-[1]October!B58</f>
        <v>72</v>
      </c>
      <c r="C58" s="15">
        <f>[1]November!C58-[1]October!C58</f>
        <v>15</v>
      </c>
      <c r="D58" s="15">
        <f>[1]November!D58-[1]October!D58</f>
        <v>17</v>
      </c>
      <c r="E58" s="15">
        <f>[1]November!E58-[1]October!E58</f>
        <v>26</v>
      </c>
      <c r="F58" s="14">
        <f t="shared" si="0"/>
        <v>130</v>
      </c>
    </row>
    <row r="59" spans="1:6" x14ac:dyDescent="0.25">
      <c r="A59" s="8" t="s">
        <v>154</v>
      </c>
      <c r="B59" s="15">
        <f>[1]November!B59-[1]October!B59</f>
        <v>384</v>
      </c>
      <c r="C59" s="15">
        <f>[1]November!C59-[1]October!C59</f>
        <v>66</v>
      </c>
      <c r="D59" s="15">
        <f>[1]November!D59-[1]October!D59</f>
        <v>76</v>
      </c>
      <c r="E59" s="15">
        <f>[1]November!E59-[1]October!E59</f>
        <v>70</v>
      </c>
      <c r="F59" s="14">
        <f t="shared" si="0"/>
        <v>596</v>
      </c>
    </row>
    <row r="60" spans="1:6" x14ac:dyDescent="0.25">
      <c r="A60" s="8" t="s">
        <v>155</v>
      </c>
      <c r="B60" s="15">
        <f>[1]November!B60-[1]October!B60</f>
        <v>458</v>
      </c>
      <c r="C60" s="15">
        <f>[1]November!C60-[1]October!C60</f>
        <v>56</v>
      </c>
      <c r="D60" s="15">
        <f>[1]November!D60-[1]October!D60</f>
        <v>210</v>
      </c>
      <c r="E60" s="15">
        <f>[1]November!E60-[1]October!E60</f>
        <v>100</v>
      </c>
      <c r="F60" s="14">
        <f t="shared" si="0"/>
        <v>824</v>
      </c>
    </row>
    <row r="61" spans="1:6" x14ac:dyDescent="0.25">
      <c r="A61" s="8" t="s">
        <v>156</v>
      </c>
      <c r="B61" s="15">
        <f>[1]November!B61-[1]October!B61</f>
        <v>-88</v>
      </c>
      <c r="C61" s="15">
        <f>[1]November!C61-[1]October!C61</f>
        <v>-204</v>
      </c>
      <c r="D61" s="15">
        <f>[1]November!D61-[1]October!D61</f>
        <v>99</v>
      </c>
      <c r="E61" s="15">
        <f>[1]November!E61-[1]October!E61</f>
        <v>-160</v>
      </c>
      <c r="F61" s="14">
        <f t="shared" si="0"/>
        <v>-353</v>
      </c>
    </row>
    <row r="62" spans="1:6" x14ac:dyDescent="0.25">
      <c r="A62" s="8" t="s">
        <v>157</v>
      </c>
      <c r="B62" s="15">
        <f>[1]November!B62-[1]October!B62</f>
        <v>544</v>
      </c>
      <c r="C62" s="15">
        <f>[1]November!C62-[1]October!C62</f>
        <v>15</v>
      </c>
      <c r="D62" s="15">
        <f>[1]November!D62-[1]October!D62</f>
        <v>8</v>
      </c>
      <c r="E62" s="15">
        <f>[1]November!E62-[1]October!E62</f>
        <v>460</v>
      </c>
      <c r="F62" s="14">
        <f t="shared" si="0"/>
        <v>1027</v>
      </c>
    </row>
    <row r="63" spans="1:6" x14ac:dyDescent="0.25">
      <c r="A63" s="8" t="s">
        <v>158</v>
      </c>
      <c r="B63" s="15">
        <f>[1]November!B63-[1]October!B63</f>
        <v>198</v>
      </c>
      <c r="C63" s="15">
        <f>[1]November!C63-[1]October!C63</f>
        <v>-40</v>
      </c>
      <c r="D63" s="15">
        <f>[1]November!D63-[1]October!D63</f>
        <v>88</v>
      </c>
      <c r="E63" s="15">
        <f>[1]November!E63-[1]October!E63</f>
        <v>37</v>
      </c>
      <c r="F63" s="14">
        <f t="shared" si="0"/>
        <v>283</v>
      </c>
    </row>
    <row r="64" spans="1:6" x14ac:dyDescent="0.25">
      <c r="A64" s="8" t="s">
        <v>159</v>
      </c>
      <c r="B64" s="15">
        <f>[1]November!B64-[1]October!B64</f>
        <v>450</v>
      </c>
      <c r="C64" s="15">
        <f>[1]November!C64-[1]October!C64</f>
        <v>122</v>
      </c>
      <c r="D64" s="15">
        <f>[1]November!D64-[1]October!D64</f>
        <v>92</v>
      </c>
      <c r="E64" s="15">
        <f>[1]November!E64-[1]October!E64</f>
        <v>84</v>
      </c>
      <c r="F64" s="14">
        <f t="shared" si="0"/>
        <v>748</v>
      </c>
    </row>
    <row r="65" spans="1:6" x14ac:dyDescent="0.25">
      <c r="A65" s="8" t="s">
        <v>160</v>
      </c>
      <c r="B65" s="15">
        <f>[1]November!B65-[1]October!B65</f>
        <v>44</v>
      </c>
      <c r="C65" s="15">
        <f>[1]November!C65-[1]October!C65</f>
        <v>-3</v>
      </c>
      <c r="D65" s="15">
        <f>[1]November!D65-[1]October!D65</f>
        <v>21</v>
      </c>
      <c r="E65" s="15">
        <f>[1]November!E65-[1]October!E65</f>
        <v>4</v>
      </c>
      <c r="F65" s="14">
        <f t="shared" si="0"/>
        <v>66</v>
      </c>
    </row>
    <row r="66" spans="1:6" x14ac:dyDescent="0.25">
      <c r="A66" s="8" t="s">
        <v>161</v>
      </c>
      <c r="B66" s="15">
        <f>[1]November!B66-[1]October!B66</f>
        <v>15</v>
      </c>
      <c r="C66" s="15">
        <f>[1]November!C66-[1]October!C66</f>
        <v>11</v>
      </c>
      <c r="D66" s="15">
        <f>[1]November!D66-[1]October!D66</f>
        <v>6</v>
      </c>
      <c r="E66" s="15">
        <f>[1]November!E66-[1]October!E66</f>
        <v>9</v>
      </c>
      <c r="F66" s="14">
        <f t="shared" si="0"/>
        <v>41</v>
      </c>
    </row>
    <row r="67" spans="1:6" x14ac:dyDescent="0.25">
      <c r="A67" s="8" t="s">
        <v>162</v>
      </c>
      <c r="B67" s="15">
        <f>[1]November!B67-[1]October!B67</f>
        <v>1</v>
      </c>
      <c r="C67" s="15">
        <f>[1]November!C67-[1]October!C67</f>
        <v>3</v>
      </c>
      <c r="D67" s="15">
        <f>[1]November!D67-[1]October!D67</f>
        <v>3</v>
      </c>
      <c r="E67" s="15">
        <f>[1]November!E67-[1]October!E67</f>
        <v>4</v>
      </c>
      <c r="F67" s="14">
        <f t="shared" si="0"/>
        <v>11</v>
      </c>
    </row>
    <row r="68" spans="1:6" x14ac:dyDescent="0.25">
      <c r="A68" s="8" t="s">
        <v>163</v>
      </c>
      <c r="B68" s="15">
        <f>[1]November!B68-[1]October!B68</f>
        <v>549</v>
      </c>
      <c r="C68" s="15">
        <f>[1]November!C68-[1]October!C68</f>
        <v>241</v>
      </c>
      <c r="D68" s="15">
        <f>[1]November!D68-[1]October!D68</f>
        <v>236</v>
      </c>
      <c r="E68" s="15">
        <f>[1]November!E68-[1]October!E68</f>
        <v>144</v>
      </c>
      <c r="F68" s="14">
        <f t="shared" si="0"/>
        <v>1170</v>
      </c>
    </row>
    <row r="69" spans="1:6" x14ac:dyDescent="0.25">
      <c r="A69" s="8" t="s">
        <v>164</v>
      </c>
      <c r="B69" s="15">
        <f>[1]November!B69-[1]October!B69</f>
        <v>39</v>
      </c>
      <c r="C69" s="15">
        <f>[1]November!C69-[1]October!C69</f>
        <v>-9</v>
      </c>
      <c r="D69" s="15">
        <f>[1]November!D69-[1]October!D69</f>
        <v>14</v>
      </c>
      <c r="E69" s="15">
        <f>[1]November!E69-[1]October!E69</f>
        <v>4</v>
      </c>
      <c r="F69" s="14">
        <f t="shared" si="0"/>
        <v>48</v>
      </c>
    </row>
    <row r="70" spans="1:6" x14ac:dyDescent="0.25">
      <c r="A70" s="8" t="s">
        <v>165</v>
      </c>
      <c r="B70" s="15">
        <f>[1]November!B70-[1]October!B70</f>
        <v>67</v>
      </c>
      <c r="C70" s="15">
        <f>[1]November!C70-[1]October!C70</f>
        <v>-11</v>
      </c>
      <c r="D70" s="15">
        <f>[1]November!D70-[1]October!D70</f>
        <v>18</v>
      </c>
      <c r="E70" s="15">
        <f>[1]November!E70-[1]October!E70</f>
        <v>-7</v>
      </c>
      <c r="F70" s="14">
        <f t="shared" ref="F70:F71" si="1">SUM(B70:E70)</f>
        <v>67</v>
      </c>
    </row>
    <row r="71" spans="1:6" ht="15.75" thickBot="1" x14ac:dyDescent="0.3">
      <c r="A71" s="8" t="s">
        <v>166</v>
      </c>
      <c r="B71" s="15">
        <f>[1]November!B71-[1]October!B71</f>
        <v>53</v>
      </c>
      <c r="C71" s="15">
        <f>[1]November!C71-[1]October!C71</f>
        <v>-3</v>
      </c>
      <c r="D71" s="15">
        <f>[1]November!D71-[1]October!D71</f>
        <v>4</v>
      </c>
      <c r="E71" s="15">
        <f>[1]November!E71-[1]October!E71</f>
        <v>1</v>
      </c>
      <c r="F71" s="14">
        <f t="shared" si="1"/>
        <v>55</v>
      </c>
    </row>
    <row r="72" spans="1:6" ht="16.5" thickTop="1" thickBot="1" x14ac:dyDescent="0.3">
      <c r="A72" s="2" t="s">
        <v>0</v>
      </c>
      <c r="B72" s="10">
        <f>SUM(B5:B71)</f>
        <v>13731</v>
      </c>
      <c r="C72" s="10">
        <f>SUM(C5:C71)</f>
        <v>3894</v>
      </c>
      <c r="D72" s="10">
        <f>SUM(D5:D71)</f>
        <v>5876</v>
      </c>
      <c r="E72" s="10">
        <f>SUM(E5:E71)</f>
        <v>6953</v>
      </c>
      <c r="F72" s="6">
        <f>SUM(F5:F71)</f>
        <v>30454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3"/>
  <sheetViews>
    <sheetView zoomScaleNormal="100"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91</v>
      </c>
      <c r="B1" s="27"/>
      <c r="C1" s="27"/>
      <c r="D1" s="27"/>
      <c r="E1" s="27"/>
      <c r="F1" s="28"/>
    </row>
    <row r="2" spans="1:6" x14ac:dyDescent="0.25">
      <c r="A2" s="20" t="s">
        <v>192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[1]December!B5-[1]November!B5</f>
        <v>-2424</v>
      </c>
      <c r="C5" s="15">
        <f>[1]December!C5-[1]November!C5</f>
        <v>-5342</v>
      </c>
      <c r="D5" s="15">
        <f>[1]December!D5-[1]November!D5</f>
        <v>-231</v>
      </c>
      <c r="E5" s="15">
        <f>[1]December!E5-[1]November!E5</f>
        <v>-4643</v>
      </c>
      <c r="F5" s="14">
        <f>SUM(B5:E5)</f>
        <v>-12640</v>
      </c>
    </row>
    <row r="6" spans="1:6" x14ac:dyDescent="0.25">
      <c r="A6" s="8" t="s">
        <v>101</v>
      </c>
      <c r="B6" s="15">
        <f>[1]December!B6-[1]November!B6</f>
        <v>39</v>
      </c>
      <c r="C6" s="15">
        <f>[1]December!C6-[1]November!C6</f>
        <v>5</v>
      </c>
      <c r="D6" s="15">
        <f>[1]December!D6-[1]November!D6</f>
        <v>13</v>
      </c>
      <c r="E6" s="15">
        <f>[1]December!E6-[1]November!E6</f>
        <v>19</v>
      </c>
      <c r="F6" s="14">
        <f t="shared" ref="F6:F69" si="0">SUM(B6:E6)</f>
        <v>76</v>
      </c>
    </row>
    <row r="7" spans="1:6" x14ac:dyDescent="0.25">
      <c r="A7" s="8" t="s">
        <v>102</v>
      </c>
      <c r="B7" s="15">
        <f>[1]December!B7-[1]November!B7</f>
        <v>274</v>
      </c>
      <c r="C7" s="15">
        <f>[1]December!C7-[1]November!C7</f>
        <v>29</v>
      </c>
      <c r="D7" s="15">
        <f>[1]December!D7-[1]November!D7</f>
        <v>80</v>
      </c>
      <c r="E7" s="15">
        <f>[1]December!E7-[1]November!E7</f>
        <v>89</v>
      </c>
      <c r="F7" s="14">
        <f t="shared" si="0"/>
        <v>472</v>
      </c>
    </row>
    <row r="8" spans="1:6" x14ac:dyDescent="0.25">
      <c r="A8" s="8" t="s">
        <v>103</v>
      </c>
      <c r="B8" s="15">
        <f>[1]December!B8-[1]November!B8</f>
        <v>35</v>
      </c>
      <c r="C8" s="15">
        <f>[1]December!C8-[1]November!C8</f>
        <v>1</v>
      </c>
      <c r="D8" s="15">
        <f>[1]December!D8-[1]November!D8</f>
        <v>4</v>
      </c>
      <c r="E8" s="15">
        <f>[1]December!E8-[1]November!E8</f>
        <v>6</v>
      </c>
      <c r="F8" s="14">
        <f t="shared" si="0"/>
        <v>46</v>
      </c>
    </row>
    <row r="9" spans="1:6" x14ac:dyDescent="0.25">
      <c r="A9" s="8" t="s">
        <v>104</v>
      </c>
      <c r="B9" s="15">
        <f>[1]December!B9-[1]November!B9</f>
        <v>485</v>
      </c>
      <c r="C9" s="15">
        <f>[1]December!C9-[1]November!C9</f>
        <v>159</v>
      </c>
      <c r="D9" s="15">
        <f>[1]December!D9-[1]November!D9</f>
        <v>202</v>
      </c>
      <c r="E9" s="15">
        <f>[1]December!E9-[1]November!E9</f>
        <v>416</v>
      </c>
      <c r="F9" s="14">
        <f t="shared" si="0"/>
        <v>1262</v>
      </c>
    </row>
    <row r="10" spans="1:6" x14ac:dyDescent="0.25">
      <c r="A10" s="8" t="s">
        <v>105</v>
      </c>
      <c r="B10" s="15">
        <f>[1]December!B10-[1]November!B10</f>
        <v>-20692</v>
      </c>
      <c r="C10" s="15">
        <f>[1]December!C10-[1]November!C10</f>
        <v>-60181</v>
      </c>
      <c r="D10" s="15">
        <f>[1]December!D10-[1]November!D10</f>
        <v>-2714</v>
      </c>
      <c r="E10" s="15">
        <f>[1]December!E10-[1]November!E10</f>
        <v>-50722</v>
      </c>
      <c r="F10" s="14">
        <f t="shared" si="0"/>
        <v>-134309</v>
      </c>
    </row>
    <row r="11" spans="1:6" x14ac:dyDescent="0.25">
      <c r="A11" s="8" t="s">
        <v>106</v>
      </c>
      <c r="B11" s="15">
        <f>[1]December!B11-[1]November!B11</f>
        <v>9</v>
      </c>
      <c r="C11" s="15">
        <f>[1]December!C11-[1]November!C11</f>
        <v>-7</v>
      </c>
      <c r="D11" s="15">
        <f>[1]December!D11-[1]November!D11</f>
        <v>1</v>
      </c>
      <c r="E11" s="15">
        <f>[1]December!E11-[1]November!E11</f>
        <v>5</v>
      </c>
      <c r="F11" s="14">
        <f t="shared" si="0"/>
        <v>8</v>
      </c>
    </row>
    <row r="12" spans="1:6" x14ac:dyDescent="0.25">
      <c r="A12" s="8" t="s">
        <v>107</v>
      </c>
      <c r="B12" s="15">
        <f>[1]December!B12-[1]November!B12</f>
        <v>471</v>
      </c>
      <c r="C12" s="15">
        <f>[1]December!C12-[1]November!C12</f>
        <v>89</v>
      </c>
      <c r="D12" s="15">
        <f>[1]December!D12-[1]November!D12</f>
        <v>106</v>
      </c>
      <c r="E12" s="15">
        <f>[1]December!E12-[1]November!E12</f>
        <v>131</v>
      </c>
      <c r="F12" s="14">
        <f t="shared" si="0"/>
        <v>797</v>
      </c>
    </row>
    <row r="13" spans="1:6" x14ac:dyDescent="0.25">
      <c r="A13" s="8" t="s">
        <v>108</v>
      </c>
      <c r="B13" s="15">
        <f>[1]December!B13-[1]November!B13</f>
        <v>242</v>
      </c>
      <c r="C13" s="15">
        <f>[1]December!C13-[1]November!C13</f>
        <v>-11</v>
      </c>
      <c r="D13" s="15">
        <f>[1]December!D13-[1]November!D13</f>
        <v>95</v>
      </c>
      <c r="E13" s="15">
        <f>[1]December!E13-[1]November!E13</f>
        <v>10</v>
      </c>
      <c r="F13" s="14">
        <f t="shared" si="0"/>
        <v>336</v>
      </c>
    </row>
    <row r="14" spans="1:6" x14ac:dyDescent="0.25">
      <c r="A14" s="8" t="s">
        <v>109</v>
      </c>
      <c r="B14" s="15">
        <f>[1]December!B14-[1]November!B14</f>
        <v>191</v>
      </c>
      <c r="C14" s="15">
        <f>[1]December!C14-[1]November!C14</f>
        <v>130</v>
      </c>
      <c r="D14" s="15">
        <f>[1]December!D14-[1]November!D14</f>
        <v>85</v>
      </c>
      <c r="E14" s="15">
        <f>[1]December!E14-[1]November!E14</f>
        <v>89</v>
      </c>
      <c r="F14" s="14">
        <f t="shared" si="0"/>
        <v>495</v>
      </c>
    </row>
    <row r="15" spans="1:6" x14ac:dyDescent="0.25">
      <c r="A15" s="8" t="s">
        <v>110</v>
      </c>
      <c r="B15" s="15">
        <f>[1]December!B15-[1]November!B15</f>
        <v>662</v>
      </c>
      <c r="C15" s="15">
        <f>[1]December!C15-[1]November!C15</f>
        <v>148</v>
      </c>
      <c r="D15" s="15">
        <f>[1]December!D15-[1]November!D15</f>
        <v>122</v>
      </c>
      <c r="E15" s="15">
        <f>[1]December!E15-[1]November!E15</f>
        <v>200</v>
      </c>
      <c r="F15" s="14">
        <f t="shared" si="0"/>
        <v>1132</v>
      </c>
    </row>
    <row r="16" spans="1:6" x14ac:dyDescent="0.25">
      <c r="A16" s="8" t="s">
        <v>111</v>
      </c>
      <c r="B16" s="15">
        <f>[1]December!B16-[1]November!B16</f>
        <v>26</v>
      </c>
      <c r="C16" s="15">
        <f>[1]December!C16-[1]November!C16</f>
        <v>4</v>
      </c>
      <c r="D16" s="15">
        <f>[1]December!D16-[1]November!D16</f>
        <v>22</v>
      </c>
      <c r="E16" s="15">
        <f>[1]December!E16-[1]November!E16</f>
        <v>8</v>
      </c>
      <c r="F16" s="14">
        <f t="shared" si="0"/>
        <v>60</v>
      </c>
    </row>
    <row r="17" spans="1:6" x14ac:dyDescent="0.25">
      <c r="A17" s="8" t="s">
        <v>112</v>
      </c>
      <c r="B17" s="15">
        <f>[1]December!B17-[1]November!B17</f>
        <v>57</v>
      </c>
      <c r="C17" s="15">
        <f>[1]December!C17-[1]November!C17</f>
        <v>7</v>
      </c>
      <c r="D17" s="15">
        <f>[1]December!D17-[1]November!D17</f>
        <v>18</v>
      </c>
      <c r="E17" s="15">
        <f>[1]December!E17-[1]November!E17</f>
        <v>0</v>
      </c>
      <c r="F17" s="14">
        <f t="shared" si="0"/>
        <v>82</v>
      </c>
    </row>
    <row r="18" spans="1:6" x14ac:dyDescent="0.25">
      <c r="A18" s="8" t="s">
        <v>113</v>
      </c>
      <c r="B18" s="15">
        <f>[1]December!B18-[1]November!B18</f>
        <v>3</v>
      </c>
      <c r="C18" s="15">
        <f>[1]December!C18-[1]November!C18</f>
        <v>-4</v>
      </c>
      <c r="D18" s="15">
        <f>[1]December!D18-[1]November!D18</f>
        <v>5</v>
      </c>
      <c r="E18" s="15">
        <f>[1]December!E18-[1]November!E18</f>
        <v>3</v>
      </c>
      <c r="F18" s="14">
        <f t="shared" si="0"/>
        <v>7</v>
      </c>
    </row>
    <row r="19" spans="1:6" x14ac:dyDescent="0.25">
      <c r="A19" s="8" t="s">
        <v>114</v>
      </c>
      <c r="B19" s="15">
        <f>[1]December!B19-[1]November!B19</f>
        <v>-34</v>
      </c>
      <c r="C19" s="15">
        <f>[1]December!C19-[1]November!C19</f>
        <v>-29</v>
      </c>
      <c r="D19" s="15">
        <f>[1]December!D19-[1]November!D19</f>
        <v>209</v>
      </c>
      <c r="E19" s="15">
        <f>[1]December!E19-[1]November!E19</f>
        <v>-3</v>
      </c>
      <c r="F19" s="14">
        <f t="shared" si="0"/>
        <v>143</v>
      </c>
    </row>
    <row r="20" spans="1:6" x14ac:dyDescent="0.25">
      <c r="A20" s="8" t="s">
        <v>115</v>
      </c>
      <c r="B20" s="15">
        <f>[1]December!B20-[1]November!B20</f>
        <v>-144</v>
      </c>
      <c r="C20" s="15">
        <f>[1]December!C20-[1]November!C20</f>
        <v>-239</v>
      </c>
      <c r="D20" s="15">
        <f>[1]December!D20-[1]November!D20</f>
        <v>75</v>
      </c>
      <c r="E20" s="15">
        <f>[1]December!E20-[1]November!E20</f>
        <v>-206</v>
      </c>
      <c r="F20" s="14">
        <f t="shared" si="0"/>
        <v>-514</v>
      </c>
    </row>
    <row r="21" spans="1:6" x14ac:dyDescent="0.25">
      <c r="A21" s="8" t="s">
        <v>116</v>
      </c>
      <c r="B21" s="15">
        <f>[1]December!B21-[1]November!B21</f>
        <v>246</v>
      </c>
      <c r="C21" s="15">
        <f>[1]December!C21-[1]November!C21</f>
        <v>41</v>
      </c>
      <c r="D21" s="15">
        <f>[1]December!D21-[1]November!D21</f>
        <v>42</v>
      </c>
      <c r="E21" s="15">
        <f>[1]December!E21-[1]November!E21</f>
        <v>21</v>
      </c>
      <c r="F21" s="14">
        <f t="shared" si="0"/>
        <v>350</v>
      </c>
    </row>
    <row r="22" spans="1:6" x14ac:dyDescent="0.25">
      <c r="A22" s="8" t="s">
        <v>117</v>
      </c>
      <c r="B22" s="15">
        <f>[1]December!B22-[1]November!B22</f>
        <v>16</v>
      </c>
      <c r="C22" s="15">
        <f>[1]December!C22-[1]November!C22</f>
        <v>-9</v>
      </c>
      <c r="D22" s="15">
        <f>[1]December!D22-[1]November!D22</f>
        <v>2</v>
      </c>
      <c r="E22" s="15">
        <f>[1]December!E22-[1]November!E22</f>
        <v>12</v>
      </c>
      <c r="F22" s="14">
        <f t="shared" si="0"/>
        <v>21</v>
      </c>
    </row>
    <row r="23" spans="1:6" x14ac:dyDescent="0.25">
      <c r="A23" s="8" t="s">
        <v>118</v>
      </c>
      <c r="B23" s="15">
        <f>[1]December!B23-[1]November!B23</f>
        <v>24</v>
      </c>
      <c r="C23" s="15">
        <f>[1]December!C23-[1]November!C23</f>
        <v>3</v>
      </c>
      <c r="D23" s="15">
        <f>[1]December!D23-[1]November!D23</f>
        <v>9</v>
      </c>
      <c r="E23" s="15">
        <f>[1]December!E23-[1]November!E23</f>
        <v>18</v>
      </c>
      <c r="F23" s="14">
        <f t="shared" si="0"/>
        <v>54</v>
      </c>
    </row>
    <row r="24" spans="1:6" x14ac:dyDescent="0.25">
      <c r="A24" s="8" t="s">
        <v>119</v>
      </c>
      <c r="B24" s="15">
        <f>[1]December!B24-[1]November!B24</f>
        <v>20</v>
      </c>
      <c r="C24" s="15">
        <f>[1]December!C24-[1]November!C24</f>
        <v>-9</v>
      </c>
      <c r="D24" s="15">
        <f>[1]December!D24-[1]November!D24</f>
        <v>2</v>
      </c>
      <c r="E24" s="15">
        <f>[1]December!E24-[1]November!E24</f>
        <v>-3</v>
      </c>
      <c r="F24" s="14">
        <f t="shared" si="0"/>
        <v>10</v>
      </c>
    </row>
    <row r="25" spans="1:6" x14ac:dyDescent="0.25">
      <c r="A25" s="8" t="s">
        <v>120</v>
      </c>
      <c r="B25" s="15">
        <f>[1]December!B25-[1]November!B25</f>
        <v>17</v>
      </c>
      <c r="C25" s="15">
        <f>[1]December!C25-[1]November!C25</f>
        <v>8</v>
      </c>
      <c r="D25" s="15">
        <f>[1]December!D25-[1]November!D25</f>
        <v>2</v>
      </c>
      <c r="E25" s="15">
        <f>[1]December!E25-[1]November!E25</f>
        <v>10</v>
      </c>
      <c r="F25" s="14">
        <f t="shared" si="0"/>
        <v>37</v>
      </c>
    </row>
    <row r="26" spans="1:6" x14ac:dyDescent="0.25">
      <c r="A26" s="8" t="s">
        <v>121</v>
      </c>
      <c r="B26" s="15">
        <f>[1]December!B26-[1]November!B26</f>
        <v>38</v>
      </c>
      <c r="C26" s="15">
        <f>[1]December!C26-[1]November!C26</f>
        <v>-1</v>
      </c>
      <c r="D26" s="15">
        <f>[1]December!D26-[1]November!D26</f>
        <v>8</v>
      </c>
      <c r="E26" s="15">
        <f>[1]December!E26-[1]November!E26</f>
        <v>7</v>
      </c>
      <c r="F26" s="14">
        <f t="shared" si="0"/>
        <v>52</v>
      </c>
    </row>
    <row r="27" spans="1:6" x14ac:dyDescent="0.25">
      <c r="A27" s="8" t="s">
        <v>122</v>
      </c>
      <c r="B27" s="15">
        <f>[1]December!B27-[1]November!B27</f>
        <v>7</v>
      </c>
      <c r="C27" s="15">
        <f>[1]December!C27-[1]November!C27</f>
        <v>2</v>
      </c>
      <c r="D27" s="15">
        <f>[1]December!D27-[1]November!D27</f>
        <v>5</v>
      </c>
      <c r="E27" s="15">
        <f>[1]December!E27-[1]November!E27</f>
        <v>-4</v>
      </c>
      <c r="F27" s="14">
        <f t="shared" si="0"/>
        <v>10</v>
      </c>
    </row>
    <row r="28" spans="1:6" x14ac:dyDescent="0.25">
      <c r="A28" s="8" t="s">
        <v>123</v>
      </c>
      <c r="B28" s="15">
        <f>[1]December!B28-[1]November!B28</f>
        <v>13</v>
      </c>
      <c r="C28" s="15">
        <f>[1]December!C28-[1]November!C28</f>
        <v>5</v>
      </c>
      <c r="D28" s="15">
        <f>[1]December!D28-[1]November!D28</f>
        <v>4</v>
      </c>
      <c r="E28" s="15">
        <f>[1]December!E28-[1]November!E28</f>
        <v>6</v>
      </c>
      <c r="F28" s="14">
        <f t="shared" si="0"/>
        <v>28</v>
      </c>
    </row>
    <row r="29" spans="1:6" x14ac:dyDescent="0.25">
      <c r="A29" s="8" t="s">
        <v>124</v>
      </c>
      <c r="B29" s="15">
        <f>[1]December!B29-[1]November!B29</f>
        <v>67</v>
      </c>
      <c r="C29" s="15">
        <f>[1]December!C29-[1]November!C29</f>
        <v>57</v>
      </c>
      <c r="D29" s="15">
        <f>[1]December!D29-[1]November!D29</f>
        <v>8</v>
      </c>
      <c r="E29" s="15">
        <f>[1]December!E29-[1]November!E29</f>
        <v>46</v>
      </c>
      <c r="F29" s="14">
        <f t="shared" si="0"/>
        <v>178</v>
      </c>
    </row>
    <row r="30" spans="1:6" x14ac:dyDescent="0.25">
      <c r="A30" s="8" t="s">
        <v>125</v>
      </c>
      <c r="B30" s="15">
        <f>[1]December!B30-[1]November!B30</f>
        <v>209</v>
      </c>
      <c r="C30" s="15">
        <f>[1]December!C30-[1]November!C30</f>
        <v>77</v>
      </c>
      <c r="D30" s="15">
        <f>[1]December!D30-[1]November!D30</f>
        <v>68</v>
      </c>
      <c r="E30" s="15">
        <f>[1]December!E30-[1]November!E30</f>
        <v>95</v>
      </c>
      <c r="F30" s="14">
        <f t="shared" si="0"/>
        <v>449</v>
      </c>
    </row>
    <row r="31" spans="1:6" x14ac:dyDescent="0.25">
      <c r="A31" s="8" t="s">
        <v>126</v>
      </c>
      <c r="B31" s="15">
        <f>[1]December!B31-[1]November!B31</f>
        <v>115</v>
      </c>
      <c r="C31" s="15">
        <f>[1]December!C31-[1]November!C31</f>
        <v>32</v>
      </c>
      <c r="D31" s="15">
        <f>[1]December!D31-[1]November!D31</f>
        <v>52</v>
      </c>
      <c r="E31" s="15">
        <f>[1]December!E31-[1]November!E31</f>
        <v>0</v>
      </c>
      <c r="F31" s="14">
        <f t="shared" si="0"/>
        <v>199</v>
      </c>
    </row>
    <row r="32" spans="1:6" x14ac:dyDescent="0.25">
      <c r="A32" s="8" t="s">
        <v>127</v>
      </c>
      <c r="B32" s="15">
        <f>[1]December!B32-[1]November!B32</f>
        <v>662</v>
      </c>
      <c r="C32" s="15">
        <f>[1]December!C32-[1]November!C32</f>
        <v>493</v>
      </c>
      <c r="D32" s="15">
        <f>[1]December!D32-[1]November!D32</f>
        <v>479</v>
      </c>
      <c r="E32" s="15">
        <f>[1]December!E32-[1]November!E32</f>
        <v>699</v>
      </c>
      <c r="F32" s="14">
        <f t="shared" si="0"/>
        <v>2333</v>
      </c>
    </row>
    <row r="33" spans="1:6" x14ac:dyDescent="0.25">
      <c r="A33" s="8" t="s">
        <v>128</v>
      </c>
      <c r="B33" s="15">
        <f>[1]December!B33-[1]November!B33</f>
        <v>39</v>
      </c>
      <c r="C33" s="15">
        <f>[1]December!C33-[1]November!C33</f>
        <v>-8</v>
      </c>
      <c r="D33" s="15">
        <f>[1]December!D33-[1]November!D33</f>
        <v>4</v>
      </c>
      <c r="E33" s="15">
        <f>[1]December!E33-[1]November!E33</f>
        <v>3</v>
      </c>
      <c r="F33" s="14">
        <f t="shared" si="0"/>
        <v>38</v>
      </c>
    </row>
    <row r="34" spans="1:6" x14ac:dyDescent="0.25">
      <c r="A34" s="8" t="s">
        <v>129</v>
      </c>
      <c r="B34" s="15">
        <f>[1]December!B34-[1]November!B34</f>
        <v>253</v>
      </c>
      <c r="C34" s="15">
        <f>[1]December!C34-[1]November!C34</f>
        <v>85</v>
      </c>
      <c r="D34" s="15">
        <f>[1]December!D34-[1]November!D34</f>
        <v>69</v>
      </c>
      <c r="E34" s="15">
        <f>[1]December!E34-[1]November!E34</f>
        <v>74</v>
      </c>
      <c r="F34" s="14">
        <f t="shared" si="0"/>
        <v>481</v>
      </c>
    </row>
    <row r="35" spans="1:6" x14ac:dyDescent="0.25">
      <c r="A35" s="8" t="s">
        <v>130</v>
      </c>
      <c r="B35" s="15">
        <f>[1]December!B35-[1]November!B35</f>
        <v>51</v>
      </c>
      <c r="C35" s="15">
        <f>[1]December!C35-[1]November!C35</f>
        <v>12</v>
      </c>
      <c r="D35" s="15">
        <f>[1]December!D35-[1]November!D35</f>
        <v>10</v>
      </c>
      <c r="E35" s="15">
        <f>[1]December!E35-[1]November!E35</f>
        <v>18</v>
      </c>
      <c r="F35" s="14">
        <f t="shared" si="0"/>
        <v>91</v>
      </c>
    </row>
    <row r="36" spans="1:6" x14ac:dyDescent="0.25">
      <c r="A36" s="8" t="s">
        <v>131</v>
      </c>
      <c r="B36" s="15">
        <f>[1]December!B36-[1]November!B36</f>
        <v>11</v>
      </c>
      <c r="C36" s="15">
        <f>[1]December!C36-[1]November!C36</f>
        <v>-19</v>
      </c>
      <c r="D36" s="15">
        <f>[1]December!D36-[1]November!D36</f>
        <v>8</v>
      </c>
      <c r="E36" s="15">
        <f>[1]December!E36-[1]November!E36</f>
        <v>-7</v>
      </c>
      <c r="F36" s="14">
        <f t="shared" si="0"/>
        <v>-7</v>
      </c>
    </row>
    <row r="37" spans="1:6" x14ac:dyDescent="0.25">
      <c r="A37" s="8" t="s">
        <v>132</v>
      </c>
      <c r="B37" s="15">
        <f>[1]December!B37-[1]November!B37</f>
        <v>-2</v>
      </c>
      <c r="C37" s="15">
        <f>[1]December!C37-[1]November!C37</f>
        <v>3</v>
      </c>
      <c r="D37" s="15">
        <f>[1]December!D37-[1]November!D37</f>
        <v>0</v>
      </c>
      <c r="E37" s="15">
        <f>[1]December!E37-[1]November!E37</f>
        <v>-1</v>
      </c>
      <c r="F37" s="14">
        <f t="shared" si="0"/>
        <v>0</v>
      </c>
    </row>
    <row r="38" spans="1:6" x14ac:dyDescent="0.25">
      <c r="A38" s="8" t="s">
        <v>133</v>
      </c>
      <c r="B38" s="15">
        <f>[1]December!B38-[1]November!B38</f>
        <v>-431</v>
      </c>
      <c r="C38" s="15">
        <f>[1]December!C38-[1]November!C38</f>
        <v>-455</v>
      </c>
      <c r="D38" s="15">
        <f>[1]December!D38-[1]November!D38</f>
        <v>4</v>
      </c>
      <c r="E38" s="15">
        <f>[1]December!E38-[1]November!E38</f>
        <v>-314</v>
      </c>
      <c r="F38" s="14">
        <f t="shared" si="0"/>
        <v>-1196</v>
      </c>
    </row>
    <row r="39" spans="1:6" x14ac:dyDescent="0.25">
      <c r="A39" s="8" t="s">
        <v>134</v>
      </c>
      <c r="B39" s="15">
        <f>[1]December!B39-[1]November!B39</f>
        <v>948</v>
      </c>
      <c r="C39" s="15">
        <f>[1]December!C39-[1]November!C39</f>
        <v>253</v>
      </c>
      <c r="D39" s="15">
        <f>[1]December!D39-[1]November!D39</f>
        <v>273</v>
      </c>
      <c r="E39" s="15">
        <f>[1]December!E39-[1]November!E39</f>
        <v>305</v>
      </c>
      <c r="F39" s="14">
        <f t="shared" si="0"/>
        <v>1779</v>
      </c>
    </row>
    <row r="40" spans="1:6" x14ac:dyDescent="0.25">
      <c r="A40" s="8" t="s">
        <v>135</v>
      </c>
      <c r="B40" s="15">
        <f>[1]December!B40-[1]November!B40</f>
        <v>-2</v>
      </c>
      <c r="C40" s="15">
        <f>[1]December!C40-[1]November!C40</f>
        <v>-65</v>
      </c>
      <c r="D40" s="15">
        <f>[1]December!D40-[1]November!D40</f>
        <v>61</v>
      </c>
      <c r="E40" s="15">
        <f>[1]December!E40-[1]November!E40</f>
        <v>5</v>
      </c>
      <c r="F40" s="14">
        <f t="shared" si="0"/>
        <v>-1</v>
      </c>
    </row>
    <row r="41" spans="1:6" x14ac:dyDescent="0.25">
      <c r="A41" s="8" t="s">
        <v>136</v>
      </c>
      <c r="B41" s="15">
        <f>[1]December!B41-[1]November!B41</f>
        <v>63</v>
      </c>
      <c r="C41" s="15">
        <f>[1]December!C41-[1]November!C41</f>
        <v>13</v>
      </c>
      <c r="D41" s="15">
        <f>[1]December!D41-[1]November!D41</f>
        <v>19</v>
      </c>
      <c r="E41" s="15">
        <f>[1]December!E41-[1]November!E41</f>
        <v>2</v>
      </c>
      <c r="F41" s="14">
        <f t="shared" si="0"/>
        <v>97</v>
      </c>
    </row>
    <row r="42" spans="1:6" x14ac:dyDescent="0.25">
      <c r="A42" s="8" t="s">
        <v>137</v>
      </c>
      <c r="B42" s="15">
        <f>[1]December!B42-[1]November!B42</f>
        <v>6</v>
      </c>
      <c r="C42" s="15">
        <f>[1]December!C42-[1]November!C42</f>
        <v>-1</v>
      </c>
      <c r="D42" s="15">
        <f>[1]December!D42-[1]November!D42</f>
        <v>1</v>
      </c>
      <c r="E42" s="15">
        <f>[1]December!E42-[1]November!E42</f>
        <v>-1</v>
      </c>
      <c r="F42" s="14">
        <f t="shared" si="0"/>
        <v>5</v>
      </c>
    </row>
    <row r="43" spans="1:6" x14ac:dyDescent="0.25">
      <c r="A43" s="8" t="s">
        <v>138</v>
      </c>
      <c r="B43" s="15">
        <f>[1]December!B43-[1]November!B43</f>
        <v>16</v>
      </c>
      <c r="C43" s="15">
        <f>[1]December!C43-[1]November!C43</f>
        <v>-1</v>
      </c>
      <c r="D43" s="15">
        <f>[1]December!D43-[1]November!D43</f>
        <v>4</v>
      </c>
      <c r="E43" s="15">
        <f>[1]December!E43-[1]November!E43</f>
        <v>3</v>
      </c>
      <c r="F43" s="14">
        <f t="shared" si="0"/>
        <v>22</v>
      </c>
    </row>
    <row r="44" spans="1:6" x14ac:dyDescent="0.25">
      <c r="A44" s="8" t="s">
        <v>139</v>
      </c>
      <c r="B44" s="15">
        <f>[1]December!B44-[1]November!B44</f>
        <v>643</v>
      </c>
      <c r="C44" s="15">
        <f>[1]December!C44-[1]November!C44</f>
        <v>256</v>
      </c>
      <c r="D44" s="15">
        <f>[1]December!D44-[1]November!D44</f>
        <v>109</v>
      </c>
      <c r="E44" s="15">
        <f>[1]December!E44-[1]November!E44</f>
        <v>293</v>
      </c>
      <c r="F44" s="14">
        <f t="shared" si="0"/>
        <v>1301</v>
      </c>
    </row>
    <row r="45" spans="1:6" x14ac:dyDescent="0.25">
      <c r="A45" s="8" t="s">
        <v>140</v>
      </c>
      <c r="B45" s="15">
        <f>[1]December!B45-[1]November!B45</f>
        <v>546</v>
      </c>
      <c r="C45" s="15">
        <f>[1]December!C45-[1]November!C45</f>
        <v>307</v>
      </c>
      <c r="D45" s="15">
        <f>[1]December!D45-[1]November!D45</f>
        <v>182</v>
      </c>
      <c r="E45" s="15">
        <f>[1]December!E45-[1]November!E45</f>
        <v>365</v>
      </c>
      <c r="F45" s="14">
        <f t="shared" si="0"/>
        <v>1400</v>
      </c>
    </row>
    <row r="46" spans="1:6" x14ac:dyDescent="0.25">
      <c r="A46" s="8" t="s">
        <v>141</v>
      </c>
      <c r="B46" s="15">
        <f>[1]December!B46-[1]November!B46</f>
        <v>217</v>
      </c>
      <c r="C46" s="15">
        <f>[1]December!C46-[1]November!C46</f>
        <v>44</v>
      </c>
      <c r="D46" s="15">
        <f>[1]December!D46-[1]November!D46</f>
        <v>69</v>
      </c>
      <c r="E46" s="15">
        <f>[1]December!E46-[1]November!E46</f>
        <v>35</v>
      </c>
      <c r="F46" s="14">
        <f t="shared" si="0"/>
        <v>365</v>
      </c>
    </row>
    <row r="47" spans="1:6" x14ac:dyDescent="0.25">
      <c r="A47" s="8" t="s">
        <v>142</v>
      </c>
      <c r="B47" s="15">
        <f>[1]December!B47-[1]November!B47</f>
        <v>696</v>
      </c>
      <c r="C47" s="15">
        <f>[1]December!C47-[1]November!C47</f>
        <v>467</v>
      </c>
      <c r="D47" s="15">
        <f>[1]December!D47-[1]November!D47</f>
        <v>379</v>
      </c>
      <c r="E47" s="15">
        <f>[1]December!E47-[1]November!E47</f>
        <v>1029</v>
      </c>
      <c r="F47" s="14">
        <f t="shared" si="0"/>
        <v>2571</v>
      </c>
    </row>
    <row r="48" spans="1:6" x14ac:dyDescent="0.25">
      <c r="A48" s="8" t="s">
        <v>143</v>
      </c>
      <c r="B48" s="15">
        <f>[1]December!B48-[1]November!B48</f>
        <v>85</v>
      </c>
      <c r="C48" s="15">
        <f>[1]December!C48-[1]November!C48</f>
        <v>43</v>
      </c>
      <c r="D48" s="15">
        <f>[1]December!D48-[1]November!D48</f>
        <v>27</v>
      </c>
      <c r="E48" s="15">
        <f>[1]December!E48-[1]November!E48</f>
        <v>28</v>
      </c>
      <c r="F48" s="14">
        <f t="shared" si="0"/>
        <v>183</v>
      </c>
    </row>
    <row r="49" spans="1:6" x14ac:dyDescent="0.25">
      <c r="A49" s="8" t="s">
        <v>144</v>
      </c>
      <c r="B49" s="15">
        <f>[1]December!B49-[1]November!B49</f>
        <v>70</v>
      </c>
      <c r="C49" s="15">
        <f>[1]December!C49-[1]November!C49</f>
        <v>20</v>
      </c>
      <c r="D49" s="15">
        <f>[1]December!D49-[1]November!D49</f>
        <v>-1</v>
      </c>
      <c r="E49" s="15">
        <f>[1]December!E49-[1]November!E49</f>
        <v>0</v>
      </c>
      <c r="F49" s="14">
        <f t="shared" si="0"/>
        <v>89</v>
      </c>
    </row>
    <row r="50" spans="1:6" x14ac:dyDescent="0.25">
      <c r="A50" s="8" t="s">
        <v>145</v>
      </c>
      <c r="B50" s="15">
        <f>[1]December!B50-[1]November!B50</f>
        <v>155</v>
      </c>
      <c r="C50" s="15">
        <f>[1]December!C50-[1]November!C50</f>
        <v>18</v>
      </c>
      <c r="D50" s="15">
        <f>[1]December!D50-[1]November!D50</f>
        <v>82</v>
      </c>
      <c r="E50" s="15">
        <f>[1]December!E50-[1]November!E50</f>
        <v>54</v>
      </c>
      <c r="F50" s="14">
        <f t="shared" si="0"/>
        <v>309</v>
      </c>
    </row>
    <row r="51" spans="1:6" x14ac:dyDescent="0.25">
      <c r="A51" s="8" t="s">
        <v>146</v>
      </c>
      <c r="B51" s="15">
        <f>[1]December!B51-[1]November!B51</f>
        <v>47</v>
      </c>
      <c r="C51" s="15">
        <f>[1]December!C51-[1]November!C51</f>
        <v>18</v>
      </c>
      <c r="D51" s="15">
        <f>[1]December!D51-[1]November!D51</f>
        <v>14</v>
      </c>
      <c r="E51" s="15">
        <f>[1]December!E51-[1]November!E51</f>
        <v>17</v>
      </c>
      <c r="F51" s="14">
        <f t="shared" si="0"/>
        <v>96</v>
      </c>
    </row>
    <row r="52" spans="1:6" x14ac:dyDescent="0.25">
      <c r="A52" s="8" t="s">
        <v>147</v>
      </c>
      <c r="B52" s="15">
        <f>[1]December!B52-[1]November!B52</f>
        <v>306</v>
      </c>
      <c r="C52" s="15">
        <f>[1]December!C52-[1]November!C52</f>
        <v>367</v>
      </c>
      <c r="D52" s="15">
        <f>[1]December!D52-[1]November!D52</f>
        <v>465</v>
      </c>
      <c r="E52" s="15">
        <f>[1]December!E52-[1]November!E52</f>
        <v>111</v>
      </c>
      <c r="F52" s="14">
        <f t="shared" si="0"/>
        <v>1249</v>
      </c>
    </row>
    <row r="53" spans="1:6" x14ac:dyDescent="0.25">
      <c r="A53" s="8" t="s">
        <v>148</v>
      </c>
      <c r="B53" s="15">
        <f>[1]December!B53-[1]November!B53</f>
        <v>252</v>
      </c>
      <c r="C53" s="15">
        <f>[1]December!C53-[1]November!C53</f>
        <v>302</v>
      </c>
      <c r="D53" s="15">
        <f>[1]December!D53-[1]November!D53</f>
        <v>144</v>
      </c>
      <c r="E53" s="15">
        <f>[1]December!E53-[1]November!E53</f>
        <v>298</v>
      </c>
      <c r="F53" s="14">
        <f t="shared" si="0"/>
        <v>996</v>
      </c>
    </row>
    <row r="54" spans="1:6" x14ac:dyDescent="0.25">
      <c r="A54" s="8" t="s">
        <v>149</v>
      </c>
      <c r="B54" s="15">
        <f>[1]December!B54-[1]November!B54</f>
        <v>1190</v>
      </c>
      <c r="C54" s="15">
        <f>[1]December!C54-[1]November!C54</f>
        <v>686</v>
      </c>
      <c r="D54" s="15">
        <f>[1]December!D54-[1]November!D54</f>
        <v>301</v>
      </c>
      <c r="E54" s="15">
        <f>[1]December!E54-[1]November!E54</f>
        <v>931</v>
      </c>
      <c r="F54" s="14">
        <f t="shared" si="0"/>
        <v>3108</v>
      </c>
    </row>
    <row r="55" spans="1:6" x14ac:dyDescent="0.25">
      <c r="A55" s="8" t="s">
        <v>150</v>
      </c>
      <c r="B55" s="15">
        <f>[1]December!B55-[1]November!B55</f>
        <v>348</v>
      </c>
      <c r="C55" s="15">
        <f>[1]December!C55-[1]November!C55</f>
        <v>68</v>
      </c>
      <c r="D55" s="15">
        <f>[1]December!D55-[1]November!D55</f>
        <v>161</v>
      </c>
      <c r="E55" s="15">
        <f>[1]December!E55-[1]November!E55</f>
        <v>118</v>
      </c>
      <c r="F55" s="14">
        <f t="shared" si="0"/>
        <v>695</v>
      </c>
    </row>
    <row r="56" spans="1:6" x14ac:dyDescent="0.25">
      <c r="A56" s="8" t="s">
        <v>151</v>
      </c>
      <c r="B56" s="15">
        <f>[1]December!B56-[1]November!B56</f>
        <v>575</v>
      </c>
      <c r="C56" s="15">
        <f>[1]December!C56-[1]November!C56</f>
        <v>149</v>
      </c>
      <c r="D56" s="15">
        <f>[1]December!D56-[1]November!D56</f>
        <v>300</v>
      </c>
      <c r="E56" s="15">
        <f>[1]December!E56-[1]November!E56</f>
        <v>372</v>
      </c>
      <c r="F56" s="14">
        <f t="shared" si="0"/>
        <v>1396</v>
      </c>
    </row>
    <row r="57" spans="1:6" x14ac:dyDescent="0.25">
      <c r="A57" s="8" t="s">
        <v>152</v>
      </c>
      <c r="B57" s="15">
        <f>[1]December!B57-[1]November!B57</f>
        <v>788</v>
      </c>
      <c r="C57" s="15">
        <f>[1]December!C57-[1]November!C57</f>
        <v>570</v>
      </c>
      <c r="D57" s="15">
        <f>[1]December!D57-[1]November!D57</f>
        <v>306</v>
      </c>
      <c r="E57" s="15">
        <f>[1]December!E57-[1]November!E57</f>
        <v>764</v>
      </c>
      <c r="F57" s="14">
        <f t="shared" si="0"/>
        <v>2428</v>
      </c>
    </row>
    <row r="58" spans="1:6" x14ac:dyDescent="0.25">
      <c r="A58" s="8" t="s">
        <v>153</v>
      </c>
      <c r="B58" s="15">
        <f>[1]December!B58-[1]November!B58</f>
        <v>61</v>
      </c>
      <c r="C58" s="15">
        <f>[1]December!C58-[1]November!C58</f>
        <v>18</v>
      </c>
      <c r="D58" s="15">
        <f>[1]December!D58-[1]November!D58</f>
        <v>20</v>
      </c>
      <c r="E58" s="15">
        <f>[1]December!E58-[1]November!E58</f>
        <v>29</v>
      </c>
      <c r="F58" s="14">
        <f t="shared" si="0"/>
        <v>128</v>
      </c>
    </row>
    <row r="59" spans="1:6" x14ac:dyDescent="0.25">
      <c r="A59" s="8" t="s">
        <v>154</v>
      </c>
      <c r="B59" s="15">
        <f>[1]December!B59-[1]November!B59</f>
        <v>362</v>
      </c>
      <c r="C59" s="15">
        <f>[1]December!C59-[1]November!C59</f>
        <v>43</v>
      </c>
      <c r="D59" s="15">
        <f>[1]December!D59-[1]November!D59</f>
        <v>67</v>
      </c>
      <c r="E59" s="15">
        <f>[1]December!E59-[1]November!E59</f>
        <v>114</v>
      </c>
      <c r="F59" s="14">
        <f t="shared" si="0"/>
        <v>586</v>
      </c>
    </row>
    <row r="60" spans="1:6" x14ac:dyDescent="0.25">
      <c r="A60" s="8" t="s">
        <v>155</v>
      </c>
      <c r="B60" s="15">
        <f>[1]December!B60-[1]November!B60</f>
        <v>749</v>
      </c>
      <c r="C60" s="15">
        <f>[1]December!C60-[1]November!C60</f>
        <v>130</v>
      </c>
      <c r="D60" s="15">
        <f>[1]December!D60-[1]November!D60</f>
        <v>172</v>
      </c>
      <c r="E60" s="15">
        <f>[1]December!E60-[1]November!E60</f>
        <v>300</v>
      </c>
      <c r="F60" s="14">
        <f t="shared" si="0"/>
        <v>1351</v>
      </c>
    </row>
    <row r="61" spans="1:6" x14ac:dyDescent="0.25">
      <c r="A61" s="8" t="s">
        <v>156</v>
      </c>
      <c r="B61" s="15">
        <f>[1]December!B61-[1]November!B61</f>
        <v>-107</v>
      </c>
      <c r="C61" s="15">
        <f>[1]December!C61-[1]November!C61</f>
        <v>-285</v>
      </c>
      <c r="D61" s="15">
        <f>[1]December!D61-[1]November!D61</f>
        <v>69</v>
      </c>
      <c r="E61" s="15">
        <f>[1]December!E61-[1]November!E61</f>
        <v>-304</v>
      </c>
      <c r="F61" s="14">
        <f t="shared" si="0"/>
        <v>-627</v>
      </c>
    </row>
    <row r="62" spans="1:6" x14ac:dyDescent="0.25">
      <c r="A62" s="8" t="s">
        <v>157</v>
      </c>
      <c r="B62" s="15">
        <f>[1]December!B62-[1]November!B62</f>
        <v>330</v>
      </c>
      <c r="C62" s="15">
        <f>[1]December!C62-[1]November!C62</f>
        <v>-87</v>
      </c>
      <c r="D62" s="15">
        <f>[1]December!D62-[1]November!D62</f>
        <v>3</v>
      </c>
      <c r="E62" s="15">
        <f>[1]December!E62-[1]November!E62</f>
        <v>244</v>
      </c>
      <c r="F62" s="14">
        <f t="shared" si="0"/>
        <v>490</v>
      </c>
    </row>
    <row r="63" spans="1:6" x14ac:dyDescent="0.25">
      <c r="A63" s="8" t="s">
        <v>158</v>
      </c>
      <c r="B63" s="15">
        <f>[1]December!B63-[1]November!B63</f>
        <v>348</v>
      </c>
      <c r="C63" s="15">
        <f>[1]December!C63-[1]November!C63</f>
        <v>216</v>
      </c>
      <c r="D63" s="15">
        <f>[1]December!D63-[1]November!D63</f>
        <v>133</v>
      </c>
      <c r="E63" s="15">
        <f>[1]December!E63-[1]November!E63</f>
        <v>147</v>
      </c>
      <c r="F63" s="14">
        <f t="shared" si="0"/>
        <v>844</v>
      </c>
    </row>
    <row r="64" spans="1:6" x14ac:dyDescent="0.25">
      <c r="A64" s="8" t="s">
        <v>159</v>
      </c>
      <c r="B64" s="15">
        <f>[1]December!B64-[1]November!B64</f>
        <v>616</v>
      </c>
      <c r="C64" s="15">
        <f>[1]December!C64-[1]November!C64</f>
        <v>159</v>
      </c>
      <c r="D64" s="15">
        <f>[1]December!D64-[1]November!D64</f>
        <v>121</v>
      </c>
      <c r="E64" s="15">
        <f>[1]December!E64-[1]November!E64</f>
        <v>120</v>
      </c>
      <c r="F64" s="14">
        <f t="shared" si="0"/>
        <v>1016</v>
      </c>
    </row>
    <row r="65" spans="1:6" x14ac:dyDescent="0.25">
      <c r="A65" s="8" t="s">
        <v>160</v>
      </c>
      <c r="B65" s="15">
        <f>[1]December!B65-[1]November!B65</f>
        <v>70</v>
      </c>
      <c r="C65" s="15">
        <f>[1]December!C65-[1]November!C65</f>
        <v>1</v>
      </c>
      <c r="D65" s="15">
        <f>[1]December!D65-[1]November!D65</f>
        <v>27</v>
      </c>
      <c r="E65" s="15">
        <f>[1]December!E65-[1]November!E65</f>
        <v>10</v>
      </c>
      <c r="F65" s="14">
        <f t="shared" si="0"/>
        <v>108</v>
      </c>
    </row>
    <row r="66" spans="1:6" x14ac:dyDescent="0.25">
      <c r="A66" s="8" t="s">
        <v>161</v>
      </c>
      <c r="B66" s="15">
        <f>[1]December!B66-[1]November!B66</f>
        <v>1</v>
      </c>
      <c r="C66" s="15">
        <f>[1]December!C66-[1]November!C66</f>
        <v>1</v>
      </c>
      <c r="D66" s="15">
        <f>[1]December!D66-[1]November!D66</f>
        <v>6</v>
      </c>
      <c r="E66" s="15">
        <f>[1]December!E66-[1]November!E66</f>
        <v>-3</v>
      </c>
      <c r="F66" s="14">
        <f t="shared" si="0"/>
        <v>5</v>
      </c>
    </row>
    <row r="67" spans="1:6" x14ac:dyDescent="0.25">
      <c r="A67" s="8" t="s">
        <v>162</v>
      </c>
      <c r="B67" s="15">
        <f>[1]December!B67-[1]November!B67</f>
        <v>-2</v>
      </c>
      <c r="C67" s="15">
        <f>[1]December!C67-[1]November!C67</f>
        <v>-1</v>
      </c>
      <c r="D67" s="15">
        <f>[1]December!D67-[1]November!D67</f>
        <v>1</v>
      </c>
      <c r="E67" s="15">
        <f>[1]December!E67-[1]November!E67</f>
        <v>3</v>
      </c>
      <c r="F67" s="14">
        <f t="shared" si="0"/>
        <v>1</v>
      </c>
    </row>
    <row r="68" spans="1:6" x14ac:dyDescent="0.25">
      <c r="A68" s="8" t="s">
        <v>163</v>
      </c>
      <c r="B68" s="15">
        <f>[1]December!B68-[1]November!B68</f>
        <v>-3798</v>
      </c>
      <c r="C68" s="15">
        <f>[1]December!C68-[1]November!C68</f>
        <v>-3296</v>
      </c>
      <c r="D68" s="15">
        <f>[1]December!D68-[1]November!D68</f>
        <v>-343</v>
      </c>
      <c r="E68" s="15">
        <f>[1]December!E68-[1]November!E68</f>
        <v>-3634</v>
      </c>
      <c r="F68" s="14">
        <f t="shared" si="0"/>
        <v>-11071</v>
      </c>
    </row>
    <row r="69" spans="1:6" x14ac:dyDescent="0.25">
      <c r="A69" s="8" t="s">
        <v>164</v>
      </c>
      <c r="B69" s="15">
        <f>[1]December!B69-[1]November!B69</f>
        <v>82</v>
      </c>
      <c r="C69" s="15">
        <f>[1]December!C69-[1]November!C69</f>
        <v>2</v>
      </c>
      <c r="D69" s="15">
        <f>[1]December!D69-[1]November!D69</f>
        <v>17</v>
      </c>
      <c r="E69" s="15">
        <f>[1]December!E69-[1]November!E69</f>
        <v>-6</v>
      </c>
      <c r="F69" s="14">
        <f t="shared" si="0"/>
        <v>95</v>
      </c>
    </row>
    <row r="70" spans="1:6" x14ac:dyDescent="0.25">
      <c r="A70" s="8" t="s">
        <v>165</v>
      </c>
      <c r="B70" s="15">
        <f>[1]December!B70-[1]November!B70</f>
        <v>253</v>
      </c>
      <c r="C70" s="15">
        <f>[1]December!C70-[1]November!C70</f>
        <v>14</v>
      </c>
      <c r="D70" s="15">
        <f>[1]December!D70-[1]November!D70</f>
        <v>49</v>
      </c>
      <c r="E70" s="15">
        <f>[1]December!E70-[1]November!E70</f>
        <v>38</v>
      </c>
      <c r="F70" s="14">
        <f t="shared" ref="F70:F71" si="1">SUM(B70:E70)</f>
        <v>354</v>
      </c>
    </row>
    <row r="71" spans="1:6" ht="15.75" thickBot="1" x14ac:dyDescent="0.3">
      <c r="A71" s="8" t="s">
        <v>166</v>
      </c>
      <c r="B71" s="15">
        <f>[1]December!B71-[1]November!B71</f>
        <v>52</v>
      </c>
      <c r="C71" s="15">
        <f>[1]December!C71-[1]November!C71</f>
        <v>1</v>
      </c>
      <c r="D71" s="15">
        <f>[1]December!D71-[1]November!D71</f>
        <v>10</v>
      </c>
      <c r="E71" s="15">
        <f>[1]December!E71-[1]November!E71</f>
        <v>17</v>
      </c>
      <c r="F71" s="14">
        <f t="shared" si="1"/>
        <v>80</v>
      </c>
    </row>
    <row r="72" spans="1:6" ht="16.5" thickTop="1" thickBot="1" x14ac:dyDescent="0.3">
      <c r="A72" s="2" t="s">
        <v>0</v>
      </c>
      <c r="B72" s="10">
        <f>SUM(B5:B71)</f>
        <v>-13479</v>
      </c>
      <c r="C72" s="10">
        <f>SUM(C5:C71)</f>
        <v>-64494</v>
      </c>
      <c r="D72" s="10">
        <f>SUM(D5:D71)</f>
        <v>2116</v>
      </c>
      <c r="E72" s="10">
        <f>SUM(E5:E71)</f>
        <v>-52114</v>
      </c>
      <c r="F72" s="6">
        <f>SUM(F5:F71)</f>
        <v>-127971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3"/>
  <sheetViews>
    <sheetView workbookViewId="0">
      <selection sqref="A1:F1"/>
    </sheetView>
  </sheetViews>
  <sheetFormatPr defaultRowHeight="15" x14ac:dyDescent="0.25"/>
  <cols>
    <col min="1" max="1" width="18.140625" style="1" customWidth="1"/>
    <col min="2" max="2" width="15.140625" style="1" customWidth="1"/>
    <col min="3" max="3" width="16" style="1" customWidth="1"/>
    <col min="4" max="4" width="14.28515625" style="1" customWidth="1"/>
    <col min="5" max="5" width="14.140625" style="1" customWidth="1"/>
    <col min="6" max="6" width="14.7109375" style="1" customWidth="1"/>
  </cols>
  <sheetData>
    <row r="1" spans="1:6" ht="18.75" x14ac:dyDescent="0.3">
      <c r="A1" s="26" t="s">
        <v>69</v>
      </c>
      <c r="B1" s="27"/>
      <c r="C1" s="27"/>
      <c r="D1" s="27"/>
      <c r="E1" s="27"/>
      <c r="F1" s="28"/>
    </row>
    <row r="2" spans="1:6" x14ac:dyDescent="0.25">
      <c r="A2" s="20" t="s">
        <v>193</v>
      </c>
      <c r="B2" s="21"/>
      <c r="C2" s="21"/>
      <c r="D2" s="21"/>
      <c r="E2" s="21"/>
      <c r="F2" s="22"/>
    </row>
    <row r="3" spans="1:6" x14ac:dyDescent="0.25">
      <c r="A3" s="23" t="s">
        <v>68</v>
      </c>
      <c r="B3" s="24"/>
      <c r="C3" s="24"/>
      <c r="D3" s="24"/>
      <c r="E3" s="24"/>
      <c r="F3" s="25"/>
    </row>
    <row r="4" spans="1:6" ht="45.75" thickBot="1" x14ac:dyDescent="0.3">
      <c r="A4" s="3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5" t="s">
        <v>99</v>
      </c>
    </row>
    <row r="5" spans="1:6" ht="15.75" thickTop="1" x14ac:dyDescent="0.25">
      <c r="A5" s="7" t="s">
        <v>100</v>
      </c>
      <c r="B5" s="15">
        <f>NetJanToFeb!B5+NetFebToMar!B5+NetMarToApr!B5+NetAprToMay!B5+NetMayToJun!B5+NetJunToJul!B5+NetJulToAug!B5+NetAugToSep!B5+NetSepToOct!B5+NetOctToNov!B5+NetNovToDec!B5</f>
        <v>-1859</v>
      </c>
      <c r="C5" s="15">
        <f>NetJanToFeb!C5+NetFebToMar!C5+NetMarToApr!C5+NetAprToMay!C5+NetMayToJun!C5+NetJunToJul!C5+NetJulToAug!C5+NetAugToSep!C5+NetSepToOct!C5+NetOctToNov!C5+NetNovToDec!C5</f>
        <v>-6102</v>
      </c>
      <c r="D5" s="15">
        <f>NetJanToFeb!D5+NetFebToMar!D5+NetMarToApr!D5+NetAprToMay!D5+NetMayToJun!D5+NetJunToJul!D5+NetJulToAug!D5+NetAugToSep!D5+NetSepToOct!D5+NetOctToNov!D5+NetNovToDec!D5</f>
        <v>78</v>
      </c>
      <c r="E5" s="15">
        <f>NetJanToFeb!E5+NetFebToMar!E5+NetMarToApr!E5+NetAprToMay!E5+NetMayToJun!E5+NetJunToJul!E5+NetJulToAug!E5+NetAugToSep!E5+NetSepToOct!E5+NetOctToNov!E5+NetNovToDec!E5</f>
        <v>-3939</v>
      </c>
      <c r="F5" s="14">
        <f>SUM(B5:E5)</f>
        <v>-11822</v>
      </c>
    </row>
    <row r="6" spans="1:6" x14ac:dyDescent="0.25">
      <c r="A6" s="8" t="s">
        <v>101</v>
      </c>
      <c r="B6" s="15">
        <f>NetJanToFeb!B6+NetFebToMar!B6+NetMarToApr!B6+NetAprToMay!B6+NetMayToJun!B6+NetJunToJul!B6+NetJulToAug!B6+NetAugToSep!B6+NetSepToOct!B6+NetOctToNov!B6+NetNovToDec!B6</f>
        <v>-627</v>
      </c>
      <c r="C6" s="15">
        <f>NetJanToFeb!C6+NetFebToMar!C6+NetMarToApr!C6+NetAprToMay!C6+NetMayToJun!C6+NetJunToJul!C6+NetJulToAug!C6+NetAugToSep!C6+NetSepToOct!C6+NetOctToNov!C6+NetNovToDec!C6</f>
        <v>-757</v>
      </c>
      <c r="D6" s="15">
        <f>NetJanToFeb!D6+NetFebToMar!D6+NetMarToApr!D6+NetAprToMay!D6+NetMayToJun!D6+NetJunToJul!D6+NetJulToAug!D6+NetAugToSep!D6+NetSepToOct!D6+NetOctToNov!D6+NetNovToDec!D6</f>
        <v>-11</v>
      </c>
      <c r="E6" s="15">
        <f>NetJanToFeb!E6+NetFebToMar!E6+NetMarToApr!E6+NetAprToMay!E6+NetMayToJun!E6+NetJunToJul!E6+NetJulToAug!E6+NetAugToSep!E6+NetSepToOct!E6+NetOctToNov!E6+NetNovToDec!E6</f>
        <v>-554</v>
      </c>
      <c r="F6" s="14">
        <f>SUM(B6:E6)</f>
        <v>-1949</v>
      </c>
    </row>
    <row r="7" spans="1:6" x14ac:dyDescent="0.25">
      <c r="A7" s="8" t="s">
        <v>102</v>
      </c>
      <c r="B7" s="15">
        <f>NetJanToFeb!B7+NetFebToMar!B7+NetMarToApr!B7+NetAprToMay!B7+NetMayToJun!B7+NetJunToJul!B7+NetJulToAug!B7+NetAugToSep!B7+NetSepToOct!B7+NetOctToNov!B7+NetNovToDec!B7</f>
        <v>-2427</v>
      </c>
      <c r="C7" s="15">
        <f>NetJanToFeb!C7+NetFebToMar!C7+NetMarToApr!C7+NetAprToMay!C7+NetMayToJun!C7+NetJunToJul!C7+NetJulToAug!C7+NetAugToSep!C7+NetSepToOct!C7+NetOctToNov!C7+NetNovToDec!C7</f>
        <v>-2752</v>
      </c>
      <c r="D7" s="15">
        <f>NetJanToFeb!D7+NetFebToMar!D7+NetMarToApr!D7+NetAprToMay!D7+NetMayToJun!D7+NetJunToJul!D7+NetJulToAug!D7+NetAugToSep!D7+NetSepToOct!D7+NetOctToNov!D7+NetNovToDec!D7</f>
        <v>205</v>
      </c>
      <c r="E7" s="15">
        <f>NetJanToFeb!E7+NetFebToMar!E7+NetMarToApr!E7+NetAprToMay!E7+NetMayToJun!E7+NetJunToJul!E7+NetJulToAug!E7+NetAugToSep!E7+NetSepToOct!E7+NetOctToNov!E7+NetNovToDec!E7</f>
        <v>-4100</v>
      </c>
      <c r="F7" s="14">
        <f>SUM(B7:E7)</f>
        <v>-9074</v>
      </c>
    </row>
    <row r="8" spans="1:6" x14ac:dyDescent="0.25">
      <c r="A8" s="8" t="s">
        <v>103</v>
      </c>
      <c r="B8" s="15">
        <f>NetJanToFeb!B8+NetFebToMar!B8+NetMarToApr!B8+NetAprToMay!B8+NetMayToJun!B8+NetJunToJul!B8+NetJulToAug!B8+NetAugToSep!B8+NetSepToOct!B8+NetOctToNov!B8+NetNovToDec!B8</f>
        <v>-660</v>
      </c>
      <c r="C8" s="15">
        <f>NetJanToFeb!C8+NetFebToMar!C8+NetMarToApr!C8+NetAprToMay!C8+NetMayToJun!C8+NetJunToJul!C8+NetJulToAug!C8+NetAugToSep!C8+NetSepToOct!C8+NetOctToNov!C8+NetNovToDec!C8</f>
        <v>-865</v>
      </c>
      <c r="D8" s="15">
        <f>NetJanToFeb!D8+NetFebToMar!D8+NetMarToApr!D8+NetAprToMay!D8+NetMayToJun!D8+NetJunToJul!D8+NetJulToAug!D8+NetAugToSep!D8+NetSepToOct!D8+NetOctToNov!D8+NetNovToDec!D8</f>
        <v>56</v>
      </c>
      <c r="E8" s="15">
        <f>NetJanToFeb!E8+NetFebToMar!E8+NetMarToApr!E8+NetAprToMay!E8+NetMayToJun!E8+NetJunToJul!E8+NetJulToAug!E8+NetAugToSep!E8+NetSepToOct!E8+NetOctToNov!E8+NetNovToDec!E8</f>
        <v>-630</v>
      </c>
      <c r="F8" s="14">
        <f t="shared" ref="F8:F69" si="0">SUM(B8:E8)</f>
        <v>-2099</v>
      </c>
    </row>
    <row r="9" spans="1:6" x14ac:dyDescent="0.25">
      <c r="A9" s="8" t="s">
        <v>104</v>
      </c>
      <c r="B9" s="15">
        <f>NetJanToFeb!B9+NetFebToMar!B9+NetMarToApr!B9+NetAprToMay!B9+NetMayToJun!B9+NetJunToJul!B9+NetJulToAug!B9+NetAugToSep!B9+NetSepToOct!B9+NetOctToNov!B9+NetNovToDec!B9</f>
        <v>-2369</v>
      </c>
      <c r="C9" s="15">
        <f>NetJanToFeb!C9+NetFebToMar!C9+NetMarToApr!C9+NetAprToMay!C9+NetMayToJun!C9+NetJunToJul!C9+NetJulToAug!C9+NetAugToSep!C9+NetSepToOct!C9+NetOctToNov!C9+NetNovToDec!C9</f>
        <v>-7369</v>
      </c>
      <c r="D9" s="15">
        <f>NetJanToFeb!D9+NetFebToMar!D9+NetMarToApr!D9+NetAprToMay!D9+NetMayToJun!D9+NetJunToJul!D9+NetJulToAug!D9+NetAugToSep!D9+NetSepToOct!D9+NetOctToNov!D9+NetNovToDec!D9</f>
        <v>552</v>
      </c>
      <c r="E9" s="15">
        <f>NetJanToFeb!E9+NetFebToMar!E9+NetMarToApr!E9+NetAprToMay!E9+NetMayToJun!E9+NetJunToJul!E9+NetJulToAug!E9+NetAugToSep!E9+NetSepToOct!E9+NetOctToNov!E9+NetNovToDec!E9</f>
        <v>-7645</v>
      </c>
      <c r="F9" s="14">
        <f t="shared" si="0"/>
        <v>-16831</v>
      </c>
    </row>
    <row r="10" spans="1:6" x14ac:dyDescent="0.25">
      <c r="A10" s="8" t="s">
        <v>105</v>
      </c>
      <c r="B10" s="15">
        <f>NetJanToFeb!B10+NetFebToMar!B10+NetMarToApr!B10+NetAprToMay!B10+NetMayToJun!B10+NetJunToJul!B10+NetJulToAug!B10+NetAugToSep!B10+NetSepToOct!B10+NetOctToNov!B10+NetNovToDec!B10</f>
        <v>-12500</v>
      </c>
      <c r="C10" s="15">
        <f>NetJanToFeb!C10+NetFebToMar!C10+NetMarToApr!C10+NetAprToMay!C10+NetMayToJun!C10+NetJunToJul!C10+NetJulToAug!C10+NetAugToSep!C10+NetSepToOct!C10+NetOctToNov!C10+NetNovToDec!C10</f>
        <v>-59884</v>
      </c>
      <c r="D10" s="15">
        <f>NetJanToFeb!D10+NetFebToMar!D10+NetMarToApr!D10+NetAprToMay!D10+NetMayToJun!D10+NetJunToJul!D10+NetJulToAug!D10+NetAugToSep!D10+NetSepToOct!D10+NetOctToNov!D10+NetNovToDec!D10</f>
        <v>-161</v>
      </c>
      <c r="E10" s="15">
        <f>NetJanToFeb!E10+NetFebToMar!E10+NetMarToApr!E10+NetAprToMay!E10+NetMayToJun!E10+NetJunToJul!E10+NetJulToAug!E10+NetAugToSep!E10+NetSepToOct!E10+NetOctToNov!E10+NetNovToDec!E10</f>
        <v>-37505</v>
      </c>
      <c r="F10" s="14">
        <f t="shared" si="0"/>
        <v>-110050</v>
      </c>
    </row>
    <row r="11" spans="1:6" x14ac:dyDescent="0.25">
      <c r="A11" s="8" t="s">
        <v>106</v>
      </c>
      <c r="B11" s="15">
        <f>NetJanToFeb!B11+NetFebToMar!B11+NetMarToApr!B11+NetAprToMay!B11+NetMayToJun!B11+NetJunToJul!B11+NetJulToAug!B11+NetAugToSep!B11+NetSepToOct!B11+NetOctToNov!B11+NetNovToDec!B11</f>
        <v>-140</v>
      </c>
      <c r="C11" s="15">
        <f>NetJanToFeb!C11+NetFebToMar!C11+NetMarToApr!C11+NetAprToMay!C11+NetMayToJun!C11+NetJunToJul!C11+NetJulToAug!C11+NetAugToSep!C11+NetSepToOct!C11+NetOctToNov!C11+NetNovToDec!C11</f>
        <v>-438</v>
      </c>
      <c r="D11" s="15">
        <f>NetJanToFeb!D11+NetFebToMar!D11+NetMarToApr!D11+NetAprToMay!D11+NetMayToJun!D11+NetJunToJul!D11+NetJulToAug!D11+NetAugToSep!D11+NetSepToOct!D11+NetOctToNov!D11+NetNovToDec!D11</f>
        <v>10</v>
      </c>
      <c r="E11" s="15">
        <f>NetJanToFeb!E11+NetFebToMar!E11+NetMarToApr!E11+NetAprToMay!E11+NetMayToJun!E11+NetJunToJul!E11+NetJulToAug!E11+NetAugToSep!E11+NetSepToOct!E11+NetOctToNov!E11+NetNovToDec!E11</f>
        <v>-161</v>
      </c>
      <c r="F11" s="14">
        <f t="shared" si="0"/>
        <v>-729</v>
      </c>
    </row>
    <row r="12" spans="1:6" x14ac:dyDescent="0.25">
      <c r="A12" s="8" t="s">
        <v>107</v>
      </c>
      <c r="B12" s="15">
        <f>NetJanToFeb!B12+NetFebToMar!B12+NetMarToApr!B12+NetAprToMay!B12+NetMayToJun!B12+NetJunToJul!B12+NetJulToAug!B12+NetAugToSep!B12+NetSepToOct!B12+NetOctToNov!B12+NetNovToDec!B12</f>
        <v>1474</v>
      </c>
      <c r="C12" s="15">
        <f>NetJanToFeb!C12+NetFebToMar!C12+NetMarToApr!C12+NetAprToMay!C12+NetMayToJun!C12+NetJunToJul!C12+NetJulToAug!C12+NetAugToSep!C12+NetSepToOct!C12+NetOctToNov!C12+NetNovToDec!C12</f>
        <v>-1813</v>
      </c>
      <c r="D12" s="15">
        <f>NetJanToFeb!D12+NetFebToMar!D12+NetMarToApr!D12+NetAprToMay!D12+NetMayToJun!D12+NetJunToJul!D12+NetJulToAug!D12+NetAugToSep!D12+NetSepToOct!D12+NetOctToNov!D12+NetNovToDec!D12</f>
        <v>421</v>
      </c>
      <c r="E12" s="15">
        <f>NetJanToFeb!E12+NetFebToMar!E12+NetMarToApr!E12+NetAprToMay!E12+NetMayToJun!E12+NetJunToJul!E12+NetJulToAug!E12+NetAugToSep!E12+NetSepToOct!E12+NetOctToNov!E12+NetNovToDec!E12</f>
        <v>-2923</v>
      </c>
      <c r="F12" s="14">
        <f t="shared" si="0"/>
        <v>-2841</v>
      </c>
    </row>
    <row r="13" spans="1:6" x14ac:dyDescent="0.25">
      <c r="A13" s="8" t="s">
        <v>108</v>
      </c>
      <c r="B13" s="15">
        <f>NetJanToFeb!B13+NetFebToMar!B13+NetMarToApr!B13+NetAprToMay!B13+NetMayToJun!B13+NetJunToJul!B13+NetJulToAug!B13+NetAugToSep!B13+NetSepToOct!B13+NetOctToNov!B13+NetNovToDec!B13</f>
        <v>-1020</v>
      </c>
      <c r="C13" s="15">
        <f>NetJanToFeb!C13+NetFebToMar!C13+NetMarToApr!C13+NetAprToMay!C13+NetMayToJun!C13+NetJunToJul!C13+NetJulToAug!C13+NetAugToSep!C13+NetSepToOct!C13+NetOctToNov!C13+NetNovToDec!C13</f>
        <v>-1936</v>
      </c>
      <c r="D13" s="15">
        <f>NetJanToFeb!D13+NetFebToMar!D13+NetMarToApr!D13+NetAprToMay!D13+NetMayToJun!D13+NetJunToJul!D13+NetJulToAug!D13+NetAugToSep!D13+NetSepToOct!D13+NetOctToNov!D13+NetNovToDec!D13</f>
        <v>554</v>
      </c>
      <c r="E13" s="15">
        <f>NetJanToFeb!E13+NetFebToMar!E13+NetMarToApr!E13+NetAprToMay!E13+NetMayToJun!E13+NetJunToJul!E13+NetJulToAug!E13+NetAugToSep!E13+NetSepToOct!E13+NetOctToNov!E13+NetNovToDec!E13</f>
        <v>-3028</v>
      </c>
      <c r="F13" s="14">
        <f t="shared" si="0"/>
        <v>-5430</v>
      </c>
    </row>
    <row r="14" spans="1:6" x14ac:dyDescent="0.25">
      <c r="A14" s="8" t="s">
        <v>109</v>
      </c>
      <c r="B14" s="15">
        <f>NetJanToFeb!B14+NetFebToMar!B14+NetMarToApr!B14+NetAprToMay!B14+NetMayToJun!B14+NetJunToJul!B14+NetJulToAug!B14+NetAugToSep!B14+NetSepToOct!B14+NetOctToNov!B14+NetNovToDec!B14</f>
        <v>-2645</v>
      </c>
      <c r="C14" s="15">
        <f>NetJanToFeb!C14+NetFebToMar!C14+NetMarToApr!C14+NetAprToMay!C14+NetMayToJun!C14+NetJunToJul!C14+NetJulToAug!C14+NetAugToSep!C14+NetSepToOct!C14+NetOctToNov!C14+NetNovToDec!C14</f>
        <v>-2296</v>
      </c>
      <c r="D14" s="15">
        <f>NetJanToFeb!D14+NetFebToMar!D14+NetMarToApr!D14+NetAprToMay!D14+NetMayToJun!D14+NetJunToJul!D14+NetJulToAug!D14+NetAugToSep!D14+NetSepToOct!D14+NetOctToNov!D14+NetNovToDec!D14</f>
        <v>416</v>
      </c>
      <c r="E14" s="15">
        <f>NetJanToFeb!E14+NetFebToMar!E14+NetMarToApr!E14+NetAprToMay!E14+NetMayToJun!E14+NetJunToJul!E14+NetJulToAug!E14+NetAugToSep!E14+NetSepToOct!E14+NetOctToNov!E14+NetNovToDec!E14</f>
        <v>-3956</v>
      </c>
      <c r="F14" s="14">
        <f t="shared" si="0"/>
        <v>-8481</v>
      </c>
    </row>
    <row r="15" spans="1:6" x14ac:dyDescent="0.25">
      <c r="A15" s="8" t="s">
        <v>110</v>
      </c>
      <c r="B15" s="15">
        <f>NetJanToFeb!B15+NetFebToMar!B15+NetMarToApr!B15+NetAprToMay!B15+NetMayToJun!B15+NetJunToJul!B15+NetJulToAug!B15+NetAugToSep!B15+NetSepToOct!B15+NetOctToNov!B15+NetNovToDec!B15</f>
        <v>26</v>
      </c>
      <c r="C15" s="15">
        <f>NetJanToFeb!C15+NetFebToMar!C15+NetMarToApr!C15+NetAprToMay!C15+NetMayToJun!C15+NetJunToJul!C15+NetJulToAug!C15+NetAugToSep!C15+NetSepToOct!C15+NetOctToNov!C15+NetNovToDec!C15</f>
        <v>-3432</v>
      </c>
      <c r="D15" s="15">
        <f>NetJanToFeb!D15+NetFebToMar!D15+NetMarToApr!D15+NetAprToMay!D15+NetMayToJun!D15+NetJunToJul!D15+NetJulToAug!D15+NetAugToSep!D15+NetSepToOct!D15+NetOctToNov!D15+NetNovToDec!D15</f>
        <v>886</v>
      </c>
      <c r="E15" s="15">
        <f>NetJanToFeb!E15+NetFebToMar!E15+NetMarToApr!E15+NetAprToMay!E15+NetMayToJun!E15+NetJunToJul!E15+NetJulToAug!E15+NetAugToSep!E15+NetSepToOct!E15+NetOctToNov!E15+NetNovToDec!E15</f>
        <v>-3933</v>
      </c>
      <c r="F15" s="14">
        <f t="shared" si="0"/>
        <v>-6453</v>
      </c>
    </row>
    <row r="16" spans="1:6" x14ac:dyDescent="0.25">
      <c r="A16" s="8" t="s">
        <v>111</v>
      </c>
      <c r="B16" s="15">
        <f>NetJanToFeb!B16+NetFebToMar!B16+NetMarToApr!B16+NetAprToMay!B16+NetMayToJun!B16+NetJunToJul!B16+NetJulToAug!B16+NetAugToSep!B16+NetSepToOct!B16+NetOctToNov!B16+NetNovToDec!B16</f>
        <v>-694</v>
      </c>
      <c r="C16" s="15">
        <f>NetJanToFeb!C16+NetFebToMar!C16+NetMarToApr!C16+NetAprToMay!C16+NetMayToJun!C16+NetJunToJul!C16+NetJulToAug!C16+NetAugToSep!C16+NetSepToOct!C16+NetOctToNov!C16+NetNovToDec!C16</f>
        <v>-888</v>
      </c>
      <c r="D16" s="15">
        <f>NetJanToFeb!D16+NetFebToMar!D16+NetMarToApr!D16+NetAprToMay!D16+NetMayToJun!D16+NetJunToJul!D16+NetJulToAug!D16+NetAugToSep!D16+NetSepToOct!D16+NetOctToNov!D16+NetNovToDec!D16</f>
        <v>28</v>
      </c>
      <c r="E16" s="15">
        <f>NetJanToFeb!E16+NetFebToMar!E16+NetMarToApr!E16+NetAprToMay!E16+NetMayToJun!E16+NetJunToJul!E16+NetJulToAug!E16+NetAugToSep!E16+NetSepToOct!E16+NetOctToNov!E16+NetNovToDec!E16</f>
        <v>-844</v>
      </c>
      <c r="F16" s="14">
        <f t="shared" si="0"/>
        <v>-2398</v>
      </c>
    </row>
    <row r="17" spans="1:6" x14ac:dyDescent="0.25">
      <c r="A17" s="8" t="s">
        <v>112</v>
      </c>
      <c r="B17" s="15">
        <f>NetJanToFeb!B17+NetFebToMar!B17+NetMarToApr!B17+NetAprToMay!B17+NetMayToJun!B17+NetJunToJul!B17+NetJulToAug!B17+NetAugToSep!B17+NetSepToOct!B17+NetOctToNov!B17+NetNovToDec!B17</f>
        <v>-1106</v>
      </c>
      <c r="C17" s="15">
        <f>NetJanToFeb!C17+NetFebToMar!C17+NetMarToApr!C17+NetAprToMay!C17+NetMayToJun!C17+NetJunToJul!C17+NetJulToAug!C17+NetAugToSep!C17+NetSepToOct!C17+NetOctToNov!C17+NetNovToDec!C17</f>
        <v>-1648</v>
      </c>
      <c r="D17" s="15">
        <f>NetJanToFeb!D17+NetFebToMar!D17+NetMarToApr!D17+NetAprToMay!D17+NetMayToJun!D17+NetJunToJul!D17+NetJulToAug!D17+NetAugToSep!D17+NetSepToOct!D17+NetOctToNov!D17+NetNovToDec!D17</f>
        <v>-3</v>
      </c>
      <c r="E17" s="15">
        <f>NetJanToFeb!E17+NetFebToMar!E17+NetMarToApr!E17+NetAprToMay!E17+NetMayToJun!E17+NetJunToJul!E17+NetJulToAug!E17+NetAugToSep!E17+NetSepToOct!E17+NetOctToNov!E17+NetNovToDec!E17</f>
        <v>-1616</v>
      </c>
      <c r="F17" s="14">
        <f t="shared" si="0"/>
        <v>-4373</v>
      </c>
    </row>
    <row r="18" spans="1:6" x14ac:dyDescent="0.25">
      <c r="A18" s="8" t="s">
        <v>113</v>
      </c>
      <c r="B18" s="15">
        <f>NetJanToFeb!B18+NetFebToMar!B18+NetMarToApr!B18+NetAprToMay!B18+NetMayToJun!B18+NetJunToJul!B18+NetJulToAug!B18+NetAugToSep!B18+NetSepToOct!B18+NetOctToNov!B18+NetNovToDec!B18</f>
        <v>-429</v>
      </c>
      <c r="C18" s="15">
        <f>NetJanToFeb!C18+NetFebToMar!C18+NetMarToApr!C18+NetAprToMay!C18+NetMayToJun!C18+NetJunToJul!C18+NetJulToAug!C18+NetAugToSep!C18+NetSepToOct!C18+NetOctToNov!C18+NetNovToDec!C18</f>
        <v>-561</v>
      </c>
      <c r="D18" s="15">
        <f>NetJanToFeb!D18+NetFebToMar!D18+NetMarToApr!D18+NetAprToMay!D18+NetMayToJun!D18+NetJunToJul!D18+NetJulToAug!D18+NetAugToSep!D18+NetSepToOct!D18+NetOctToNov!D18+NetNovToDec!D18</f>
        <v>-7</v>
      </c>
      <c r="E18" s="15">
        <f>NetJanToFeb!E18+NetFebToMar!E18+NetMarToApr!E18+NetAprToMay!E18+NetMayToJun!E18+NetJunToJul!E18+NetJulToAug!E18+NetAugToSep!E18+NetSepToOct!E18+NetOctToNov!E18+NetNovToDec!E18</f>
        <v>-436</v>
      </c>
      <c r="F18" s="14">
        <f t="shared" si="0"/>
        <v>-1433</v>
      </c>
    </row>
    <row r="19" spans="1:6" x14ac:dyDescent="0.25">
      <c r="A19" s="8" t="s">
        <v>114</v>
      </c>
      <c r="B19" s="15">
        <f>NetJanToFeb!B19+NetFebToMar!B19+NetMarToApr!B19+NetAprToMay!B19+NetMayToJun!B19+NetJunToJul!B19+NetJulToAug!B19+NetAugToSep!B19+NetSepToOct!B19+NetOctToNov!B19+NetNovToDec!B19</f>
        <v>-7103</v>
      </c>
      <c r="C19" s="15">
        <f>NetJanToFeb!C19+NetFebToMar!C19+NetMarToApr!C19+NetAprToMay!C19+NetMayToJun!C19+NetJunToJul!C19+NetJulToAug!C19+NetAugToSep!C19+NetSepToOct!C19+NetOctToNov!C19+NetNovToDec!C19</f>
        <v>-14250</v>
      </c>
      <c r="D19" s="15">
        <f>NetJanToFeb!D19+NetFebToMar!D19+NetMarToApr!D19+NetAprToMay!D19+NetMayToJun!D19+NetJunToJul!D19+NetJulToAug!D19+NetAugToSep!D19+NetSepToOct!D19+NetOctToNov!D19+NetNovToDec!D19</f>
        <v>415</v>
      </c>
      <c r="E19" s="15">
        <f>NetJanToFeb!E19+NetFebToMar!E19+NetMarToApr!E19+NetAprToMay!E19+NetMayToJun!E19+NetJunToJul!E19+NetJulToAug!E19+NetAugToSep!E19+NetSepToOct!E19+NetOctToNov!E19+NetNovToDec!E19</f>
        <v>-7278</v>
      </c>
      <c r="F19" s="14">
        <f t="shared" si="0"/>
        <v>-28216</v>
      </c>
    </row>
    <row r="20" spans="1:6" x14ac:dyDescent="0.25">
      <c r="A20" s="8" t="s">
        <v>115</v>
      </c>
      <c r="B20" s="15">
        <f>NetJanToFeb!B20+NetFebToMar!B20+NetMarToApr!B20+NetAprToMay!B20+NetMayToJun!B20+NetJunToJul!B20+NetJulToAug!B20+NetAugToSep!B20+NetSepToOct!B20+NetOctToNov!B20+NetNovToDec!B20</f>
        <v>-2288</v>
      </c>
      <c r="C20" s="15">
        <f>NetJanToFeb!C20+NetFebToMar!C20+NetMarToApr!C20+NetAprToMay!C20+NetMayToJun!C20+NetJunToJul!C20+NetJulToAug!C20+NetAugToSep!C20+NetSepToOct!C20+NetOctToNov!C20+NetNovToDec!C20</f>
        <v>-4714</v>
      </c>
      <c r="D20" s="15">
        <f>NetJanToFeb!D20+NetFebToMar!D20+NetMarToApr!D20+NetAprToMay!D20+NetMayToJun!D20+NetJunToJul!D20+NetJulToAug!D20+NetAugToSep!D20+NetSepToOct!D20+NetOctToNov!D20+NetNovToDec!D20</f>
        <v>404</v>
      </c>
      <c r="E20" s="15">
        <f>NetJanToFeb!E20+NetFebToMar!E20+NetMarToApr!E20+NetAprToMay!E20+NetMayToJun!E20+NetJunToJul!E20+NetJulToAug!E20+NetAugToSep!E20+NetSepToOct!E20+NetOctToNov!E20+NetNovToDec!E20</f>
        <v>-3307</v>
      </c>
      <c r="F20" s="14">
        <f t="shared" si="0"/>
        <v>-9905</v>
      </c>
    </row>
    <row r="21" spans="1:6" x14ac:dyDescent="0.25">
      <c r="A21" s="8" t="s">
        <v>116</v>
      </c>
      <c r="B21" s="15">
        <f>NetJanToFeb!B21+NetFebToMar!B21+NetMarToApr!B21+NetAprToMay!B21+NetMayToJun!B21+NetJunToJul!B21+NetJulToAug!B21+NetAugToSep!B21+NetSepToOct!B21+NetOctToNov!B21+NetNovToDec!B21</f>
        <v>139</v>
      </c>
      <c r="C21" s="15">
        <f>NetJanToFeb!C21+NetFebToMar!C21+NetMarToApr!C21+NetAprToMay!C21+NetMayToJun!C21+NetJunToJul!C21+NetJulToAug!C21+NetAugToSep!C21+NetSepToOct!C21+NetOctToNov!C21+NetNovToDec!C21</f>
        <v>-1342</v>
      </c>
      <c r="D21" s="15">
        <f>NetJanToFeb!D21+NetFebToMar!D21+NetMarToApr!D21+NetAprToMay!D21+NetMayToJun!D21+NetJunToJul!D21+NetJulToAug!D21+NetAugToSep!D21+NetSepToOct!D21+NetOctToNov!D21+NetNovToDec!D21</f>
        <v>296</v>
      </c>
      <c r="E21" s="15">
        <f>NetJanToFeb!E21+NetFebToMar!E21+NetMarToApr!E21+NetAprToMay!E21+NetMayToJun!E21+NetJunToJul!E21+NetJulToAug!E21+NetAugToSep!E21+NetSepToOct!E21+NetOctToNov!E21+NetNovToDec!E21</f>
        <v>-1981</v>
      </c>
      <c r="F21" s="14">
        <f t="shared" si="0"/>
        <v>-2888</v>
      </c>
    </row>
    <row r="22" spans="1:6" x14ac:dyDescent="0.25">
      <c r="A22" s="8" t="s">
        <v>117</v>
      </c>
      <c r="B22" s="15">
        <f>NetJanToFeb!B22+NetFebToMar!B22+NetMarToApr!B22+NetAprToMay!B22+NetMayToJun!B22+NetJunToJul!B22+NetJulToAug!B22+NetAugToSep!B22+NetSepToOct!B22+NetOctToNov!B22+NetNovToDec!B22</f>
        <v>71</v>
      </c>
      <c r="C22" s="15">
        <f>NetJanToFeb!C22+NetFebToMar!C22+NetMarToApr!C22+NetAprToMay!C22+NetMayToJun!C22+NetJunToJul!C22+NetJulToAug!C22+NetAugToSep!C22+NetSepToOct!C22+NetOctToNov!C22+NetNovToDec!C22</f>
        <v>-92</v>
      </c>
      <c r="D22" s="15">
        <f>NetJanToFeb!D22+NetFebToMar!D22+NetMarToApr!D22+NetAprToMay!D22+NetMayToJun!D22+NetJunToJul!D22+NetJulToAug!D22+NetAugToSep!D22+NetSepToOct!D22+NetOctToNov!D22+NetNovToDec!D22</f>
        <v>10</v>
      </c>
      <c r="E22" s="15">
        <f>NetJanToFeb!E22+NetFebToMar!E22+NetMarToApr!E22+NetAprToMay!E22+NetMayToJun!E22+NetJunToJul!E22+NetJulToAug!E22+NetAugToSep!E22+NetSepToOct!E22+NetOctToNov!E22+NetNovToDec!E22</f>
        <v>43</v>
      </c>
      <c r="F22" s="14">
        <f t="shared" si="0"/>
        <v>32</v>
      </c>
    </row>
    <row r="23" spans="1:6" x14ac:dyDescent="0.25">
      <c r="A23" s="8" t="s">
        <v>118</v>
      </c>
      <c r="B23" s="15">
        <f>NetJanToFeb!B23+NetFebToMar!B23+NetMarToApr!B23+NetAprToMay!B23+NetMayToJun!B23+NetJunToJul!B23+NetJulToAug!B23+NetAugToSep!B23+NetSepToOct!B23+NetOctToNov!B23+NetNovToDec!B23</f>
        <v>15</v>
      </c>
      <c r="C23" s="15">
        <f>NetJanToFeb!C23+NetFebToMar!C23+NetMarToApr!C23+NetAprToMay!C23+NetMayToJun!C23+NetJunToJul!C23+NetJulToAug!C23+NetAugToSep!C23+NetSepToOct!C23+NetOctToNov!C23+NetNovToDec!C23</f>
        <v>-841</v>
      </c>
      <c r="D23" s="15">
        <f>NetJanToFeb!D23+NetFebToMar!D23+NetMarToApr!D23+NetAprToMay!D23+NetMayToJun!D23+NetJunToJul!D23+NetJulToAug!D23+NetAugToSep!D23+NetSepToOct!D23+NetOctToNov!D23+NetNovToDec!D23</f>
        <v>44</v>
      </c>
      <c r="E23" s="15">
        <f>NetJanToFeb!E23+NetFebToMar!E23+NetMarToApr!E23+NetAprToMay!E23+NetMayToJun!E23+NetJunToJul!E23+NetJulToAug!E23+NetAugToSep!E23+NetSepToOct!E23+NetOctToNov!E23+NetNovToDec!E23</f>
        <v>-96</v>
      </c>
      <c r="F23" s="14">
        <f t="shared" si="0"/>
        <v>-878</v>
      </c>
    </row>
    <row r="24" spans="1:6" x14ac:dyDescent="0.25">
      <c r="A24" s="8" t="s">
        <v>119</v>
      </c>
      <c r="B24" s="15">
        <f>NetJanToFeb!B24+NetFebToMar!B24+NetMarToApr!B24+NetAprToMay!B24+NetMayToJun!B24+NetJunToJul!B24+NetJulToAug!B24+NetAugToSep!B24+NetSepToOct!B24+NetOctToNov!B24+NetNovToDec!B24</f>
        <v>-189</v>
      </c>
      <c r="C24" s="15">
        <f>NetJanToFeb!C24+NetFebToMar!C24+NetMarToApr!C24+NetAprToMay!C24+NetMayToJun!C24+NetJunToJul!C24+NetJulToAug!C24+NetAugToSep!C24+NetSepToOct!C24+NetOctToNov!C24+NetNovToDec!C24</f>
        <v>-270</v>
      </c>
      <c r="D24" s="15">
        <f>NetJanToFeb!D24+NetFebToMar!D24+NetMarToApr!D24+NetAprToMay!D24+NetMayToJun!D24+NetJunToJul!D24+NetJulToAug!D24+NetAugToSep!D24+NetSepToOct!D24+NetOctToNov!D24+NetNovToDec!D24</f>
        <v>65</v>
      </c>
      <c r="E24" s="15">
        <f>NetJanToFeb!E24+NetFebToMar!E24+NetMarToApr!E24+NetAprToMay!E24+NetMayToJun!E24+NetJunToJul!E24+NetJulToAug!E24+NetAugToSep!E24+NetSepToOct!E24+NetOctToNov!E24+NetNovToDec!E24</f>
        <v>-319</v>
      </c>
      <c r="F24" s="14">
        <f t="shared" si="0"/>
        <v>-713</v>
      </c>
    </row>
    <row r="25" spans="1:6" x14ac:dyDescent="0.25">
      <c r="A25" s="8" t="s">
        <v>120</v>
      </c>
      <c r="B25" s="15">
        <f>NetJanToFeb!B25+NetFebToMar!B25+NetMarToApr!B25+NetAprToMay!B25+NetMayToJun!B25+NetJunToJul!B25+NetJulToAug!B25+NetAugToSep!B25+NetSepToOct!B25+NetOctToNov!B25+NetNovToDec!B25</f>
        <v>-161</v>
      </c>
      <c r="C25" s="15">
        <f>NetJanToFeb!C25+NetFebToMar!C25+NetMarToApr!C25+NetAprToMay!C25+NetMayToJun!C25+NetJunToJul!C25+NetJulToAug!C25+NetAugToSep!C25+NetSepToOct!C25+NetOctToNov!C25+NetNovToDec!C25</f>
        <v>-226</v>
      </c>
      <c r="D25" s="15">
        <f>NetJanToFeb!D25+NetFebToMar!D25+NetMarToApr!D25+NetAprToMay!D25+NetMayToJun!D25+NetJunToJul!D25+NetJulToAug!D25+NetAugToSep!D25+NetSepToOct!D25+NetOctToNov!D25+NetNovToDec!D25</f>
        <v>14</v>
      </c>
      <c r="E25" s="15">
        <f>NetJanToFeb!E25+NetFebToMar!E25+NetMarToApr!E25+NetAprToMay!E25+NetMayToJun!E25+NetJunToJul!E25+NetJulToAug!E25+NetAugToSep!E25+NetSepToOct!E25+NetOctToNov!E25+NetNovToDec!E25</f>
        <v>-195</v>
      </c>
      <c r="F25" s="14">
        <f t="shared" si="0"/>
        <v>-568</v>
      </c>
    </row>
    <row r="26" spans="1:6" x14ac:dyDescent="0.25">
      <c r="A26" s="8" t="s">
        <v>121</v>
      </c>
      <c r="B26" s="15">
        <f>NetJanToFeb!B26+NetFebToMar!B26+NetMarToApr!B26+NetAprToMay!B26+NetMayToJun!B26+NetJunToJul!B26+NetJulToAug!B26+NetAugToSep!B26+NetSepToOct!B26+NetOctToNov!B26+NetNovToDec!B26</f>
        <v>-38</v>
      </c>
      <c r="C26" s="15">
        <f>NetJanToFeb!C26+NetFebToMar!C26+NetMarToApr!C26+NetAprToMay!C26+NetMayToJun!C26+NetJunToJul!C26+NetJulToAug!C26+NetAugToSep!C26+NetSepToOct!C26+NetOctToNov!C26+NetNovToDec!C26</f>
        <v>-273</v>
      </c>
      <c r="D26" s="15">
        <f>NetJanToFeb!D26+NetFebToMar!D26+NetMarToApr!D26+NetAprToMay!D26+NetMayToJun!D26+NetJunToJul!D26+NetJulToAug!D26+NetAugToSep!D26+NetSepToOct!D26+NetOctToNov!D26+NetNovToDec!D26</f>
        <v>26</v>
      </c>
      <c r="E26" s="15">
        <f>NetJanToFeb!E26+NetFebToMar!E26+NetMarToApr!E26+NetAprToMay!E26+NetMayToJun!E26+NetJunToJul!E26+NetJulToAug!E26+NetAugToSep!E26+NetSepToOct!E26+NetOctToNov!E26+NetNovToDec!E26</f>
        <v>-226</v>
      </c>
      <c r="F26" s="14">
        <f t="shared" si="0"/>
        <v>-511</v>
      </c>
    </row>
    <row r="27" spans="1:6" x14ac:dyDescent="0.25">
      <c r="A27" s="8" t="s">
        <v>122</v>
      </c>
      <c r="B27" s="15">
        <f>NetJanToFeb!B27+NetFebToMar!B27+NetMarToApr!B27+NetAprToMay!B27+NetMayToJun!B27+NetJunToJul!B27+NetJulToAug!B27+NetAugToSep!B27+NetSepToOct!B27+NetOctToNov!B27+NetNovToDec!B27</f>
        <v>-90</v>
      </c>
      <c r="C27" s="15">
        <f>NetJanToFeb!C27+NetFebToMar!C27+NetMarToApr!C27+NetAprToMay!C27+NetMayToJun!C27+NetJunToJul!C27+NetJulToAug!C27+NetAugToSep!C27+NetSepToOct!C27+NetOctToNov!C27+NetNovToDec!C27</f>
        <v>-219</v>
      </c>
      <c r="D27" s="15">
        <f>NetJanToFeb!D27+NetFebToMar!D27+NetMarToApr!D27+NetAprToMay!D27+NetMayToJun!D27+NetJunToJul!D27+NetJulToAug!D27+NetAugToSep!D27+NetSepToOct!D27+NetOctToNov!D27+NetNovToDec!D27</f>
        <v>9</v>
      </c>
      <c r="E27" s="15">
        <f>NetJanToFeb!E27+NetFebToMar!E27+NetMarToApr!E27+NetAprToMay!E27+NetMayToJun!E27+NetJunToJul!E27+NetJulToAug!E27+NetAugToSep!E27+NetSepToOct!E27+NetOctToNov!E27+NetNovToDec!E27</f>
        <v>-112</v>
      </c>
      <c r="F27" s="14">
        <f t="shared" si="0"/>
        <v>-412</v>
      </c>
    </row>
    <row r="28" spans="1:6" x14ac:dyDescent="0.25">
      <c r="A28" s="8" t="s">
        <v>123</v>
      </c>
      <c r="B28" s="15">
        <f>NetJanToFeb!B28+NetFebToMar!B28+NetMarToApr!B28+NetAprToMay!B28+NetMayToJun!B28+NetJunToJul!B28+NetJulToAug!B28+NetAugToSep!B28+NetSepToOct!B28+NetOctToNov!B28+NetNovToDec!B28</f>
        <v>-336</v>
      </c>
      <c r="C28" s="15">
        <f>NetJanToFeb!C28+NetFebToMar!C28+NetMarToApr!C28+NetAprToMay!C28+NetMayToJun!C28+NetJunToJul!C28+NetJulToAug!C28+NetAugToSep!C28+NetSepToOct!C28+NetOctToNov!C28+NetNovToDec!C28</f>
        <v>-411</v>
      </c>
      <c r="D28" s="15">
        <f>NetJanToFeb!D28+NetFebToMar!D28+NetMarToApr!D28+NetAprToMay!D28+NetMayToJun!D28+NetJunToJul!D28+NetJulToAug!D28+NetAugToSep!D28+NetSepToOct!D28+NetOctToNov!D28+NetNovToDec!D28</f>
        <v>57</v>
      </c>
      <c r="E28" s="15">
        <f>NetJanToFeb!E28+NetFebToMar!E28+NetMarToApr!E28+NetAprToMay!E28+NetMayToJun!E28+NetJunToJul!E28+NetJulToAug!E28+NetAugToSep!E28+NetSepToOct!E28+NetOctToNov!E28+NetNovToDec!E28</f>
        <v>-407</v>
      </c>
      <c r="F28" s="14">
        <f t="shared" si="0"/>
        <v>-1097</v>
      </c>
    </row>
    <row r="29" spans="1:6" x14ac:dyDescent="0.25">
      <c r="A29" s="8" t="s">
        <v>124</v>
      </c>
      <c r="B29" s="15">
        <f>NetJanToFeb!B29+NetFebToMar!B29+NetMarToApr!B29+NetAprToMay!B29+NetMayToJun!B29+NetJunToJul!B29+NetJulToAug!B29+NetAugToSep!B29+NetSepToOct!B29+NetOctToNov!B29+NetNovToDec!B29</f>
        <v>246</v>
      </c>
      <c r="C29" s="15">
        <f>NetJanToFeb!C29+NetFebToMar!C29+NetMarToApr!C29+NetAprToMay!C29+NetMayToJun!C29+NetJunToJul!C29+NetJulToAug!C29+NetAugToSep!C29+NetSepToOct!C29+NetOctToNov!C29+NetNovToDec!C29</f>
        <v>-49</v>
      </c>
      <c r="D29" s="15">
        <f>NetJanToFeb!D29+NetFebToMar!D29+NetMarToApr!D29+NetAprToMay!D29+NetMayToJun!D29+NetJunToJul!D29+NetJulToAug!D29+NetAugToSep!D29+NetSepToOct!D29+NetOctToNov!D29+NetNovToDec!D29</f>
        <v>92</v>
      </c>
      <c r="E29" s="15">
        <f>NetJanToFeb!E29+NetFebToMar!E29+NetMarToApr!E29+NetAprToMay!E29+NetMayToJun!E29+NetJunToJul!E29+NetJulToAug!E29+NetAugToSep!E29+NetSepToOct!E29+NetOctToNov!E29+NetNovToDec!E29</f>
        <v>-160</v>
      </c>
      <c r="F29" s="14">
        <f t="shared" si="0"/>
        <v>129</v>
      </c>
    </row>
    <row r="30" spans="1:6" x14ac:dyDescent="0.25">
      <c r="A30" s="8" t="s">
        <v>125</v>
      </c>
      <c r="B30" s="15">
        <f>NetJanToFeb!B30+NetFebToMar!B30+NetMarToApr!B30+NetAprToMay!B30+NetMayToJun!B30+NetJunToJul!B30+NetJulToAug!B30+NetAugToSep!B30+NetSepToOct!B30+NetOctToNov!B30+NetNovToDec!B30</f>
        <v>-2547</v>
      </c>
      <c r="C30" s="15">
        <f>NetJanToFeb!C30+NetFebToMar!C30+NetMarToApr!C30+NetAprToMay!C30+NetMayToJun!C30+NetJunToJul!C30+NetJulToAug!C30+NetAugToSep!C30+NetSepToOct!C30+NetOctToNov!C30+NetNovToDec!C30</f>
        <v>-4097</v>
      </c>
      <c r="D30" s="15">
        <f>NetJanToFeb!D30+NetFebToMar!D30+NetMarToApr!D30+NetAprToMay!D30+NetMayToJun!D30+NetJunToJul!D30+NetJulToAug!D30+NetAugToSep!D30+NetSepToOct!D30+NetOctToNov!D30+NetNovToDec!D30</f>
        <v>-21</v>
      </c>
      <c r="E30" s="15">
        <f>NetJanToFeb!E30+NetFebToMar!E30+NetMarToApr!E30+NetAprToMay!E30+NetMayToJun!E30+NetJunToJul!E30+NetJulToAug!E30+NetAugToSep!E30+NetSepToOct!E30+NetOctToNov!E30+NetNovToDec!E30</f>
        <v>-5264</v>
      </c>
      <c r="F30" s="14">
        <f t="shared" si="0"/>
        <v>-11929</v>
      </c>
    </row>
    <row r="31" spans="1:6" x14ac:dyDescent="0.25">
      <c r="A31" s="8" t="s">
        <v>126</v>
      </c>
      <c r="B31" s="15">
        <f>NetJanToFeb!B31+NetFebToMar!B31+NetMarToApr!B31+NetAprToMay!B31+NetMayToJun!B31+NetJunToJul!B31+NetJulToAug!B31+NetAugToSep!B31+NetSepToOct!B31+NetOctToNov!B31+NetNovToDec!B31</f>
        <v>-260</v>
      </c>
      <c r="C31" s="15">
        <f>NetJanToFeb!C31+NetFebToMar!C31+NetMarToApr!C31+NetAprToMay!C31+NetMayToJun!C31+NetJunToJul!C31+NetJulToAug!C31+NetAugToSep!C31+NetSepToOct!C31+NetOctToNov!C31+NetNovToDec!C31</f>
        <v>-1295</v>
      </c>
      <c r="D31" s="15">
        <f>NetJanToFeb!D31+NetFebToMar!D31+NetMarToApr!D31+NetAprToMay!D31+NetMayToJun!D31+NetJunToJul!D31+NetJulToAug!D31+NetAugToSep!D31+NetSepToOct!D31+NetOctToNov!D31+NetNovToDec!D31</f>
        <v>295</v>
      </c>
      <c r="E31" s="15">
        <f>NetJanToFeb!E31+NetFebToMar!E31+NetMarToApr!E31+NetAprToMay!E31+NetMayToJun!E31+NetJunToJul!E31+NetJulToAug!E31+NetAugToSep!E31+NetSepToOct!E31+NetOctToNov!E31+NetNovToDec!E31</f>
        <v>-1519</v>
      </c>
      <c r="F31" s="14">
        <f t="shared" si="0"/>
        <v>-2779</v>
      </c>
    </row>
    <row r="32" spans="1:6" x14ac:dyDescent="0.25">
      <c r="A32" s="8" t="s">
        <v>127</v>
      </c>
      <c r="B32" s="15">
        <f>NetJanToFeb!B32+NetFebToMar!B32+NetMarToApr!B32+NetAprToMay!B32+NetMayToJun!B32+NetJunToJul!B32+NetJulToAug!B32+NetAugToSep!B32+NetSepToOct!B32+NetOctToNov!B32+NetNovToDec!B32</f>
        <v>-9157</v>
      </c>
      <c r="C32" s="15">
        <f>NetJanToFeb!C32+NetFebToMar!C32+NetMarToApr!C32+NetAprToMay!C32+NetMayToJun!C32+NetJunToJul!C32+NetJulToAug!C32+NetAugToSep!C32+NetSepToOct!C32+NetOctToNov!C32+NetNovToDec!C32</f>
        <v>-27617</v>
      </c>
      <c r="D32" s="15">
        <f>NetJanToFeb!D32+NetFebToMar!D32+NetMarToApr!D32+NetAprToMay!D32+NetMayToJun!D32+NetJunToJul!D32+NetJulToAug!D32+NetAugToSep!D32+NetSepToOct!D32+NetOctToNov!D32+NetNovToDec!D32</f>
        <v>2231</v>
      </c>
      <c r="E32" s="15">
        <f>NetJanToFeb!E32+NetFebToMar!E32+NetMarToApr!E32+NetAprToMay!E32+NetMayToJun!E32+NetJunToJul!E32+NetJulToAug!E32+NetAugToSep!E32+NetSepToOct!E32+NetOctToNov!E32+NetNovToDec!E32</f>
        <v>-29708</v>
      </c>
      <c r="F32" s="14">
        <f t="shared" si="0"/>
        <v>-64251</v>
      </c>
    </row>
    <row r="33" spans="1:6" x14ac:dyDescent="0.25">
      <c r="A33" s="8" t="s">
        <v>128</v>
      </c>
      <c r="B33" s="15">
        <f>NetJanToFeb!B33+NetFebToMar!B33+NetMarToApr!B33+NetAprToMay!B33+NetMayToJun!B33+NetJunToJul!B33+NetJulToAug!B33+NetAugToSep!B33+NetSepToOct!B33+NetOctToNov!B33+NetNovToDec!B33</f>
        <v>171</v>
      </c>
      <c r="C33" s="15">
        <f>NetJanToFeb!C33+NetFebToMar!C33+NetMarToApr!C33+NetAprToMay!C33+NetMayToJun!C33+NetJunToJul!C33+NetJulToAug!C33+NetAugToSep!C33+NetSepToOct!C33+NetOctToNov!C33+NetNovToDec!C33</f>
        <v>-83</v>
      </c>
      <c r="D33" s="15">
        <f>NetJanToFeb!D33+NetFebToMar!D33+NetMarToApr!D33+NetAprToMay!D33+NetMayToJun!D33+NetJunToJul!D33+NetJulToAug!D33+NetAugToSep!D33+NetSepToOct!D33+NetOctToNov!D33+NetNovToDec!D33</f>
        <v>17</v>
      </c>
      <c r="E33" s="15">
        <f>NetJanToFeb!E33+NetFebToMar!E33+NetMarToApr!E33+NetAprToMay!E33+NetMayToJun!E33+NetJunToJul!E33+NetJulToAug!E33+NetAugToSep!E33+NetSepToOct!E33+NetOctToNov!E33+NetNovToDec!E33</f>
        <v>-39</v>
      </c>
      <c r="F33" s="14">
        <f t="shared" si="0"/>
        <v>66</v>
      </c>
    </row>
    <row r="34" spans="1:6" x14ac:dyDescent="0.25">
      <c r="A34" s="8" t="s">
        <v>129</v>
      </c>
      <c r="B34" s="15">
        <f>NetJanToFeb!B34+NetFebToMar!B34+NetMarToApr!B34+NetAprToMay!B34+NetMayToJun!B34+NetJunToJul!B34+NetJulToAug!B34+NetAugToSep!B34+NetSepToOct!B34+NetOctToNov!B34+NetNovToDec!B34</f>
        <v>-448</v>
      </c>
      <c r="C34" s="15">
        <f>NetJanToFeb!C34+NetFebToMar!C34+NetMarToApr!C34+NetAprToMay!C34+NetMayToJun!C34+NetJunToJul!C34+NetJulToAug!C34+NetAugToSep!C34+NetSepToOct!C34+NetOctToNov!C34+NetNovToDec!C34</f>
        <v>-1817</v>
      </c>
      <c r="D34" s="15">
        <f>NetJanToFeb!D34+NetFebToMar!D34+NetMarToApr!D34+NetAprToMay!D34+NetMayToJun!D34+NetJunToJul!D34+NetJulToAug!D34+NetAugToSep!D34+NetSepToOct!D34+NetOctToNov!D34+NetNovToDec!D34</f>
        <v>518</v>
      </c>
      <c r="E34" s="15">
        <f>NetJanToFeb!E34+NetFebToMar!E34+NetMarToApr!E34+NetAprToMay!E34+NetMayToJun!E34+NetJunToJul!E34+NetJulToAug!E34+NetAugToSep!E34+NetSepToOct!E34+NetOctToNov!E34+NetNovToDec!E34</f>
        <v>-2014</v>
      </c>
      <c r="F34" s="14">
        <f t="shared" si="0"/>
        <v>-3761</v>
      </c>
    </row>
    <row r="35" spans="1:6" x14ac:dyDescent="0.25">
      <c r="A35" s="8" t="s">
        <v>130</v>
      </c>
      <c r="B35" s="15">
        <f>NetJanToFeb!B35+NetFebToMar!B35+NetMarToApr!B35+NetAprToMay!B35+NetMayToJun!B35+NetJunToJul!B35+NetJulToAug!B35+NetAugToSep!B35+NetSepToOct!B35+NetOctToNov!B35+NetNovToDec!B35</f>
        <v>-143</v>
      </c>
      <c r="C35" s="15">
        <f>NetJanToFeb!C35+NetFebToMar!C35+NetMarToApr!C35+NetAprToMay!C35+NetMayToJun!C35+NetJunToJul!C35+NetJulToAug!C35+NetAugToSep!C35+NetSepToOct!C35+NetOctToNov!C35+NetNovToDec!C35</f>
        <v>-836</v>
      </c>
      <c r="D35" s="15">
        <f>NetJanToFeb!D35+NetFebToMar!D35+NetMarToApr!D35+NetAprToMay!D35+NetMayToJun!D35+NetJunToJul!D35+NetJulToAug!D35+NetAugToSep!D35+NetSepToOct!D35+NetOctToNov!D35+NetNovToDec!D35</f>
        <v>77</v>
      </c>
      <c r="E35" s="15">
        <f>NetJanToFeb!E35+NetFebToMar!E35+NetMarToApr!E35+NetAprToMay!E35+NetMayToJun!E35+NetJunToJul!E35+NetJulToAug!E35+NetAugToSep!E35+NetSepToOct!E35+NetOctToNov!E35+NetNovToDec!E35</f>
        <v>-194</v>
      </c>
      <c r="F35" s="14">
        <f t="shared" si="0"/>
        <v>-1096</v>
      </c>
    </row>
    <row r="36" spans="1:6" x14ac:dyDescent="0.25">
      <c r="A36" s="8" t="s">
        <v>131</v>
      </c>
      <c r="B36" s="15">
        <f>NetJanToFeb!B36+NetFebToMar!B36+NetMarToApr!B36+NetAprToMay!B36+NetMayToJun!B36+NetJunToJul!B36+NetJulToAug!B36+NetAugToSep!B36+NetSepToOct!B36+NetOctToNov!B36+NetNovToDec!B36</f>
        <v>96</v>
      </c>
      <c r="C36" s="15">
        <f>NetJanToFeb!C36+NetFebToMar!C36+NetMarToApr!C36+NetAprToMay!C36+NetMayToJun!C36+NetJunToJul!C36+NetJulToAug!C36+NetAugToSep!C36+NetSepToOct!C36+NetOctToNov!C36+NetNovToDec!C36</f>
        <v>-225</v>
      </c>
      <c r="D36" s="15">
        <f>NetJanToFeb!D36+NetFebToMar!D36+NetMarToApr!D36+NetAprToMay!D36+NetMayToJun!D36+NetJunToJul!D36+NetJulToAug!D36+NetAugToSep!D36+NetSepToOct!D36+NetOctToNov!D36+NetNovToDec!D36</f>
        <v>33</v>
      </c>
      <c r="E36" s="15">
        <f>NetJanToFeb!E36+NetFebToMar!E36+NetMarToApr!E36+NetAprToMay!E36+NetMayToJun!E36+NetJunToJul!E36+NetJulToAug!E36+NetAugToSep!E36+NetSepToOct!E36+NetOctToNov!E36+NetNovToDec!E36</f>
        <v>-25</v>
      </c>
      <c r="F36" s="14">
        <f t="shared" si="0"/>
        <v>-121</v>
      </c>
    </row>
    <row r="37" spans="1:6" x14ac:dyDescent="0.25">
      <c r="A37" s="8" t="s">
        <v>132</v>
      </c>
      <c r="B37" s="15">
        <f>NetJanToFeb!B37+NetFebToMar!B37+NetMarToApr!B37+NetAprToMay!B37+NetMayToJun!B37+NetJunToJul!B37+NetJulToAug!B37+NetAugToSep!B37+NetSepToOct!B37+NetOctToNov!B37+NetNovToDec!B37</f>
        <v>-90</v>
      </c>
      <c r="C37" s="15">
        <f>NetJanToFeb!C37+NetFebToMar!C37+NetMarToApr!C37+NetAprToMay!C37+NetMayToJun!C37+NetJunToJul!C37+NetJulToAug!C37+NetAugToSep!C37+NetSepToOct!C37+NetOctToNov!C37+NetNovToDec!C37</f>
        <v>-83</v>
      </c>
      <c r="D37" s="15">
        <f>NetJanToFeb!D37+NetFebToMar!D37+NetMarToApr!D37+NetAprToMay!D37+NetMayToJun!D37+NetJunToJul!D37+NetJulToAug!D37+NetAugToSep!D37+NetSepToOct!D37+NetOctToNov!D37+NetNovToDec!D37</f>
        <v>0</v>
      </c>
      <c r="E37" s="15">
        <f>NetJanToFeb!E37+NetFebToMar!E37+NetMarToApr!E37+NetAprToMay!E37+NetMayToJun!E37+NetJunToJul!E37+NetJulToAug!E37+NetAugToSep!E37+NetSepToOct!E37+NetOctToNov!E37+NetNovToDec!E37</f>
        <v>-50</v>
      </c>
      <c r="F37" s="14">
        <f t="shared" si="0"/>
        <v>-223</v>
      </c>
    </row>
    <row r="38" spans="1:6" x14ac:dyDescent="0.25">
      <c r="A38" s="8" t="s">
        <v>133</v>
      </c>
      <c r="B38" s="15">
        <f>NetJanToFeb!B38+NetFebToMar!B38+NetMarToApr!B38+NetAprToMay!B38+NetMayToJun!B38+NetJunToJul!B38+NetJulToAug!B38+NetAugToSep!B38+NetSepToOct!B38+NetOctToNov!B38+NetNovToDec!B38</f>
        <v>-924</v>
      </c>
      <c r="C38" s="15">
        <f>NetJanToFeb!C38+NetFebToMar!C38+NetMarToApr!C38+NetAprToMay!C38+NetMayToJun!C38+NetJunToJul!C38+NetJulToAug!C38+NetAugToSep!C38+NetSepToOct!C38+NetOctToNov!C38+NetNovToDec!C38</f>
        <v>-2614</v>
      </c>
      <c r="D38" s="15">
        <f>NetJanToFeb!D38+NetFebToMar!D38+NetMarToApr!D38+NetAprToMay!D38+NetMayToJun!D38+NetJunToJul!D38+NetJulToAug!D38+NetAugToSep!D38+NetSepToOct!D38+NetOctToNov!D38+NetNovToDec!D38</f>
        <v>454</v>
      </c>
      <c r="E38" s="15">
        <f>NetJanToFeb!E38+NetFebToMar!E38+NetMarToApr!E38+NetAprToMay!E38+NetMayToJun!E38+NetJunToJul!E38+NetJulToAug!E38+NetAugToSep!E38+NetSepToOct!E38+NetOctToNov!E38+NetNovToDec!E38</f>
        <v>-3405</v>
      </c>
      <c r="F38" s="14">
        <f t="shared" si="0"/>
        <v>-6489</v>
      </c>
    </row>
    <row r="39" spans="1:6" x14ac:dyDescent="0.25">
      <c r="A39" s="8" t="s">
        <v>134</v>
      </c>
      <c r="B39" s="15">
        <f>NetJanToFeb!B39+NetFebToMar!B39+NetMarToApr!B39+NetAprToMay!B39+NetMayToJun!B39+NetJunToJul!B39+NetJulToAug!B39+NetAugToSep!B39+NetSepToOct!B39+NetOctToNov!B39+NetNovToDec!B39</f>
        <v>-1367</v>
      </c>
      <c r="C39" s="15">
        <f>NetJanToFeb!C39+NetFebToMar!C39+NetMarToApr!C39+NetAprToMay!C39+NetMayToJun!C39+NetJunToJul!C39+NetJulToAug!C39+NetAugToSep!C39+NetSepToOct!C39+NetOctToNov!C39+NetNovToDec!C39</f>
        <v>-8073</v>
      </c>
      <c r="D39" s="15">
        <f>NetJanToFeb!D39+NetFebToMar!D39+NetMarToApr!D39+NetAprToMay!D39+NetMayToJun!D39+NetJunToJul!D39+NetJulToAug!D39+NetAugToSep!D39+NetSepToOct!D39+NetOctToNov!D39+NetNovToDec!D39</f>
        <v>1319</v>
      </c>
      <c r="E39" s="15">
        <f>NetJanToFeb!E39+NetFebToMar!E39+NetMarToApr!E39+NetAprToMay!E39+NetMayToJun!E39+NetJunToJul!E39+NetJulToAug!E39+NetAugToSep!E39+NetSepToOct!E39+NetOctToNov!E39+NetNovToDec!E39</f>
        <v>-9672</v>
      </c>
      <c r="F39" s="14">
        <f t="shared" si="0"/>
        <v>-17793</v>
      </c>
    </row>
    <row r="40" spans="1:6" x14ac:dyDescent="0.25">
      <c r="A40" s="8" t="s">
        <v>135</v>
      </c>
      <c r="B40" s="15">
        <f>NetJanToFeb!B40+NetFebToMar!B40+NetMarToApr!B40+NetAprToMay!B40+NetMayToJun!B40+NetJunToJul!B40+NetJulToAug!B40+NetAugToSep!B40+NetSepToOct!B40+NetOctToNov!B40+NetNovToDec!B40</f>
        <v>-2936</v>
      </c>
      <c r="C40" s="15">
        <f>NetJanToFeb!C40+NetFebToMar!C40+NetMarToApr!C40+NetAprToMay!C40+NetMayToJun!C40+NetJunToJul!C40+NetJulToAug!C40+NetAugToSep!C40+NetSepToOct!C40+NetOctToNov!C40+NetNovToDec!C40</f>
        <v>-11110</v>
      </c>
      <c r="D40" s="15">
        <f>NetJanToFeb!D40+NetFebToMar!D40+NetMarToApr!D40+NetAprToMay!D40+NetMayToJun!D40+NetJunToJul!D40+NetJulToAug!D40+NetAugToSep!D40+NetSepToOct!D40+NetOctToNov!D40+NetNovToDec!D40</f>
        <v>235</v>
      </c>
      <c r="E40" s="15">
        <f>NetJanToFeb!E40+NetFebToMar!E40+NetMarToApr!E40+NetAprToMay!E40+NetMayToJun!E40+NetJunToJul!E40+NetJulToAug!E40+NetAugToSep!E40+NetSepToOct!E40+NetOctToNov!E40+NetNovToDec!E40</f>
        <v>-5753</v>
      </c>
      <c r="F40" s="14">
        <f t="shared" si="0"/>
        <v>-19564</v>
      </c>
    </row>
    <row r="41" spans="1:6" x14ac:dyDescent="0.25">
      <c r="A41" s="8" t="s">
        <v>136</v>
      </c>
      <c r="B41" s="15">
        <f>NetJanToFeb!B41+NetFebToMar!B41+NetMarToApr!B41+NetAprToMay!B41+NetMayToJun!B41+NetJunToJul!B41+NetJulToAug!B41+NetAugToSep!B41+NetSepToOct!B41+NetOctToNov!B41+NetNovToDec!B41</f>
        <v>-84</v>
      </c>
      <c r="C41" s="15">
        <f>NetJanToFeb!C41+NetFebToMar!C41+NetMarToApr!C41+NetAprToMay!C41+NetMayToJun!C41+NetJunToJul!C41+NetJulToAug!C41+NetAugToSep!C41+NetSepToOct!C41+NetOctToNov!C41+NetNovToDec!C41</f>
        <v>-550</v>
      </c>
      <c r="D41" s="15">
        <f>NetJanToFeb!D41+NetFebToMar!D41+NetMarToApr!D41+NetAprToMay!D41+NetMayToJun!D41+NetJunToJul!D41+NetJulToAug!D41+NetAugToSep!D41+NetSepToOct!D41+NetOctToNov!D41+NetNovToDec!D41</f>
        <v>128</v>
      </c>
      <c r="E41" s="15">
        <f>NetJanToFeb!E41+NetFebToMar!E41+NetMarToApr!E41+NetAprToMay!E41+NetMayToJun!E41+NetJunToJul!E41+NetJulToAug!E41+NetAugToSep!E41+NetSepToOct!E41+NetOctToNov!E41+NetNovToDec!E41</f>
        <v>-468</v>
      </c>
      <c r="F41" s="14">
        <f t="shared" si="0"/>
        <v>-974</v>
      </c>
    </row>
    <row r="42" spans="1:6" x14ac:dyDescent="0.25">
      <c r="A42" s="8" t="s">
        <v>137</v>
      </c>
      <c r="B42" s="15">
        <f>NetJanToFeb!B42+NetFebToMar!B42+NetMarToApr!B42+NetAprToMay!B42+NetMayToJun!B42+NetJunToJul!B42+NetJulToAug!B42+NetAugToSep!B42+NetSepToOct!B42+NetOctToNov!B42+NetNovToDec!B42</f>
        <v>70</v>
      </c>
      <c r="C42" s="15">
        <f>NetJanToFeb!C42+NetFebToMar!C42+NetMarToApr!C42+NetAprToMay!C42+NetMayToJun!C42+NetJunToJul!C42+NetJulToAug!C42+NetAugToSep!C42+NetSepToOct!C42+NetOctToNov!C42+NetNovToDec!C42</f>
        <v>-222</v>
      </c>
      <c r="D42" s="15">
        <f>NetJanToFeb!D42+NetFebToMar!D42+NetMarToApr!D42+NetAprToMay!D42+NetMayToJun!D42+NetJunToJul!D42+NetJulToAug!D42+NetAugToSep!D42+NetSepToOct!D42+NetOctToNov!D42+NetNovToDec!D42</f>
        <v>5</v>
      </c>
      <c r="E42" s="15">
        <f>NetJanToFeb!E42+NetFebToMar!E42+NetMarToApr!E42+NetAprToMay!E42+NetMayToJun!E42+NetJunToJul!E42+NetJulToAug!E42+NetAugToSep!E42+NetSepToOct!E42+NetOctToNov!E42+NetNovToDec!E42</f>
        <v>-6</v>
      </c>
      <c r="F42" s="14">
        <f t="shared" si="0"/>
        <v>-153</v>
      </c>
    </row>
    <row r="43" spans="1:6" x14ac:dyDescent="0.25">
      <c r="A43" s="8" t="s">
        <v>138</v>
      </c>
      <c r="B43" s="15">
        <f>NetJanToFeb!B43+NetFebToMar!B43+NetMarToApr!B43+NetAprToMay!B43+NetMayToJun!B43+NetJunToJul!B43+NetJulToAug!B43+NetAugToSep!B43+NetSepToOct!B43+NetOctToNov!B43+NetNovToDec!B43</f>
        <v>-414</v>
      </c>
      <c r="C43" s="15">
        <f>NetJanToFeb!C43+NetFebToMar!C43+NetMarToApr!C43+NetAprToMay!C43+NetMayToJun!C43+NetJunToJul!C43+NetJulToAug!C43+NetAugToSep!C43+NetSepToOct!C43+NetOctToNov!C43+NetNovToDec!C43</f>
        <v>-1155</v>
      </c>
      <c r="D43" s="15">
        <f>NetJanToFeb!D43+NetFebToMar!D43+NetMarToApr!D43+NetAprToMay!D43+NetMayToJun!D43+NetJunToJul!D43+NetJulToAug!D43+NetAugToSep!D43+NetSepToOct!D43+NetOctToNov!D43+NetNovToDec!D43</f>
        <v>-7</v>
      </c>
      <c r="E43" s="15">
        <f>NetJanToFeb!E43+NetFebToMar!E43+NetMarToApr!E43+NetAprToMay!E43+NetMayToJun!E43+NetJunToJul!E43+NetJulToAug!E43+NetAugToSep!E43+NetSepToOct!E43+NetOctToNov!E43+NetNovToDec!E43</f>
        <v>-372</v>
      </c>
      <c r="F43" s="14">
        <f t="shared" si="0"/>
        <v>-1948</v>
      </c>
    </row>
    <row r="44" spans="1:6" x14ac:dyDescent="0.25">
      <c r="A44" s="8" t="s">
        <v>139</v>
      </c>
      <c r="B44" s="15">
        <f>NetJanToFeb!B44+NetFebToMar!B44+NetMarToApr!B44+NetAprToMay!B44+NetMayToJun!B44+NetJunToJul!B44+NetJulToAug!B44+NetAugToSep!B44+NetSepToOct!B44+NetOctToNov!B44+NetNovToDec!B44</f>
        <v>-258</v>
      </c>
      <c r="C44" s="15">
        <f>NetJanToFeb!C44+NetFebToMar!C44+NetMarToApr!C44+NetAprToMay!C44+NetMayToJun!C44+NetJunToJul!C44+NetJulToAug!C44+NetAugToSep!C44+NetSepToOct!C44+NetOctToNov!C44+NetNovToDec!C44</f>
        <v>-4849</v>
      </c>
      <c r="D44" s="15">
        <f>NetJanToFeb!D44+NetFebToMar!D44+NetMarToApr!D44+NetAprToMay!D44+NetMayToJun!D44+NetJunToJul!D44+NetJulToAug!D44+NetAugToSep!D44+NetSepToOct!D44+NetOctToNov!D44+NetNovToDec!D44</f>
        <v>554</v>
      </c>
      <c r="E44" s="15">
        <f>NetJanToFeb!E44+NetFebToMar!E44+NetMarToApr!E44+NetAprToMay!E44+NetMayToJun!E44+NetJunToJul!E44+NetJulToAug!E44+NetAugToSep!E44+NetSepToOct!E44+NetOctToNov!E44+NetNovToDec!E44</f>
        <v>-4157</v>
      </c>
      <c r="F44" s="14">
        <f t="shared" si="0"/>
        <v>-8710</v>
      </c>
    </row>
    <row r="45" spans="1:6" x14ac:dyDescent="0.25">
      <c r="A45" s="8" t="s">
        <v>140</v>
      </c>
      <c r="B45" s="15">
        <f>NetJanToFeb!B45+NetFebToMar!B45+NetMarToApr!B45+NetAprToMay!B45+NetMayToJun!B45+NetJunToJul!B45+NetJulToAug!B45+NetAugToSep!B45+NetSepToOct!B45+NetOctToNov!B45+NetNovToDec!B45</f>
        <v>-2452</v>
      </c>
      <c r="C45" s="15">
        <f>NetJanToFeb!C45+NetFebToMar!C45+NetMarToApr!C45+NetAprToMay!C45+NetMayToJun!C45+NetJunToJul!C45+NetJulToAug!C45+NetAugToSep!C45+NetSepToOct!C45+NetOctToNov!C45+NetNovToDec!C45</f>
        <v>-5926</v>
      </c>
      <c r="D45" s="15">
        <f>NetJanToFeb!D45+NetFebToMar!D45+NetMarToApr!D45+NetAprToMay!D45+NetMayToJun!D45+NetJunToJul!D45+NetJulToAug!D45+NetAugToSep!D45+NetSepToOct!D45+NetOctToNov!D45+NetNovToDec!D45</f>
        <v>1107</v>
      </c>
      <c r="E45" s="15">
        <f>NetJanToFeb!E45+NetFebToMar!E45+NetMarToApr!E45+NetAprToMay!E45+NetMayToJun!E45+NetJunToJul!E45+NetJulToAug!E45+NetAugToSep!E45+NetSepToOct!E45+NetOctToNov!E45+NetNovToDec!E45</f>
        <v>-5929</v>
      </c>
      <c r="F45" s="14">
        <f t="shared" si="0"/>
        <v>-13200</v>
      </c>
    </row>
    <row r="46" spans="1:6" x14ac:dyDescent="0.25">
      <c r="A46" s="8" t="s">
        <v>141</v>
      </c>
      <c r="B46" s="15">
        <f>NetJanToFeb!B46+NetFebToMar!B46+NetMarToApr!B46+NetAprToMay!B46+NetMayToJun!B46+NetJunToJul!B46+NetJulToAug!B46+NetAugToSep!B46+NetSepToOct!B46+NetOctToNov!B46+NetNovToDec!B46</f>
        <v>-641</v>
      </c>
      <c r="C46" s="15">
        <f>NetJanToFeb!C46+NetFebToMar!C46+NetMarToApr!C46+NetAprToMay!C46+NetMayToJun!C46+NetJunToJul!C46+NetJulToAug!C46+NetAugToSep!C46+NetSepToOct!C46+NetOctToNov!C46+NetNovToDec!C46</f>
        <v>-1780</v>
      </c>
      <c r="D46" s="15">
        <f>NetJanToFeb!D46+NetFebToMar!D46+NetMarToApr!D46+NetAprToMay!D46+NetMayToJun!D46+NetJunToJul!D46+NetJulToAug!D46+NetAugToSep!D46+NetSepToOct!D46+NetOctToNov!D46+NetNovToDec!D46</f>
        <v>367</v>
      </c>
      <c r="E46" s="15">
        <f>NetJanToFeb!E46+NetFebToMar!E46+NetMarToApr!E46+NetAprToMay!E46+NetMayToJun!E46+NetJunToJul!E46+NetJulToAug!E46+NetAugToSep!E46+NetSepToOct!E46+NetOctToNov!E46+NetNovToDec!E46</f>
        <v>-1786</v>
      </c>
      <c r="F46" s="14">
        <f t="shared" si="0"/>
        <v>-3840</v>
      </c>
    </row>
    <row r="47" spans="1:6" x14ac:dyDescent="0.25">
      <c r="A47" s="8" t="s">
        <v>142</v>
      </c>
      <c r="B47" s="15">
        <f>NetJanToFeb!B47+NetFebToMar!B47+NetMarToApr!B47+NetAprToMay!B47+NetMayToJun!B47+NetJunToJul!B47+NetJulToAug!B47+NetAugToSep!B47+NetSepToOct!B47+NetOctToNov!B47+NetNovToDec!B47</f>
        <v>-48212</v>
      </c>
      <c r="C47" s="15">
        <f>NetJanToFeb!C47+NetFebToMar!C47+NetMarToApr!C47+NetAprToMay!C47+NetMayToJun!C47+NetJunToJul!C47+NetJulToAug!C47+NetAugToSep!C47+NetSepToOct!C47+NetOctToNov!C47+NetNovToDec!C47</f>
        <v>-113651</v>
      </c>
      <c r="D47" s="15">
        <f>NetJanToFeb!D47+NetFebToMar!D47+NetMarToApr!D47+NetAprToMay!D47+NetMayToJun!D47+NetJunToJul!D47+NetJulToAug!D47+NetAugToSep!D47+NetSepToOct!D47+NetOctToNov!D47+NetNovToDec!D47</f>
        <v>-1298</v>
      </c>
      <c r="E47" s="15">
        <f>NetJanToFeb!E47+NetFebToMar!E47+NetMarToApr!E47+NetAprToMay!E47+NetMayToJun!E47+NetJunToJul!E47+NetJulToAug!E47+NetAugToSep!E47+NetSepToOct!E47+NetOctToNov!E47+NetNovToDec!E47</f>
        <v>-105273</v>
      </c>
      <c r="F47" s="14">
        <f t="shared" si="0"/>
        <v>-268434</v>
      </c>
    </row>
    <row r="48" spans="1:6" x14ac:dyDescent="0.25">
      <c r="A48" s="8" t="s">
        <v>143</v>
      </c>
      <c r="B48" s="15">
        <f>NetJanToFeb!B48+NetFebToMar!B48+NetMarToApr!B48+NetAprToMay!B48+NetMayToJun!B48+NetJunToJul!B48+NetJulToAug!B48+NetAugToSep!B48+NetSepToOct!B48+NetOctToNov!B48+NetNovToDec!B48</f>
        <v>752</v>
      </c>
      <c r="C48" s="15">
        <f>NetJanToFeb!C48+NetFebToMar!C48+NetMarToApr!C48+NetAprToMay!C48+NetMayToJun!C48+NetJunToJul!C48+NetJulToAug!C48+NetAugToSep!C48+NetSepToOct!C48+NetOctToNov!C48+NetNovToDec!C48</f>
        <v>-222</v>
      </c>
      <c r="D48" s="15">
        <f>NetJanToFeb!D48+NetFebToMar!D48+NetMarToApr!D48+NetAprToMay!D48+NetMayToJun!D48+NetJunToJul!D48+NetJulToAug!D48+NetAugToSep!D48+NetSepToOct!D48+NetOctToNov!D48+NetNovToDec!D48</f>
        <v>204</v>
      </c>
      <c r="E48" s="15">
        <f>NetJanToFeb!E48+NetFebToMar!E48+NetMarToApr!E48+NetAprToMay!E48+NetMayToJun!E48+NetJunToJul!E48+NetJulToAug!E48+NetAugToSep!E48+NetSepToOct!E48+NetOctToNov!E48+NetNovToDec!E48</f>
        <v>114</v>
      </c>
      <c r="F48" s="14">
        <f t="shared" si="0"/>
        <v>848</v>
      </c>
    </row>
    <row r="49" spans="1:6" x14ac:dyDescent="0.25">
      <c r="A49" s="8" t="s">
        <v>144</v>
      </c>
      <c r="B49" s="15">
        <f>NetJanToFeb!B49+NetFebToMar!B49+NetMarToApr!B49+NetAprToMay!B49+NetMayToJun!B49+NetJunToJul!B49+NetJulToAug!B49+NetAugToSep!B49+NetSepToOct!B49+NetOctToNov!B49+NetNovToDec!B49</f>
        <v>846</v>
      </c>
      <c r="C49" s="15">
        <f>NetJanToFeb!C49+NetFebToMar!C49+NetMarToApr!C49+NetAprToMay!C49+NetMayToJun!C49+NetJunToJul!C49+NetJulToAug!C49+NetAugToSep!C49+NetSepToOct!C49+NetOctToNov!C49+NetNovToDec!C49</f>
        <v>-150</v>
      </c>
      <c r="D49" s="15">
        <f>NetJanToFeb!D49+NetFebToMar!D49+NetMarToApr!D49+NetAprToMay!D49+NetMayToJun!D49+NetJunToJul!D49+NetJulToAug!D49+NetAugToSep!D49+NetSepToOct!D49+NetOctToNov!D49+NetNovToDec!D49</f>
        <v>301</v>
      </c>
      <c r="E49" s="15">
        <f>NetJanToFeb!E49+NetFebToMar!E49+NetMarToApr!E49+NetAprToMay!E49+NetMayToJun!E49+NetJunToJul!E49+NetJulToAug!E49+NetAugToSep!E49+NetSepToOct!E49+NetOctToNov!E49+NetNovToDec!E49</f>
        <v>-143</v>
      </c>
      <c r="F49" s="14">
        <f t="shared" si="0"/>
        <v>854</v>
      </c>
    </row>
    <row r="50" spans="1:6" x14ac:dyDescent="0.25">
      <c r="A50" s="8" t="s">
        <v>145</v>
      </c>
      <c r="B50" s="15">
        <f>NetJanToFeb!B50+NetFebToMar!B50+NetMarToApr!B50+NetAprToMay!B50+NetMayToJun!B50+NetJunToJul!B50+NetJulToAug!B50+NetAugToSep!B50+NetSepToOct!B50+NetOctToNov!B50+NetNovToDec!B50</f>
        <v>-3430</v>
      </c>
      <c r="C50" s="15">
        <f>NetJanToFeb!C50+NetFebToMar!C50+NetMarToApr!C50+NetAprToMay!C50+NetMayToJun!C50+NetJunToJul!C50+NetJulToAug!C50+NetAugToSep!C50+NetSepToOct!C50+NetOctToNov!C50+NetNovToDec!C50</f>
        <v>-2344</v>
      </c>
      <c r="D50" s="15">
        <f>NetJanToFeb!D50+NetFebToMar!D50+NetMarToApr!D50+NetAprToMay!D50+NetMayToJun!D50+NetJunToJul!D50+NetJulToAug!D50+NetAugToSep!D50+NetSepToOct!D50+NetOctToNov!D50+NetNovToDec!D50</f>
        <v>281</v>
      </c>
      <c r="E50" s="15">
        <f>NetJanToFeb!E50+NetFebToMar!E50+NetMarToApr!E50+NetAprToMay!E50+NetMayToJun!E50+NetJunToJul!E50+NetJulToAug!E50+NetAugToSep!E50+NetSepToOct!E50+NetOctToNov!E50+NetNovToDec!E50</f>
        <v>-4589</v>
      </c>
      <c r="F50" s="14">
        <f t="shared" si="0"/>
        <v>-10082</v>
      </c>
    </row>
    <row r="51" spans="1:6" x14ac:dyDescent="0.25">
      <c r="A51" s="8" t="s">
        <v>146</v>
      </c>
      <c r="B51" s="15">
        <f>NetJanToFeb!B51+NetFebToMar!B51+NetMarToApr!B51+NetAprToMay!B51+NetMayToJun!B51+NetJunToJul!B51+NetJulToAug!B51+NetAugToSep!B51+NetSepToOct!B51+NetOctToNov!B51+NetNovToDec!B51</f>
        <v>-267</v>
      </c>
      <c r="C51" s="15">
        <f>NetJanToFeb!C51+NetFebToMar!C51+NetMarToApr!C51+NetAprToMay!C51+NetMayToJun!C51+NetJunToJul!C51+NetJulToAug!C51+NetAugToSep!C51+NetSepToOct!C51+NetOctToNov!C51+NetNovToDec!C51</f>
        <v>-447</v>
      </c>
      <c r="D51" s="15">
        <f>NetJanToFeb!D51+NetFebToMar!D51+NetMarToApr!D51+NetAprToMay!D51+NetMayToJun!D51+NetJunToJul!D51+NetJulToAug!D51+NetAugToSep!D51+NetSepToOct!D51+NetOctToNov!D51+NetNovToDec!D51</f>
        <v>49</v>
      </c>
      <c r="E51" s="15">
        <f>NetJanToFeb!E51+NetFebToMar!E51+NetMarToApr!E51+NetAprToMay!E51+NetMayToJun!E51+NetJunToJul!E51+NetJulToAug!E51+NetAugToSep!E51+NetSepToOct!E51+NetOctToNov!E51+NetNovToDec!E51</f>
        <v>-443</v>
      </c>
      <c r="F51" s="14">
        <f t="shared" si="0"/>
        <v>-1108</v>
      </c>
    </row>
    <row r="52" spans="1:6" x14ac:dyDescent="0.25">
      <c r="A52" s="8" t="s">
        <v>147</v>
      </c>
      <c r="B52" s="15">
        <f>NetJanToFeb!B52+NetFebToMar!B52+NetMarToApr!B52+NetAprToMay!B52+NetMayToJun!B52+NetJunToJul!B52+NetJulToAug!B52+NetAugToSep!B52+NetSepToOct!B52+NetOctToNov!B52+NetNovToDec!B52</f>
        <v>-280</v>
      </c>
      <c r="C52" s="15">
        <f>NetJanToFeb!C52+NetFebToMar!C52+NetMarToApr!C52+NetAprToMay!C52+NetMayToJun!C52+NetJunToJul!C52+NetJulToAug!C52+NetAugToSep!C52+NetSepToOct!C52+NetOctToNov!C52+NetNovToDec!C52</f>
        <v>-11313</v>
      </c>
      <c r="D52" s="15">
        <f>NetJanToFeb!D52+NetFebToMar!D52+NetMarToApr!D52+NetAprToMay!D52+NetMayToJun!D52+NetJunToJul!D52+NetJulToAug!D52+NetAugToSep!D52+NetSepToOct!D52+NetOctToNov!D52+NetNovToDec!D52</f>
        <v>3693</v>
      </c>
      <c r="E52" s="15">
        <f>NetJanToFeb!E52+NetFebToMar!E52+NetMarToApr!E52+NetAprToMay!E52+NetMayToJun!E52+NetJunToJul!E52+NetJulToAug!E52+NetAugToSep!E52+NetSepToOct!E52+NetOctToNov!E52+NetNovToDec!E52</f>
        <v>-6586</v>
      </c>
      <c r="F52" s="14">
        <f t="shared" si="0"/>
        <v>-14486</v>
      </c>
    </row>
    <row r="53" spans="1:6" x14ac:dyDescent="0.25">
      <c r="A53" s="8" t="s">
        <v>148</v>
      </c>
      <c r="B53" s="15">
        <f>NetJanToFeb!B53+NetFebToMar!B53+NetMarToApr!B53+NetAprToMay!B53+NetMayToJun!B53+NetJunToJul!B53+NetJulToAug!B53+NetAugToSep!B53+NetSepToOct!B53+NetOctToNov!B53+NetNovToDec!B53</f>
        <v>-15</v>
      </c>
      <c r="C53" s="15">
        <f>NetJanToFeb!C53+NetFebToMar!C53+NetMarToApr!C53+NetAprToMay!C53+NetMayToJun!C53+NetJunToJul!C53+NetJulToAug!C53+NetAugToSep!C53+NetSepToOct!C53+NetOctToNov!C53+NetNovToDec!C53</f>
        <v>-7683</v>
      </c>
      <c r="D53" s="15">
        <f>NetJanToFeb!D53+NetFebToMar!D53+NetMarToApr!D53+NetAprToMay!D53+NetMayToJun!D53+NetJunToJul!D53+NetJulToAug!D53+NetAugToSep!D53+NetSepToOct!D53+NetOctToNov!D53+NetNovToDec!D53</f>
        <v>1419</v>
      </c>
      <c r="E53" s="15">
        <f>NetJanToFeb!E53+NetFebToMar!E53+NetMarToApr!E53+NetAprToMay!E53+NetMayToJun!E53+NetJunToJul!E53+NetJulToAug!E53+NetAugToSep!E53+NetSepToOct!E53+NetOctToNov!E53+NetNovToDec!E53</f>
        <v>-12075</v>
      </c>
      <c r="F53" s="14">
        <f t="shared" si="0"/>
        <v>-18354</v>
      </c>
    </row>
    <row r="54" spans="1:6" x14ac:dyDescent="0.25">
      <c r="A54" s="8" t="s">
        <v>149</v>
      </c>
      <c r="B54" s="15">
        <f>NetJanToFeb!B54+NetFebToMar!B54+NetMarToApr!B54+NetAprToMay!B54+NetMayToJun!B54+NetJunToJul!B54+NetJulToAug!B54+NetAugToSep!B54+NetSepToOct!B54+NetOctToNov!B54+NetNovToDec!B54</f>
        <v>-5137</v>
      </c>
      <c r="C54" s="15">
        <f>NetJanToFeb!C54+NetFebToMar!C54+NetMarToApr!C54+NetAprToMay!C54+NetMayToJun!C54+NetJunToJul!C54+NetJulToAug!C54+NetAugToSep!C54+NetSepToOct!C54+NetOctToNov!C54+NetNovToDec!C54</f>
        <v>-28294</v>
      </c>
      <c r="D54" s="15">
        <f>NetJanToFeb!D54+NetFebToMar!D54+NetMarToApr!D54+NetAprToMay!D54+NetMayToJun!D54+NetJunToJul!D54+NetJulToAug!D54+NetAugToSep!D54+NetSepToOct!D54+NetOctToNov!D54+NetNovToDec!D54</f>
        <v>889</v>
      </c>
      <c r="E54" s="15">
        <f>NetJanToFeb!E54+NetFebToMar!E54+NetMarToApr!E54+NetAprToMay!E54+NetMayToJun!E54+NetJunToJul!E54+NetJulToAug!E54+NetAugToSep!E54+NetSepToOct!E54+NetOctToNov!E54+NetNovToDec!E54</f>
        <v>-21747</v>
      </c>
      <c r="F54" s="14">
        <f t="shared" si="0"/>
        <v>-54289</v>
      </c>
    </row>
    <row r="55" spans="1:6" x14ac:dyDescent="0.25">
      <c r="A55" s="8" t="s">
        <v>150</v>
      </c>
      <c r="B55" s="15">
        <f>NetJanToFeb!B55+NetFebToMar!B55+NetMarToApr!B55+NetAprToMay!B55+NetMayToJun!B55+NetJunToJul!B55+NetJulToAug!B55+NetAugToSep!B55+NetSepToOct!B55+NetOctToNov!B55+NetNovToDec!B55</f>
        <v>-4492</v>
      </c>
      <c r="C55" s="15">
        <f>NetJanToFeb!C55+NetFebToMar!C55+NetMarToApr!C55+NetAprToMay!C55+NetMayToJun!C55+NetJunToJul!C55+NetJulToAug!C55+NetAugToSep!C55+NetSepToOct!C55+NetOctToNov!C55+NetNovToDec!C55</f>
        <v>-8833</v>
      </c>
      <c r="D55" s="15">
        <f>NetJanToFeb!D55+NetFebToMar!D55+NetMarToApr!D55+NetAprToMay!D55+NetMayToJun!D55+NetJunToJul!D55+NetJulToAug!D55+NetAugToSep!D55+NetSepToOct!D55+NetOctToNov!D55+NetNovToDec!D55</f>
        <v>812</v>
      </c>
      <c r="E55" s="15">
        <f>NetJanToFeb!E55+NetFebToMar!E55+NetMarToApr!E55+NetAprToMay!E55+NetMayToJun!E55+NetJunToJul!E55+NetJulToAug!E55+NetAugToSep!E55+NetSepToOct!E55+NetOctToNov!E55+NetNovToDec!E55</f>
        <v>-11486</v>
      </c>
      <c r="F55" s="14">
        <f t="shared" si="0"/>
        <v>-23999</v>
      </c>
    </row>
    <row r="56" spans="1:6" x14ac:dyDescent="0.25">
      <c r="A56" s="8" t="s">
        <v>151</v>
      </c>
      <c r="B56" s="15">
        <f>NetJanToFeb!B56+NetFebToMar!B56+NetMarToApr!B56+NetAprToMay!B56+NetMayToJun!B56+NetJunToJul!B56+NetJulToAug!B56+NetAugToSep!B56+NetSepToOct!B56+NetOctToNov!B56+NetNovToDec!B56</f>
        <v>-7937</v>
      </c>
      <c r="C56" s="15">
        <f>NetJanToFeb!C56+NetFebToMar!C56+NetMarToApr!C56+NetAprToMay!C56+NetMayToJun!C56+NetJunToJul!C56+NetJulToAug!C56+NetAugToSep!C56+NetSepToOct!C56+NetOctToNov!C56+NetNovToDec!C56</f>
        <v>-16999</v>
      </c>
      <c r="D56" s="15">
        <f>NetJanToFeb!D56+NetFebToMar!D56+NetMarToApr!D56+NetAprToMay!D56+NetMayToJun!D56+NetJunToJul!D56+NetJulToAug!D56+NetAugToSep!D56+NetSepToOct!D56+NetOctToNov!D56+NetNovToDec!D56</f>
        <v>912</v>
      </c>
      <c r="E56" s="15">
        <f>NetJanToFeb!E56+NetFebToMar!E56+NetMarToApr!E56+NetAprToMay!E56+NetMayToJun!E56+NetJunToJul!E56+NetJulToAug!E56+NetAugToSep!E56+NetSepToOct!E56+NetOctToNov!E56+NetNovToDec!E56</f>
        <v>-17515</v>
      </c>
      <c r="F56" s="14">
        <f t="shared" si="0"/>
        <v>-41539</v>
      </c>
    </row>
    <row r="57" spans="1:6" x14ac:dyDescent="0.25">
      <c r="A57" s="8" t="s">
        <v>152</v>
      </c>
      <c r="B57" s="15">
        <f>NetJanToFeb!B57+NetFebToMar!B57+NetMarToApr!B57+NetAprToMay!B57+NetMayToJun!B57+NetJunToJul!B57+NetJulToAug!B57+NetAugToSep!B57+NetSepToOct!B57+NetOctToNov!B57+NetNovToDec!B57</f>
        <v>-4268</v>
      </c>
      <c r="C57" s="15">
        <f>NetJanToFeb!C57+NetFebToMar!C57+NetMarToApr!C57+NetAprToMay!C57+NetMayToJun!C57+NetJunToJul!C57+NetJulToAug!C57+NetAugToSep!C57+NetSepToOct!C57+NetOctToNov!C57+NetNovToDec!C57</f>
        <v>-11841</v>
      </c>
      <c r="D57" s="15">
        <f>NetJanToFeb!D57+NetFebToMar!D57+NetMarToApr!D57+NetAprToMay!D57+NetMayToJun!D57+NetJunToJul!D57+NetJulToAug!D57+NetAugToSep!D57+NetSepToOct!D57+NetOctToNov!D57+NetNovToDec!D57</f>
        <v>2105</v>
      </c>
      <c r="E57" s="15">
        <f>NetJanToFeb!E57+NetFebToMar!E57+NetMarToApr!E57+NetAprToMay!E57+NetMayToJun!E57+NetJunToJul!E57+NetJulToAug!E57+NetAugToSep!E57+NetSepToOct!E57+NetOctToNov!E57+NetNovToDec!E57</f>
        <v>-15151</v>
      </c>
      <c r="F57" s="14">
        <f t="shared" si="0"/>
        <v>-29155</v>
      </c>
    </row>
    <row r="58" spans="1:6" x14ac:dyDescent="0.25">
      <c r="A58" s="8" t="s">
        <v>153</v>
      </c>
      <c r="B58" s="15">
        <f>NetJanToFeb!B58+NetFebToMar!B58+NetMarToApr!B58+NetAprToMay!B58+NetMayToJun!B58+NetJunToJul!B58+NetJulToAug!B58+NetAugToSep!B58+NetSepToOct!B58+NetOctToNov!B58+NetNovToDec!B58</f>
        <v>-582</v>
      </c>
      <c r="C58" s="15">
        <f>NetJanToFeb!C58+NetFebToMar!C58+NetMarToApr!C58+NetAprToMay!C58+NetMayToJun!C58+NetJunToJul!C58+NetJulToAug!C58+NetAugToSep!C58+NetSepToOct!C58+NetOctToNov!C58+NetNovToDec!C58</f>
        <v>-1247</v>
      </c>
      <c r="D58" s="15">
        <f>NetJanToFeb!D58+NetFebToMar!D58+NetMarToApr!D58+NetAprToMay!D58+NetMayToJun!D58+NetJunToJul!D58+NetJulToAug!D58+NetAugToSep!D58+NetSepToOct!D58+NetOctToNov!D58+NetNovToDec!D58</f>
        <v>97</v>
      </c>
      <c r="E58" s="15">
        <f>NetJanToFeb!E58+NetFebToMar!E58+NetMarToApr!E58+NetAprToMay!E58+NetMayToJun!E58+NetJunToJul!E58+NetJulToAug!E58+NetAugToSep!E58+NetSepToOct!E58+NetOctToNov!E58+NetNovToDec!E58</f>
        <v>-979</v>
      </c>
      <c r="F58" s="14">
        <f t="shared" si="0"/>
        <v>-2711</v>
      </c>
    </row>
    <row r="59" spans="1:6" x14ac:dyDescent="0.25">
      <c r="A59" s="8" t="s">
        <v>154</v>
      </c>
      <c r="B59" s="15">
        <f>NetJanToFeb!B59+NetFebToMar!B59+NetMarToApr!B59+NetAprToMay!B59+NetMayToJun!B59+NetJunToJul!B59+NetJulToAug!B59+NetAugToSep!B59+NetSepToOct!B59+NetOctToNov!B59+NetNovToDec!B59</f>
        <v>-2737</v>
      </c>
      <c r="C59" s="15">
        <f>NetJanToFeb!C59+NetFebToMar!C59+NetMarToApr!C59+NetAprToMay!C59+NetMayToJun!C59+NetJunToJul!C59+NetJulToAug!C59+NetAugToSep!C59+NetSepToOct!C59+NetOctToNov!C59+NetNovToDec!C59</f>
        <v>-2045</v>
      </c>
      <c r="D59" s="15">
        <f>NetJanToFeb!D59+NetFebToMar!D59+NetMarToApr!D59+NetAprToMay!D59+NetMayToJun!D59+NetJunToJul!D59+NetJulToAug!D59+NetAugToSep!D59+NetSepToOct!D59+NetOctToNov!D59+NetNovToDec!D59</f>
        <v>71</v>
      </c>
      <c r="E59" s="15">
        <f>NetJanToFeb!E59+NetFebToMar!E59+NetMarToApr!E59+NetAprToMay!E59+NetMayToJun!E59+NetJunToJul!E59+NetJulToAug!E59+NetAugToSep!E59+NetSepToOct!E59+NetOctToNov!E59+NetNovToDec!E59</f>
        <v>-3993</v>
      </c>
      <c r="F59" s="14">
        <f t="shared" si="0"/>
        <v>-8704</v>
      </c>
    </row>
    <row r="60" spans="1:6" x14ac:dyDescent="0.25">
      <c r="A60" s="8" t="s">
        <v>155</v>
      </c>
      <c r="B60" s="15">
        <f>NetJanToFeb!B60+NetFebToMar!B60+NetMarToApr!B60+NetAprToMay!B60+NetMayToJun!B60+NetJunToJul!B60+NetJulToAug!B60+NetAugToSep!B60+NetSepToOct!B60+NetOctToNov!B60+NetNovToDec!B60</f>
        <v>-1217</v>
      </c>
      <c r="C60" s="15">
        <f>NetJanToFeb!C60+NetFebToMar!C60+NetMarToApr!C60+NetAprToMay!C60+NetMayToJun!C60+NetJunToJul!C60+NetJulToAug!C60+NetAugToSep!C60+NetSepToOct!C60+NetOctToNov!C60+NetNovToDec!C60</f>
        <v>-6379</v>
      </c>
      <c r="D60" s="15">
        <f>NetJanToFeb!D60+NetFebToMar!D60+NetMarToApr!D60+NetAprToMay!D60+NetMayToJun!D60+NetJunToJul!D60+NetJulToAug!D60+NetAugToSep!D60+NetSepToOct!D60+NetOctToNov!D60+NetNovToDec!D60</f>
        <v>833</v>
      </c>
      <c r="E60" s="15">
        <f>NetJanToFeb!E60+NetFebToMar!E60+NetMarToApr!E60+NetAprToMay!E60+NetMayToJun!E60+NetJunToJul!E60+NetJulToAug!E60+NetAugToSep!E60+NetSepToOct!E60+NetOctToNov!E60+NetNovToDec!E60</f>
        <v>-5955</v>
      </c>
      <c r="F60" s="14">
        <f t="shared" si="0"/>
        <v>-12718</v>
      </c>
    </row>
    <row r="61" spans="1:6" x14ac:dyDescent="0.25">
      <c r="A61" s="8" t="s">
        <v>156</v>
      </c>
      <c r="B61" s="15">
        <f>NetJanToFeb!B61+NetFebToMar!B61+NetMarToApr!B61+NetAprToMay!B61+NetMayToJun!B61+NetJunToJul!B61+NetJulToAug!B61+NetAugToSep!B61+NetSepToOct!B61+NetOctToNov!B61+NetNovToDec!B61</f>
        <v>-1879</v>
      </c>
      <c r="C61" s="15">
        <f>NetJanToFeb!C61+NetFebToMar!C61+NetMarToApr!C61+NetAprToMay!C61+NetMayToJun!C61+NetJunToJul!C61+NetJulToAug!C61+NetAugToSep!C61+NetSepToOct!C61+NetOctToNov!C61+NetNovToDec!C61</f>
        <v>-5145</v>
      </c>
      <c r="D61" s="15">
        <f>NetJanToFeb!D61+NetFebToMar!D61+NetMarToApr!D61+NetAprToMay!D61+NetMayToJun!D61+NetJunToJul!D61+NetJulToAug!D61+NetAugToSep!D61+NetSepToOct!D61+NetOctToNov!D61+NetNovToDec!D61</f>
        <v>506</v>
      </c>
      <c r="E61" s="15">
        <f>NetJanToFeb!E61+NetFebToMar!E61+NetMarToApr!E61+NetAprToMay!E61+NetMayToJun!E61+NetJunToJul!E61+NetJulToAug!E61+NetAugToSep!E61+NetSepToOct!E61+NetOctToNov!E61+NetNovToDec!E61</f>
        <v>-4111</v>
      </c>
      <c r="F61" s="14">
        <f t="shared" si="0"/>
        <v>-10629</v>
      </c>
    </row>
    <row r="62" spans="1:6" x14ac:dyDescent="0.25">
      <c r="A62" s="8" t="s">
        <v>157</v>
      </c>
      <c r="B62" s="15">
        <f>NetJanToFeb!B62+NetFebToMar!B62+NetMarToApr!B62+NetAprToMay!B62+NetMayToJun!B62+NetJunToJul!B62+NetJulToAug!B62+NetAugToSep!B62+NetSepToOct!B62+NetOctToNov!B62+NetNovToDec!B62</f>
        <v>283</v>
      </c>
      <c r="C62" s="15">
        <f>NetJanToFeb!C62+NetFebToMar!C62+NetMarToApr!C62+NetAprToMay!C62+NetMayToJun!C62+NetJunToJul!C62+NetJulToAug!C62+NetAugToSep!C62+NetSepToOct!C62+NetOctToNov!C62+NetNovToDec!C62</f>
        <v>-2801</v>
      </c>
      <c r="D62" s="15">
        <f>NetJanToFeb!D62+NetFebToMar!D62+NetMarToApr!D62+NetAprToMay!D62+NetMayToJun!D62+NetJunToJul!D62+NetJulToAug!D62+NetAugToSep!D62+NetSepToOct!D62+NetOctToNov!D62+NetNovToDec!D62</f>
        <v>282</v>
      </c>
      <c r="E62" s="15">
        <f>NetJanToFeb!E62+NetFebToMar!E62+NetMarToApr!E62+NetAprToMay!E62+NetMayToJun!E62+NetJunToJul!E62+NetJulToAug!E62+NetAugToSep!E62+NetSepToOct!E62+NetOctToNov!E62+NetNovToDec!E62</f>
        <v>-2022</v>
      </c>
      <c r="F62" s="14">
        <f t="shared" si="0"/>
        <v>-4258</v>
      </c>
    </row>
    <row r="63" spans="1:6" x14ac:dyDescent="0.25">
      <c r="A63" s="8" t="s">
        <v>158</v>
      </c>
      <c r="B63" s="15">
        <f>NetJanToFeb!B63+NetFebToMar!B63+NetMarToApr!B63+NetAprToMay!B63+NetMayToJun!B63+NetJunToJul!B63+NetJulToAug!B63+NetAugToSep!B63+NetSepToOct!B63+NetOctToNov!B63+NetNovToDec!B63</f>
        <v>351</v>
      </c>
      <c r="C63" s="15">
        <f>NetJanToFeb!C63+NetFebToMar!C63+NetMarToApr!C63+NetAprToMay!C63+NetMayToJun!C63+NetJunToJul!C63+NetJulToAug!C63+NetAugToSep!C63+NetSepToOct!C63+NetOctToNov!C63+NetNovToDec!C63</f>
        <v>-6050</v>
      </c>
      <c r="D63" s="15">
        <f>NetJanToFeb!D63+NetFebToMar!D63+NetMarToApr!D63+NetAprToMay!D63+NetMayToJun!D63+NetJunToJul!D63+NetJulToAug!D63+NetAugToSep!D63+NetSepToOct!D63+NetOctToNov!D63+NetNovToDec!D63</f>
        <v>642</v>
      </c>
      <c r="E63" s="15">
        <f>NetJanToFeb!E63+NetFebToMar!E63+NetMarToApr!E63+NetAprToMay!E63+NetMayToJun!E63+NetJunToJul!E63+NetJulToAug!E63+NetAugToSep!E63+NetSepToOct!E63+NetOctToNov!E63+NetNovToDec!E63</f>
        <v>-4900</v>
      </c>
      <c r="F63" s="14">
        <f t="shared" si="0"/>
        <v>-9957</v>
      </c>
    </row>
    <row r="64" spans="1:6" x14ac:dyDescent="0.25">
      <c r="A64" s="8" t="s">
        <v>159</v>
      </c>
      <c r="B64" s="15">
        <f>NetJanToFeb!B64+NetFebToMar!B64+NetMarToApr!B64+NetAprToMay!B64+NetMayToJun!B64+NetJunToJul!B64+NetJulToAug!B64+NetAugToSep!B64+NetSepToOct!B64+NetOctToNov!B64+NetNovToDec!B64</f>
        <v>1061</v>
      </c>
      <c r="C64" s="15">
        <f>NetJanToFeb!C64+NetFebToMar!C64+NetMarToApr!C64+NetAprToMay!C64+NetMayToJun!C64+NetJunToJul!C64+NetJulToAug!C64+NetAugToSep!C64+NetSepToOct!C64+NetOctToNov!C64+NetNovToDec!C64</f>
        <v>-1579</v>
      </c>
      <c r="D64" s="15">
        <f>NetJanToFeb!D64+NetFebToMar!D64+NetMarToApr!D64+NetAprToMay!D64+NetMayToJun!D64+NetJunToJul!D64+NetJulToAug!D64+NetAugToSep!D64+NetSepToOct!D64+NetOctToNov!D64+NetNovToDec!D64</f>
        <v>705</v>
      </c>
      <c r="E64" s="15">
        <f>NetJanToFeb!E64+NetFebToMar!E64+NetMarToApr!E64+NetAprToMay!E64+NetMayToJun!E64+NetJunToJul!E64+NetJulToAug!E64+NetAugToSep!E64+NetSepToOct!E64+NetOctToNov!E64+NetNovToDec!E64</f>
        <v>-1919</v>
      </c>
      <c r="F64" s="14">
        <f t="shared" si="0"/>
        <v>-1732</v>
      </c>
    </row>
    <row r="65" spans="1:6" x14ac:dyDescent="0.25">
      <c r="A65" s="8" t="s">
        <v>160</v>
      </c>
      <c r="B65" s="15">
        <f>NetJanToFeb!B65+NetFebToMar!B65+NetMarToApr!B65+NetAprToMay!B65+NetMayToJun!B65+NetJunToJul!B65+NetJulToAug!B65+NetAugToSep!B65+NetSepToOct!B65+NetOctToNov!B65+NetNovToDec!B65</f>
        <v>-531</v>
      </c>
      <c r="C65" s="15">
        <f>NetJanToFeb!C65+NetFebToMar!C65+NetMarToApr!C65+NetAprToMay!C65+NetMayToJun!C65+NetJunToJul!C65+NetJulToAug!C65+NetAugToSep!C65+NetSepToOct!C65+NetOctToNov!C65+NetNovToDec!C65</f>
        <v>-720</v>
      </c>
      <c r="D65" s="15">
        <f>NetJanToFeb!D65+NetFebToMar!D65+NetMarToApr!D65+NetAprToMay!D65+NetMayToJun!D65+NetJunToJul!D65+NetJulToAug!D65+NetAugToSep!D65+NetSepToOct!D65+NetOctToNov!D65+NetNovToDec!D65</f>
        <v>93</v>
      </c>
      <c r="E65" s="15">
        <f>NetJanToFeb!E65+NetFebToMar!E65+NetMarToApr!E65+NetAprToMay!E65+NetMayToJun!E65+NetJunToJul!E65+NetJulToAug!E65+NetAugToSep!E65+NetSepToOct!E65+NetOctToNov!E65+NetNovToDec!E65</f>
        <v>-566</v>
      </c>
      <c r="F65" s="14">
        <f t="shared" si="0"/>
        <v>-1724</v>
      </c>
    </row>
    <row r="66" spans="1:6" x14ac:dyDescent="0.25">
      <c r="A66" s="8" t="s">
        <v>161</v>
      </c>
      <c r="B66" s="15">
        <f>NetJanToFeb!B66+NetFebToMar!B66+NetMarToApr!B66+NetAprToMay!B66+NetMayToJun!B66+NetJunToJul!B66+NetJulToAug!B66+NetAugToSep!B66+NetSepToOct!B66+NetOctToNov!B66+NetNovToDec!B66</f>
        <v>-23</v>
      </c>
      <c r="C66" s="15">
        <f>NetJanToFeb!C66+NetFebToMar!C66+NetMarToApr!C66+NetAprToMay!C66+NetMayToJun!C66+NetJunToJul!C66+NetJulToAug!C66+NetAugToSep!C66+NetSepToOct!C66+NetOctToNov!C66+NetNovToDec!C66</f>
        <v>-129</v>
      </c>
      <c r="D66" s="15">
        <f>NetJanToFeb!D66+NetFebToMar!D66+NetMarToApr!D66+NetAprToMay!D66+NetMayToJun!D66+NetJunToJul!D66+NetJulToAug!D66+NetAugToSep!D66+NetSepToOct!D66+NetOctToNov!D66+NetNovToDec!D66</f>
        <v>39</v>
      </c>
      <c r="E66" s="15">
        <f>NetJanToFeb!E66+NetFebToMar!E66+NetMarToApr!E66+NetAprToMay!E66+NetMayToJun!E66+NetJunToJul!E66+NetJulToAug!E66+NetAugToSep!E66+NetSepToOct!E66+NetOctToNov!E66+NetNovToDec!E66</f>
        <v>-91</v>
      </c>
      <c r="F66" s="14">
        <f t="shared" si="0"/>
        <v>-204</v>
      </c>
    </row>
    <row r="67" spans="1:6" x14ac:dyDescent="0.25">
      <c r="A67" s="8" t="s">
        <v>162</v>
      </c>
      <c r="B67" s="15">
        <f>NetJanToFeb!B67+NetFebToMar!B67+NetMarToApr!B67+NetAprToMay!B67+NetMayToJun!B67+NetJunToJul!B67+NetJulToAug!B67+NetAugToSep!B67+NetSepToOct!B67+NetOctToNov!B67+NetNovToDec!B67</f>
        <v>-217</v>
      </c>
      <c r="C67" s="15">
        <f>NetJanToFeb!C67+NetFebToMar!C67+NetMarToApr!C67+NetAprToMay!C67+NetMayToJun!C67+NetJunToJul!C67+NetJulToAug!C67+NetAugToSep!C67+NetSepToOct!C67+NetOctToNov!C67+NetNovToDec!C67</f>
        <v>-194</v>
      </c>
      <c r="D67" s="15">
        <f>NetJanToFeb!D67+NetFebToMar!D67+NetMarToApr!D67+NetAprToMay!D67+NetMayToJun!D67+NetJunToJul!D67+NetJulToAug!D67+NetAugToSep!D67+NetSepToOct!D67+NetOctToNov!D67+NetNovToDec!D67</f>
        <v>-12</v>
      </c>
      <c r="E67" s="15">
        <f>NetJanToFeb!E67+NetFebToMar!E67+NetMarToApr!E67+NetAprToMay!E67+NetMayToJun!E67+NetJunToJul!E67+NetJulToAug!E67+NetAugToSep!E67+NetSepToOct!E67+NetOctToNov!E67+NetNovToDec!E67</f>
        <v>-82</v>
      </c>
      <c r="F67" s="14">
        <f t="shared" si="0"/>
        <v>-505</v>
      </c>
    </row>
    <row r="68" spans="1:6" x14ac:dyDescent="0.25">
      <c r="A68" s="8" t="s">
        <v>163</v>
      </c>
      <c r="B68" s="15">
        <f>NetJanToFeb!B68+NetFebToMar!B68+NetMarToApr!B68+NetAprToMay!B68+NetMayToJun!B68+NetJunToJul!B68+NetJulToAug!B68+NetAugToSep!B68+NetSepToOct!B68+NetOctToNov!B68+NetNovToDec!B68</f>
        <v>-789</v>
      </c>
      <c r="C68" s="15">
        <f>NetJanToFeb!C68+NetFebToMar!C68+NetMarToApr!C68+NetAprToMay!C68+NetMayToJun!C68+NetJunToJul!C68+NetJulToAug!C68+NetAugToSep!C68+NetSepToOct!C68+NetOctToNov!C68+NetNovToDec!C68</f>
        <v>-4681</v>
      </c>
      <c r="D68" s="15">
        <f>NetJanToFeb!D68+NetFebToMar!D68+NetMarToApr!D68+NetAprToMay!D68+NetMayToJun!D68+NetJunToJul!D68+NetJulToAug!D68+NetAugToSep!D68+NetSepToOct!D68+NetOctToNov!D68+NetNovToDec!D68</f>
        <v>1800</v>
      </c>
      <c r="E68" s="15">
        <f>NetJanToFeb!E68+NetFebToMar!E68+NetMarToApr!E68+NetAprToMay!E68+NetMayToJun!E68+NetJunToJul!E68+NetJulToAug!E68+NetAugToSep!E68+NetSepToOct!E68+NetOctToNov!E68+NetNovToDec!E68</f>
        <v>-3910</v>
      </c>
      <c r="F68" s="14">
        <f t="shared" si="0"/>
        <v>-7580</v>
      </c>
    </row>
    <row r="69" spans="1:6" x14ac:dyDescent="0.25">
      <c r="A69" s="8" t="s">
        <v>164</v>
      </c>
      <c r="B69" s="15">
        <f>NetJanToFeb!B69+NetFebToMar!B69+NetMarToApr!B69+NetAprToMay!B69+NetMayToJun!B69+NetJunToJul!B69+NetJulToAug!B69+NetAugToSep!B69+NetSepToOct!B69+NetOctToNov!B69+NetNovToDec!B69</f>
        <v>560</v>
      </c>
      <c r="C69" s="15">
        <f>NetJanToFeb!C69+NetFebToMar!C69+NetMarToApr!C69+NetAprToMay!C69+NetMayToJun!C69+NetJunToJul!C69+NetJulToAug!C69+NetAugToSep!C69+NetSepToOct!C69+NetOctToNov!C69+NetNovToDec!C69</f>
        <v>-67</v>
      </c>
      <c r="D69" s="15">
        <f>NetJanToFeb!D69+NetFebToMar!D69+NetMarToApr!D69+NetAprToMay!D69+NetMayToJun!D69+NetJunToJul!D69+NetJulToAug!D69+NetAugToSep!D69+NetSepToOct!D69+NetOctToNov!D69+NetNovToDec!D69</f>
        <v>146</v>
      </c>
      <c r="E69" s="15">
        <f>NetJanToFeb!E69+NetFebToMar!E69+NetMarToApr!E69+NetAprToMay!E69+NetMayToJun!E69+NetJunToJul!E69+NetJulToAug!E69+NetAugToSep!E69+NetSepToOct!E69+NetOctToNov!E69+NetNovToDec!E69</f>
        <v>35</v>
      </c>
      <c r="F69" s="14">
        <f t="shared" si="0"/>
        <v>674</v>
      </c>
    </row>
    <row r="70" spans="1:6" x14ac:dyDescent="0.25">
      <c r="A70" s="8" t="s">
        <v>165</v>
      </c>
      <c r="B70" s="15">
        <f>NetJanToFeb!B70+NetFebToMar!B70+NetMarToApr!B70+NetAprToMay!B70+NetMayToJun!B70+NetJunToJul!B70+NetJulToAug!B70+NetAugToSep!B70+NetSepToOct!B70+NetOctToNov!B70+NetNovToDec!B70</f>
        <v>87</v>
      </c>
      <c r="C70" s="15">
        <f>NetJanToFeb!C70+NetFebToMar!C70+NetMarToApr!C70+NetAprToMay!C70+NetMayToJun!C70+NetJunToJul!C70+NetJulToAug!C70+NetAugToSep!C70+NetSepToOct!C70+NetOctToNov!C70+NetNovToDec!C70</f>
        <v>-609</v>
      </c>
      <c r="D70" s="15">
        <f>NetJanToFeb!D70+NetFebToMar!D70+NetMarToApr!D70+NetAprToMay!D70+NetMayToJun!D70+NetJunToJul!D70+NetJulToAug!D70+NetAugToSep!D70+NetSepToOct!D70+NetOctToNov!D70+NetNovToDec!D70</f>
        <v>177</v>
      </c>
      <c r="E70" s="15">
        <f>NetJanToFeb!E70+NetFebToMar!E70+NetMarToApr!E70+NetAprToMay!E70+NetMayToJun!E70+NetJunToJul!E70+NetJulToAug!E70+NetAugToSep!E70+NetSepToOct!E70+NetOctToNov!E70+NetNovToDec!E70</f>
        <v>-1160</v>
      </c>
      <c r="F70" s="14">
        <f t="shared" ref="F70:F71" si="1">SUM(B70:E70)</f>
        <v>-1505</v>
      </c>
    </row>
    <row r="71" spans="1:6" ht="15.75" thickBot="1" x14ac:dyDescent="0.3">
      <c r="A71" s="8" t="s">
        <v>166</v>
      </c>
      <c r="B71" s="15">
        <f>NetJanToFeb!B71+NetFebToMar!B71+NetMarToApr!B71+NetAprToMay!B71+NetMayToJun!B71+NetJunToJul!B71+NetJulToAug!B71+NetAugToSep!B71+NetSepToOct!B71+NetOctToNov!B71+NetNovToDec!B71</f>
        <v>421</v>
      </c>
      <c r="C71" s="15">
        <f>NetJanToFeb!C71+NetFebToMar!C71+NetMarToApr!C71+NetAprToMay!C71+NetMayToJun!C71+NetJunToJul!C71+NetJulToAug!C71+NetAugToSep!C71+NetSepToOct!C71+NetOctToNov!C71+NetNovToDec!C71</f>
        <v>-19</v>
      </c>
      <c r="D71" s="15">
        <f>NetJanToFeb!D71+NetFebToMar!D71+NetMarToApr!D71+NetAprToMay!D71+NetMayToJun!D71+NetJunToJul!D71+NetJulToAug!D71+NetAugToSep!D71+NetSepToOct!D71+NetOctToNov!D71+NetNovToDec!D71</f>
        <v>58</v>
      </c>
      <c r="E71" s="15">
        <f>NetJanToFeb!E71+NetFebToMar!E71+NetMarToApr!E71+NetAprToMay!E71+NetMayToJun!E71+NetJunToJul!E71+NetJulToAug!E71+NetAugToSep!E71+NetSepToOct!E71+NetOctToNov!E71+NetNovToDec!E71</f>
        <v>83</v>
      </c>
      <c r="F71" s="14">
        <f t="shared" si="1"/>
        <v>543</v>
      </c>
    </row>
    <row r="72" spans="1:6" ht="16.5" thickTop="1" thickBot="1" x14ac:dyDescent="0.3">
      <c r="A72" s="2" t="s">
        <v>0</v>
      </c>
      <c r="B72" s="6">
        <f>SUM(B5:B71)</f>
        <v>-133746</v>
      </c>
      <c r="C72" s="6">
        <f>SUM(C5:C71)</f>
        <v>-419202</v>
      </c>
      <c r="D72" s="6">
        <f>SUM(D5:D71)</f>
        <v>26572</v>
      </c>
      <c r="E72" s="6">
        <f>SUM(E5:E71)</f>
        <v>-380133</v>
      </c>
      <c r="F72" s="6">
        <f>SUM(F5:F71)</f>
        <v>-906509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Affiliation by County</dc:title>
  <dc:creator>Lustria, Erica A.</dc:creator>
  <cp:lastModifiedBy>Schroeder, Terri J.</cp:lastModifiedBy>
  <cp:lastPrinted>2021-02-09T14:53:55Z</cp:lastPrinted>
  <dcterms:created xsi:type="dcterms:W3CDTF">2017-02-20T20:01:51Z</dcterms:created>
  <dcterms:modified xsi:type="dcterms:W3CDTF">2026-01-09T13:22:45Z</dcterms:modified>
</cp:coreProperties>
</file>