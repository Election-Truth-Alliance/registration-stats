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mosca\Desktop\monthly voter registration reports\"/>
    </mc:Choice>
  </mc:AlternateContent>
  <bookViews>
    <workbookView xWindow="0" yWindow="0" windowWidth="28800" windowHeight="12990" firstSheet="16" activeTab="23"/>
  </bookViews>
  <sheets>
    <sheet name="January" sheetId="1" r:id="rId1"/>
    <sheet name="February" sheetId="2" r:id="rId2"/>
    <sheet name="March" sheetId="3" r:id="rId3"/>
    <sheet name="April" sheetId="14" r:id="rId4"/>
    <sheet name="May" sheetId="15" r:id="rId5"/>
    <sheet name="June" sheetId="16" r:id="rId6"/>
    <sheet name="July" sheetId="17" r:id="rId7"/>
    <sheet name="August" sheetId="18" r:id="rId8"/>
    <sheet name="September" sheetId="19" r:id="rId9"/>
    <sheet name="October" sheetId="20" r:id="rId10"/>
    <sheet name="November" sheetId="21" r:id="rId11"/>
    <sheet name="December" sheetId="22" r:id="rId12"/>
    <sheet name="NetJanToFeb" sheetId="23" r:id="rId13"/>
    <sheet name="NetFebToMar" sheetId="24" r:id="rId14"/>
    <sheet name="NetMarToApr" sheetId="25" r:id="rId15"/>
    <sheet name="NetAprToMay" sheetId="26" r:id="rId16"/>
    <sheet name="NetMayToJun" sheetId="27" r:id="rId17"/>
    <sheet name="NetJunToJul" sheetId="28" r:id="rId18"/>
    <sheet name="NetJulToAug" sheetId="29" r:id="rId19"/>
    <sheet name="NetAugToSep" sheetId="30" r:id="rId20"/>
    <sheet name="NetSepToOct" sheetId="31" r:id="rId21"/>
    <sheet name="NetOctToNov" sheetId="32" r:id="rId22"/>
    <sheet name="NetNovToDec" sheetId="33" r:id="rId23"/>
    <sheet name="Net-Year-to-Date Total" sheetId="34" r:id="rId24"/>
  </sheets>
  <calcPr calcId="162913"/>
</workbook>
</file>

<file path=xl/calcChain.xml><?xml version="1.0" encoding="utf-8"?>
<calcChain xmlns="http://schemas.openxmlformats.org/spreadsheetml/2006/main">
  <c r="F72" i="33" l="1"/>
  <c r="E72" i="33"/>
  <c r="D72" i="33"/>
  <c r="C72" i="33"/>
  <c r="B72" i="33"/>
  <c r="F71" i="33"/>
  <c r="F70" i="33"/>
  <c r="F69" i="33"/>
  <c r="F68" i="33"/>
  <c r="F67" i="33"/>
  <c r="F66" i="33"/>
  <c r="F65" i="33"/>
  <c r="F64" i="33"/>
  <c r="F63" i="33"/>
  <c r="F62" i="33"/>
  <c r="F61" i="33"/>
  <c r="F60" i="33"/>
  <c r="F59" i="33"/>
  <c r="F58" i="33"/>
  <c r="F57" i="33"/>
  <c r="F56" i="33"/>
  <c r="F55" i="33"/>
  <c r="F54" i="33"/>
  <c r="F53" i="33"/>
  <c r="F52" i="33"/>
  <c r="F51" i="33"/>
  <c r="F50" i="33"/>
  <c r="F49" i="33"/>
  <c r="F48" i="33"/>
  <c r="F47" i="33"/>
  <c r="F46" i="33"/>
  <c r="F45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F8" i="33"/>
  <c r="F7" i="33"/>
  <c r="F6" i="33"/>
  <c r="F5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E5" i="33"/>
  <c r="D5" i="33"/>
  <c r="C5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E72" i="22"/>
  <c r="D72" i="22"/>
  <c r="C72" i="22"/>
  <c r="B72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72" i="32" l="1"/>
  <c r="E72" i="32"/>
  <c r="D72" i="32"/>
  <c r="C72" i="32"/>
  <c r="B72" i="32"/>
  <c r="F71" i="32"/>
  <c r="F70" i="32"/>
  <c r="F69" i="32"/>
  <c r="F68" i="32"/>
  <c r="F67" i="32"/>
  <c r="F66" i="32"/>
  <c r="F65" i="32"/>
  <c r="F64" i="32"/>
  <c r="F63" i="32"/>
  <c r="F62" i="32"/>
  <c r="F61" i="32"/>
  <c r="F60" i="32"/>
  <c r="F59" i="32"/>
  <c r="F58" i="32"/>
  <c r="F57" i="32"/>
  <c r="F56" i="32"/>
  <c r="F55" i="32"/>
  <c r="F54" i="32"/>
  <c r="F53" i="32"/>
  <c r="F52" i="32"/>
  <c r="F51" i="32"/>
  <c r="F50" i="32"/>
  <c r="F49" i="32"/>
  <c r="F48" i="32"/>
  <c r="F47" i="32"/>
  <c r="F46" i="32"/>
  <c r="F45" i="32"/>
  <c r="F44" i="32"/>
  <c r="F43" i="32"/>
  <c r="F42" i="32"/>
  <c r="F41" i="32"/>
  <c r="F40" i="32"/>
  <c r="F39" i="32"/>
  <c r="F38" i="32"/>
  <c r="F37" i="32"/>
  <c r="F36" i="32"/>
  <c r="F35" i="32"/>
  <c r="F34" i="32"/>
  <c r="F33" i="32"/>
  <c r="F32" i="32"/>
  <c r="F31" i="32"/>
  <c r="F30" i="32"/>
  <c r="F29" i="32"/>
  <c r="F28" i="32"/>
  <c r="F27" i="32"/>
  <c r="F26" i="32"/>
  <c r="F25" i="32"/>
  <c r="F24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8" i="32"/>
  <c r="F7" i="32"/>
  <c r="F6" i="32"/>
  <c r="F5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C71" i="32"/>
  <c r="C70" i="32"/>
  <c r="C69" i="32"/>
  <c r="C68" i="32"/>
  <c r="C67" i="32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C53" i="32"/>
  <c r="C52" i="32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F72" i="21"/>
  <c r="E72" i="21"/>
  <c r="D72" i="21"/>
  <c r="C72" i="21"/>
  <c r="B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72" i="31" l="1"/>
  <c r="E72" i="31"/>
  <c r="D72" i="31"/>
  <c r="C72" i="31"/>
  <c r="B72" i="31"/>
  <c r="F71" i="31"/>
  <c r="F70" i="31"/>
  <c r="F69" i="31"/>
  <c r="F68" i="31"/>
  <c r="F67" i="31"/>
  <c r="F66" i="31"/>
  <c r="F65" i="31"/>
  <c r="F64" i="31"/>
  <c r="F63" i="31"/>
  <c r="F62" i="31"/>
  <c r="F61" i="31"/>
  <c r="F60" i="31"/>
  <c r="F59" i="31"/>
  <c r="F58" i="31"/>
  <c r="F57" i="31"/>
  <c r="F56" i="31"/>
  <c r="F55" i="31"/>
  <c r="F54" i="31"/>
  <c r="F53" i="31"/>
  <c r="F52" i="31"/>
  <c r="F51" i="31"/>
  <c r="F50" i="31"/>
  <c r="F49" i="31"/>
  <c r="F48" i="31"/>
  <c r="F47" i="31"/>
  <c r="F46" i="31"/>
  <c r="F45" i="31"/>
  <c r="F44" i="31"/>
  <c r="F43" i="31"/>
  <c r="F42" i="31"/>
  <c r="F41" i="31"/>
  <c r="F40" i="31"/>
  <c r="F39" i="31"/>
  <c r="F38" i="31"/>
  <c r="F37" i="31"/>
  <c r="F36" i="31"/>
  <c r="F35" i="31"/>
  <c r="F34" i="31"/>
  <c r="F33" i="31"/>
  <c r="F32" i="31"/>
  <c r="F31" i="31"/>
  <c r="F30" i="31"/>
  <c r="F29" i="31"/>
  <c r="F28" i="31"/>
  <c r="F27" i="3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E71" i="3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F72" i="20"/>
  <c r="E72" i="20"/>
  <c r="D72" i="20"/>
  <c r="C72" i="20"/>
  <c r="B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B5" i="30" l="1"/>
  <c r="E71" i="30" l="1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D71" i="30"/>
  <c r="D70" i="30"/>
  <c r="D69" i="30"/>
  <c r="D68" i="30"/>
  <c r="D67" i="30"/>
  <c r="F67" i="30" s="1"/>
  <c r="D66" i="30"/>
  <c r="D65" i="30"/>
  <c r="D64" i="30"/>
  <c r="D63" i="30"/>
  <c r="F63" i="30" s="1"/>
  <c r="D62" i="30"/>
  <c r="D61" i="30"/>
  <c r="D60" i="30"/>
  <c r="D59" i="30"/>
  <c r="F59" i="30" s="1"/>
  <c r="D58" i="30"/>
  <c r="D57" i="30"/>
  <c r="D56" i="30"/>
  <c r="D55" i="30"/>
  <c r="F55" i="30" s="1"/>
  <c r="D54" i="30"/>
  <c r="D53" i="30"/>
  <c r="D52" i="30"/>
  <c r="D51" i="30"/>
  <c r="F51" i="30" s="1"/>
  <c r="D50" i="30"/>
  <c r="D49" i="30"/>
  <c r="D48" i="30"/>
  <c r="D47" i="30"/>
  <c r="F47" i="30" s="1"/>
  <c r="D46" i="30"/>
  <c r="D45" i="30"/>
  <c r="D44" i="30"/>
  <c r="D43" i="30"/>
  <c r="F43" i="30" s="1"/>
  <c r="D42" i="30"/>
  <c r="D41" i="30"/>
  <c r="D40" i="30"/>
  <c r="D39" i="30"/>
  <c r="F39" i="30" s="1"/>
  <c r="D38" i="30"/>
  <c r="D37" i="30"/>
  <c r="D36" i="30"/>
  <c r="D35" i="30"/>
  <c r="F35" i="30" s="1"/>
  <c r="D34" i="30"/>
  <c r="D33" i="30"/>
  <c r="D32" i="30"/>
  <c r="D31" i="30"/>
  <c r="F31" i="30" s="1"/>
  <c r="D30" i="30"/>
  <c r="D29" i="30"/>
  <c r="D28" i="30"/>
  <c r="D27" i="30"/>
  <c r="F27" i="30" s="1"/>
  <c r="D26" i="30"/>
  <c r="D25" i="30"/>
  <c r="D24" i="30"/>
  <c r="D23" i="30"/>
  <c r="F23" i="30" s="1"/>
  <c r="D22" i="30"/>
  <c r="D21" i="30"/>
  <c r="D20" i="30"/>
  <c r="D19" i="30"/>
  <c r="F19" i="30" s="1"/>
  <c r="D18" i="30"/>
  <c r="D17" i="30"/>
  <c r="D16" i="30"/>
  <c r="D15" i="30"/>
  <c r="F15" i="30" s="1"/>
  <c r="D14" i="30"/>
  <c r="D13" i="30"/>
  <c r="D12" i="30"/>
  <c r="D11" i="30"/>
  <c r="F11" i="30" s="1"/>
  <c r="D10" i="30"/>
  <c r="D9" i="30"/>
  <c r="D8" i="30"/>
  <c r="D7" i="30"/>
  <c r="D72" i="30" s="1"/>
  <c r="D6" i="30"/>
  <c r="D5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72" i="30" s="1"/>
  <c r="C5" i="30"/>
  <c r="B71" i="30"/>
  <c r="B70" i="30"/>
  <c r="B69" i="30"/>
  <c r="F69" i="30" s="1"/>
  <c r="B68" i="30"/>
  <c r="B67" i="30"/>
  <c r="B66" i="30"/>
  <c r="B65" i="30"/>
  <c r="F65" i="30" s="1"/>
  <c r="B64" i="30"/>
  <c r="B63" i="30"/>
  <c r="B62" i="30"/>
  <c r="B61" i="30"/>
  <c r="F61" i="30" s="1"/>
  <c r="B60" i="30"/>
  <c r="B59" i="30"/>
  <c r="B58" i="30"/>
  <c r="B57" i="30"/>
  <c r="F57" i="30" s="1"/>
  <c r="B56" i="30"/>
  <c r="B55" i="30"/>
  <c r="B54" i="30"/>
  <c r="B53" i="30"/>
  <c r="F53" i="30" s="1"/>
  <c r="B52" i="30"/>
  <c r="B51" i="30"/>
  <c r="B50" i="30"/>
  <c r="B49" i="30"/>
  <c r="F49" i="30" s="1"/>
  <c r="B48" i="30"/>
  <c r="B47" i="30"/>
  <c r="B46" i="30"/>
  <c r="B45" i="30"/>
  <c r="F45" i="30" s="1"/>
  <c r="B44" i="30"/>
  <c r="B43" i="30"/>
  <c r="B42" i="30"/>
  <c r="B41" i="30"/>
  <c r="F41" i="30" s="1"/>
  <c r="B40" i="30"/>
  <c r="B39" i="30"/>
  <c r="B38" i="30"/>
  <c r="B37" i="30"/>
  <c r="F37" i="30" s="1"/>
  <c r="B36" i="30"/>
  <c r="B35" i="30"/>
  <c r="B34" i="30"/>
  <c r="B33" i="30"/>
  <c r="F33" i="30" s="1"/>
  <c r="B32" i="30"/>
  <c r="B31" i="30"/>
  <c r="B30" i="30"/>
  <c r="B29" i="30"/>
  <c r="F29" i="30" s="1"/>
  <c r="B28" i="30"/>
  <c r="B27" i="30"/>
  <c r="B26" i="30"/>
  <c r="B25" i="30"/>
  <c r="F25" i="30" s="1"/>
  <c r="B24" i="30"/>
  <c r="B23" i="30"/>
  <c r="B22" i="30"/>
  <c r="B21" i="30"/>
  <c r="F21" i="30" s="1"/>
  <c r="B20" i="30"/>
  <c r="B19" i="30"/>
  <c r="B18" i="30"/>
  <c r="B17" i="30"/>
  <c r="F17" i="30" s="1"/>
  <c r="B16" i="30"/>
  <c r="B15" i="30"/>
  <c r="B14" i="30"/>
  <c r="B13" i="30"/>
  <c r="F13" i="30" s="1"/>
  <c r="B12" i="30"/>
  <c r="B11" i="30"/>
  <c r="B10" i="30"/>
  <c r="B9" i="30"/>
  <c r="F9" i="30" s="1"/>
  <c r="B8" i="30"/>
  <c r="B7" i="30"/>
  <c r="B6" i="30"/>
  <c r="F5" i="30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E72" i="19"/>
  <c r="D72" i="19"/>
  <c r="C72" i="19"/>
  <c r="B72" i="19"/>
  <c r="F6" i="30" l="1"/>
  <c r="F10" i="30"/>
  <c r="F14" i="30"/>
  <c r="F18" i="30"/>
  <c r="F22" i="30"/>
  <c r="F26" i="30"/>
  <c r="F30" i="30"/>
  <c r="F34" i="30"/>
  <c r="F38" i="30"/>
  <c r="F42" i="30"/>
  <c r="F46" i="30"/>
  <c r="F50" i="30"/>
  <c r="F54" i="30"/>
  <c r="F58" i="30"/>
  <c r="F62" i="30"/>
  <c r="F66" i="30"/>
  <c r="F70" i="30"/>
  <c r="F8" i="30"/>
  <c r="F12" i="30"/>
  <c r="F16" i="30"/>
  <c r="F20" i="30"/>
  <c r="F24" i="30"/>
  <c r="F28" i="30"/>
  <c r="F32" i="30"/>
  <c r="F36" i="30"/>
  <c r="F40" i="30"/>
  <c r="F44" i="30"/>
  <c r="F48" i="30"/>
  <c r="F52" i="30"/>
  <c r="F56" i="30"/>
  <c r="F60" i="30"/>
  <c r="F64" i="30"/>
  <c r="F68" i="30"/>
  <c r="F7" i="30"/>
  <c r="F72" i="19"/>
  <c r="B72" i="30"/>
  <c r="E72" i="30"/>
  <c r="F71" i="30"/>
  <c r="F72" i="30" s="1"/>
  <c r="B72" i="29"/>
  <c r="C72" i="29"/>
  <c r="D72" i="29"/>
  <c r="E72" i="29"/>
  <c r="F72" i="29"/>
  <c r="F71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E71" i="29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E72" i="18"/>
  <c r="D72" i="18"/>
  <c r="C72" i="18"/>
  <c r="B72" i="18"/>
  <c r="E71" i="34" l="1"/>
  <c r="E70" i="34"/>
  <c r="E69" i="34"/>
  <c r="E68" i="34"/>
  <c r="E67" i="34"/>
  <c r="E66" i="34"/>
  <c r="E65" i="34"/>
  <c r="E64" i="34"/>
  <c r="E63" i="34"/>
  <c r="E62" i="34"/>
  <c r="E61" i="34"/>
  <c r="E60" i="34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F11" i="34" l="1"/>
  <c r="F23" i="34"/>
  <c r="F31" i="34"/>
  <c r="F43" i="34"/>
  <c r="F51" i="34"/>
  <c r="F59" i="34"/>
  <c r="F63" i="34"/>
  <c r="F67" i="34"/>
  <c r="D72" i="34"/>
  <c r="F7" i="34"/>
  <c r="F15" i="34"/>
  <c r="F19" i="34"/>
  <c r="F27" i="34"/>
  <c r="F35" i="34"/>
  <c r="F39" i="34"/>
  <c r="F47" i="34"/>
  <c r="F55" i="34"/>
  <c r="F71" i="34"/>
  <c r="F10" i="34"/>
  <c r="F30" i="34"/>
  <c r="F70" i="34"/>
  <c r="F18" i="34"/>
  <c r="F26" i="34"/>
  <c r="F38" i="34"/>
  <c r="F66" i="34"/>
  <c r="F6" i="34"/>
  <c r="F14" i="34"/>
  <c r="F22" i="34"/>
  <c r="F34" i="34"/>
  <c r="F42" i="34"/>
  <c r="F46" i="34"/>
  <c r="F50" i="34"/>
  <c r="F54" i="34"/>
  <c r="F58" i="34"/>
  <c r="F62" i="34"/>
  <c r="E72" i="34"/>
  <c r="F8" i="34"/>
  <c r="F24" i="34"/>
  <c r="C72" i="34"/>
  <c r="F9" i="34"/>
  <c r="F13" i="34"/>
  <c r="F17" i="34"/>
  <c r="F21" i="34"/>
  <c r="F25" i="34"/>
  <c r="F29" i="34"/>
  <c r="F33" i="34"/>
  <c r="F37" i="34"/>
  <c r="F41" i="34"/>
  <c r="F45" i="34"/>
  <c r="F49" i="34"/>
  <c r="F53" i="34"/>
  <c r="F57" i="34"/>
  <c r="F61" i="34"/>
  <c r="F65" i="34"/>
  <c r="F69" i="34"/>
  <c r="F12" i="34"/>
  <c r="F16" i="34"/>
  <c r="F20" i="34"/>
  <c r="F28" i="34"/>
  <c r="F32" i="34"/>
  <c r="F36" i="34"/>
  <c r="F40" i="34"/>
  <c r="F44" i="34"/>
  <c r="F48" i="34"/>
  <c r="F52" i="34"/>
  <c r="F56" i="34"/>
  <c r="F60" i="34"/>
  <c r="F64" i="34"/>
  <c r="F68" i="34"/>
  <c r="F72" i="28"/>
  <c r="E72" i="28"/>
  <c r="D72" i="28"/>
  <c r="C72" i="28"/>
  <c r="B72" i="28"/>
  <c r="F71" i="28"/>
  <c r="F70" i="28"/>
  <c r="F69" i="28"/>
  <c r="F68" i="28"/>
  <c r="F67" i="28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F72" i="17"/>
  <c r="E72" i="17"/>
  <c r="D72" i="17"/>
  <c r="C72" i="17"/>
  <c r="B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E71" i="27" l="1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D71" i="27"/>
  <c r="D70" i="27"/>
  <c r="D69" i="27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37" i="27"/>
  <c r="D36" i="27"/>
  <c r="D35" i="27"/>
  <c r="D34" i="27"/>
  <c r="D33" i="27"/>
  <c r="D32" i="27"/>
  <c r="D31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2" i="27" s="1"/>
  <c r="D7" i="27"/>
  <c r="D6" i="27"/>
  <c r="D5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2" i="27" s="1"/>
  <c r="C7" i="27"/>
  <c r="C6" i="27"/>
  <c r="C5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72" i="27"/>
  <c r="F71" i="27"/>
  <c r="F70" i="27"/>
  <c r="F69" i="27"/>
  <c r="F67" i="27"/>
  <c r="F66" i="27"/>
  <c r="F65" i="27"/>
  <c r="F63" i="27"/>
  <c r="F62" i="27"/>
  <c r="F61" i="27"/>
  <c r="F59" i="27"/>
  <c r="F58" i="27"/>
  <c r="F57" i="27"/>
  <c r="F55" i="27"/>
  <c r="F54" i="27"/>
  <c r="F53" i="27"/>
  <c r="F51" i="27"/>
  <c r="F50" i="27"/>
  <c r="F49" i="27"/>
  <c r="F47" i="27"/>
  <c r="F46" i="27"/>
  <c r="F45" i="27"/>
  <c r="F43" i="27"/>
  <c r="F42" i="27"/>
  <c r="F41" i="27"/>
  <c r="F39" i="27"/>
  <c r="F38" i="27"/>
  <c r="F37" i="27"/>
  <c r="F35" i="27"/>
  <c r="F34" i="27"/>
  <c r="F33" i="27"/>
  <c r="F31" i="27"/>
  <c r="F30" i="27"/>
  <c r="F29" i="27"/>
  <c r="F27" i="27"/>
  <c r="F26" i="27"/>
  <c r="F25" i="27"/>
  <c r="F23" i="27"/>
  <c r="F22" i="27"/>
  <c r="F21" i="27"/>
  <c r="F19" i="27"/>
  <c r="F18" i="27"/>
  <c r="F17" i="27"/>
  <c r="F15" i="27"/>
  <c r="F14" i="27"/>
  <c r="F13" i="27"/>
  <c r="F11" i="27"/>
  <c r="F10" i="27"/>
  <c r="F9" i="27"/>
  <c r="F7" i="27"/>
  <c r="F6" i="27"/>
  <c r="E72" i="27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F57" i="26" s="1"/>
  <c r="E56" i="26"/>
  <c r="E55" i="26"/>
  <c r="E54" i="26"/>
  <c r="E53" i="26"/>
  <c r="F53" i="26" s="1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F25" i="26" s="1"/>
  <c r="E24" i="26"/>
  <c r="E23" i="26"/>
  <c r="E22" i="26"/>
  <c r="E21" i="26"/>
  <c r="F21" i="26" s="1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2" i="26" s="1"/>
  <c r="E7" i="26"/>
  <c r="E6" i="26"/>
  <c r="E5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2" i="26" s="1"/>
  <c r="C7" i="26"/>
  <c r="C6" i="26"/>
  <c r="C5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F71" i="26"/>
  <c r="F70" i="26"/>
  <c r="F69" i="26"/>
  <c r="F67" i="26"/>
  <c r="F66" i="26"/>
  <c r="F63" i="26"/>
  <c r="F62" i="26"/>
  <c r="F59" i="26"/>
  <c r="F58" i="26"/>
  <c r="F55" i="26"/>
  <c r="F54" i="26"/>
  <c r="F51" i="26"/>
  <c r="F50" i="26"/>
  <c r="F47" i="26"/>
  <c r="F46" i="26"/>
  <c r="F43" i="26"/>
  <c r="F42" i="26"/>
  <c r="F41" i="26"/>
  <c r="F39" i="26"/>
  <c r="F38" i="26"/>
  <c r="F37" i="26"/>
  <c r="F35" i="26"/>
  <c r="F34" i="26"/>
  <c r="F31" i="26"/>
  <c r="F30" i="26"/>
  <c r="F27" i="26"/>
  <c r="F26" i="26"/>
  <c r="F23" i="26"/>
  <c r="F22" i="26"/>
  <c r="F19" i="26"/>
  <c r="F18" i="26"/>
  <c r="F15" i="26"/>
  <c r="F14" i="26"/>
  <c r="F11" i="26"/>
  <c r="F10" i="26"/>
  <c r="F9" i="26"/>
  <c r="F7" i="26"/>
  <c r="F6" i="26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F53" i="25" s="1"/>
  <c r="E52" i="25"/>
  <c r="E51" i="25"/>
  <c r="E50" i="25"/>
  <c r="E49" i="25"/>
  <c r="F49" i="25" s="1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F21" i="25" s="1"/>
  <c r="E20" i="25"/>
  <c r="E19" i="25"/>
  <c r="E18" i="25"/>
  <c r="E17" i="25"/>
  <c r="F17" i="25" s="1"/>
  <c r="E16" i="25"/>
  <c r="E15" i="25"/>
  <c r="E14" i="25"/>
  <c r="E13" i="25"/>
  <c r="E12" i="25"/>
  <c r="E11" i="25"/>
  <c r="E10" i="25"/>
  <c r="E9" i="25"/>
  <c r="E8" i="25"/>
  <c r="E7" i="25"/>
  <c r="E6" i="25"/>
  <c r="E5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F6" i="25"/>
  <c r="C5" i="25"/>
  <c r="B71" i="25"/>
  <c r="B70" i="25"/>
  <c r="B69" i="25"/>
  <c r="B68" i="25"/>
  <c r="B67" i="25"/>
  <c r="B66" i="25"/>
  <c r="B65" i="25"/>
  <c r="B64" i="25"/>
  <c r="B63" i="25"/>
  <c r="B62" i="25"/>
  <c r="B61" i="25"/>
  <c r="B60" i="25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2" i="25" s="1"/>
  <c r="B7" i="25"/>
  <c r="B6" i="25"/>
  <c r="B5" i="25"/>
  <c r="F71" i="25"/>
  <c r="F70" i="25"/>
  <c r="F69" i="25"/>
  <c r="F67" i="25"/>
  <c r="F66" i="25"/>
  <c r="F65" i="25"/>
  <c r="F63" i="25"/>
  <c r="F62" i="25"/>
  <c r="F59" i="25"/>
  <c r="F58" i="25"/>
  <c r="F55" i="25"/>
  <c r="F54" i="25"/>
  <c r="F51" i="25"/>
  <c r="F50" i="25"/>
  <c r="F47" i="25"/>
  <c r="F46" i="25"/>
  <c r="F43" i="25"/>
  <c r="F42" i="25"/>
  <c r="F39" i="25"/>
  <c r="F38" i="25"/>
  <c r="F37" i="25"/>
  <c r="F35" i="25"/>
  <c r="F34" i="25"/>
  <c r="F33" i="25"/>
  <c r="F31" i="25"/>
  <c r="F30" i="25"/>
  <c r="F27" i="25"/>
  <c r="F26" i="25"/>
  <c r="F23" i="25"/>
  <c r="F22" i="25"/>
  <c r="F19" i="25"/>
  <c r="F18" i="25"/>
  <c r="F15" i="25"/>
  <c r="F14" i="25"/>
  <c r="F11" i="25"/>
  <c r="F10" i="25"/>
  <c r="F7" i="25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F57" i="24" s="1"/>
  <c r="E56" i="24"/>
  <c r="E55" i="24"/>
  <c r="E54" i="24"/>
  <c r="E53" i="24"/>
  <c r="F53" i="24" s="1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F25" i="24" s="1"/>
  <c r="E24" i="24"/>
  <c r="E23" i="24"/>
  <c r="E22" i="24"/>
  <c r="E21" i="24"/>
  <c r="F21" i="24" s="1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2" i="24" s="1"/>
  <c r="D7" i="24"/>
  <c r="D6" i="24"/>
  <c r="D5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F71" i="24"/>
  <c r="F70" i="24"/>
  <c r="F69" i="24"/>
  <c r="F67" i="24"/>
  <c r="F66" i="24"/>
  <c r="F63" i="24"/>
  <c r="F62" i="24"/>
  <c r="F59" i="24"/>
  <c r="F58" i="24"/>
  <c r="F55" i="24"/>
  <c r="F54" i="24"/>
  <c r="F51" i="24"/>
  <c r="F50" i="24"/>
  <c r="F47" i="24"/>
  <c r="F46" i="24"/>
  <c r="F43" i="24"/>
  <c r="F42" i="24"/>
  <c r="F41" i="24"/>
  <c r="F39" i="24"/>
  <c r="F38" i="24"/>
  <c r="F37" i="24"/>
  <c r="F35" i="24"/>
  <c r="F34" i="24"/>
  <c r="F31" i="24"/>
  <c r="F30" i="24"/>
  <c r="F27" i="24"/>
  <c r="F26" i="24"/>
  <c r="F23" i="24"/>
  <c r="F22" i="24"/>
  <c r="F19" i="24"/>
  <c r="F18" i="24"/>
  <c r="F15" i="24"/>
  <c r="F14" i="24"/>
  <c r="F11" i="24"/>
  <c r="F10" i="24"/>
  <c r="F9" i="24"/>
  <c r="F7" i="24"/>
  <c r="F6" i="24"/>
  <c r="F5" i="24"/>
  <c r="F72" i="16"/>
  <c r="E72" i="16"/>
  <c r="D72" i="16"/>
  <c r="C72" i="16"/>
  <c r="B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72" i="15"/>
  <c r="E72" i="15"/>
  <c r="D72" i="15"/>
  <c r="C72" i="15"/>
  <c r="B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72" i="14"/>
  <c r="E72" i="14"/>
  <c r="D72" i="14"/>
  <c r="C72" i="14"/>
  <c r="B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72" i="3"/>
  <c r="E72" i="3"/>
  <c r="D72" i="3"/>
  <c r="C72" i="3"/>
  <c r="B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E72" i="2"/>
  <c r="D72" i="2"/>
  <c r="C72" i="2"/>
  <c r="B72" i="2"/>
  <c r="F72" i="1"/>
  <c r="E72" i="1"/>
  <c r="D72" i="1"/>
  <c r="C72" i="1"/>
  <c r="B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8" i="27" l="1"/>
  <c r="F12" i="27"/>
  <c r="F16" i="27"/>
  <c r="F20" i="27"/>
  <c r="F24" i="27"/>
  <c r="F28" i="27"/>
  <c r="F32" i="27"/>
  <c r="F36" i="27"/>
  <c r="F40" i="27"/>
  <c r="F44" i="27"/>
  <c r="F48" i="27"/>
  <c r="F52" i="27"/>
  <c r="F56" i="27"/>
  <c r="F60" i="27"/>
  <c r="F64" i="27"/>
  <c r="F68" i="27"/>
  <c r="F5" i="27"/>
  <c r="F13" i="26"/>
  <c r="F17" i="26"/>
  <c r="F29" i="26"/>
  <c r="F33" i="26"/>
  <c r="F45" i="26"/>
  <c r="F49" i="26"/>
  <c r="F61" i="26"/>
  <c r="F65" i="26"/>
  <c r="D72" i="26"/>
  <c r="F12" i="26"/>
  <c r="F20" i="26"/>
  <c r="F28" i="26"/>
  <c r="F36" i="26"/>
  <c r="F44" i="26"/>
  <c r="F52" i="26"/>
  <c r="F64" i="26"/>
  <c r="F8" i="26"/>
  <c r="F16" i="26"/>
  <c r="F24" i="26"/>
  <c r="F32" i="26"/>
  <c r="F40" i="26"/>
  <c r="F48" i="26"/>
  <c r="F56" i="26"/>
  <c r="F60" i="26"/>
  <c r="F68" i="26"/>
  <c r="B72" i="26"/>
  <c r="F5" i="26"/>
  <c r="E72" i="25"/>
  <c r="F9" i="25"/>
  <c r="F13" i="25"/>
  <c r="F25" i="25"/>
  <c r="F29" i="25"/>
  <c r="F41" i="25"/>
  <c r="F45" i="25"/>
  <c r="F57" i="25"/>
  <c r="F61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D72" i="25"/>
  <c r="C72" i="25"/>
  <c r="F8" i="25"/>
  <c r="F5" i="25"/>
  <c r="F13" i="24"/>
  <c r="F17" i="24"/>
  <c r="F29" i="24"/>
  <c r="F33" i="24"/>
  <c r="F45" i="24"/>
  <c r="F49" i="24"/>
  <c r="F61" i="24"/>
  <c r="F65" i="24"/>
  <c r="E72" i="24"/>
  <c r="F8" i="24"/>
  <c r="F16" i="24"/>
  <c r="F24" i="24"/>
  <c r="F32" i="24"/>
  <c r="F40" i="24"/>
  <c r="F48" i="24"/>
  <c r="F56" i="24"/>
  <c r="F64" i="24"/>
  <c r="C72" i="24"/>
  <c r="F12" i="24"/>
  <c r="F20" i="24"/>
  <c r="F28" i="24"/>
  <c r="F36" i="24"/>
  <c r="F44" i="24"/>
  <c r="F52" i="24"/>
  <c r="F60" i="24"/>
  <c r="F68" i="24"/>
  <c r="B72" i="24"/>
  <c r="F72" i="2"/>
  <c r="F72" i="27" l="1"/>
  <c r="F72" i="26"/>
  <c r="F72" i="25"/>
  <c r="F72" i="24"/>
  <c r="B5" i="34"/>
  <c r="B72" i="34" s="1"/>
  <c r="F5" i="34" l="1"/>
  <c r="F72" i="34" s="1"/>
</calcChain>
</file>

<file path=xl/sharedStrings.xml><?xml version="1.0" encoding="utf-8"?>
<sst xmlns="http://schemas.openxmlformats.org/spreadsheetml/2006/main" count="1848" uniqueCount="122">
  <si>
    <t>COUNTY</t>
  </si>
  <si>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</si>
  <si>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</si>
  <si>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</si>
  <si>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</si>
  <si>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</si>
  <si>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</si>
  <si>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</si>
  <si>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</si>
  <si>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</si>
  <si>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</si>
  <si>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</si>
  <si>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</si>
  <si>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</si>
  <si>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</si>
  <si>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</si>
  <si>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</si>
  <si>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</si>
  <si>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</si>
  <si>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</si>
  <si>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</si>
  <si>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</si>
  <si>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</si>
  <si>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</si>
  <si>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</si>
  <si>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</si>
  <si>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</si>
  <si>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</si>
  <si>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</si>
  <si>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</si>
  <si>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</si>
  <si>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</si>
  <si>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</si>
  <si>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</si>
  <si>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</si>
  <si>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</si>
  <si>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</si>
  <si>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</si>
  <si>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</si>
  <si>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</si>
  <si>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</si>
  <si>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</si>
  <si>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</si>
  <si>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</si>
  <si>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</si>
  <si>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</si>
  <si>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</si>
  <si>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</si>
  <si>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</si>
  <si>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</si>
  <si>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</si>
  <si>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</si>
  <si>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</si>
  <si>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</si>
  <si>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</si>
  <si>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</si>
  <si>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</si>
  <si>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</si>
  <si>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</si>
  <si>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</si>
  <si>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</si>
  <si>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</si>
  <si>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</si>
  <si>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</si>
  <si>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</si>
  <si>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</si>
  <si>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</si>
  <si>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</si>
  <si>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</si>
  <si>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REPUBLICAN PARTY OF FLORIDA</t>
  </si>
  <si>
    <t>FLORIDA DEMOCRATIC PARTY</t>
  </si>
  <si>
    <t>MINOR PARTY</t>
  </si>
  <si>
    <t>NO PARTY AFFILIATION</t>
  </si>
  <si>
    <t>ACTIVE REGISTERED VOTERS BY PARTY AFFILIATION BY COUNTY</t>
  </si>
  <si>
    <t>Data as of 01/31/2017</t>
  </si>
  <si>
    <t>Data as of 02/28/2017</t>
  </si>
  <si>
    <t>Data as of 03/31/2017</t>
  </si>
  <si>
    <t>Data as of 04/30/2017</t>
  </si>
  <si>
    <t>Data as of 05/31/2017</t>
  </si>
  <si>
    <t>Data as of 06/30/2017</t>
  </si>
  <si>
    <t>Data comparison between 01/31/2017 - 02/28/2017</t>
  </si>
  <si>
    <t>Data comparison between 02/28/2017 - 03/31/2017</t>
  </si>
  <si>
    <t>Data comparison between 03/31/2017 - 04/30/2017</t>
  </si>
  <si>
    <t>Data comparison between 04/30/2017 - 05/31/2017</t>
  </si>
  <si>
    <t>Data comparison between 05/31/2017 - 06/30/2017</t>
  </si>
  <si>
    <t>Data as of 07/31/2017</t>
  </si>
  <si>
    <t>Data comparison between 06/30/2017 - 07/31/2017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</si>
  <si>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</si>
  <si>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</si>
  <si>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</si>
  <si>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March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</si>
  <si>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</si>
  <si>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</si>
  <si>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</si>
  <si>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</si>
  <si>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</si>
  <si>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</si>
  <si>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</si>
  <si>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</si>
  <si>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</si>
  <si>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</si>
  <si>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Feburary to March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</si>
  <si>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</si>
  <si>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</si>
  <si>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</si>
  <si>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</si>
  <si>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</si>
  <si>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August to September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</si>
  <si>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</si>
  <si>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</si>
  <si>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</si>
  <si>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Data as of 08/31/2017</t>
  </si>
  <si>
    <t>Data comparison between 07/31/2017 - 08/31/2017</t>
  </si>
  <si>
    <t>Data as of 09/30/2017</t>
  </si>
  <si>
    <t>Data comparison between 08/31/2017 - 09/30/2017</t>
  </si>
  <si>
    <t>Data as of 10/31/2017</t>
  </si>
  <si>
    <t>Data comparison between 09/30/2017 - 10/31/2017</t>
  </si>
  <si>
    <t>Data as of 11/30/2017</t>
  </si>
  <si>
    <t>Data comparison between 10/31/2017 - 11/30/2017</t>
  </si>
  <si>
    <t>Data as of 12/31/2017</t>
  </si>
  <si>
    <t xml:space="preserve">Data comparison between 11/30/2017 - 12/31/2017 </t>
  </si>
  <si>
    <t>Data comparison between 01/31/2017 - 12/31/2017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</si>
</sst>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0" fillId="0" borderId="0" xfId="0" applyNumberFormat="1"/>
    <xf numFmtId="3" fontId="16" fillId="0" borderId="19" xfId="0" applyNumberFormat="1" applyFont="1" applyBorder="1" applyAlignment="1">
      <alignment wrapText="1"/>
    </xf>
    <xf numFmtId="3" fontId="0" fillId="0" borderId="19" xfId="0" applyNumberFormat="1" applyBorder="1"/>
    <xf numFmtId="3" fontId="0" fillId="0" borderId="0" xfId="0" applyNumberFormat="1" applyAlignment="1">
      <alignment wrapText="1"/>
    </xf>
    <xf numFmtId="3" fontId="19" fillId="0" borderId="0" xfId="0" applyNumberFormat="1" applyFont="1"/>
    <xf numFmtId="3" fontId="0" fillId="0" borderId="0" xfId="0" applyNumberFormat="1" applyFont="1" applyAlignment="1">
      <alignment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Border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ColWidth="20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88</v>
      </c>
      <c r="B1" s="17"/>
      <c r="C1" s="17"/>
      <c r="D1" s="17"/>
      <c r="E1" s="17"/>
      <c r="F1" s="18"/>
    </row>
    <row r="2" spans="1:6" ht="15" customHeight="1" x14ac:dyDescent="0.25">
      <c r="A2" s="13" t="s">
        <v>74</v>
      </c>
      <c r="B2" s="14"/>
      <c r="C2" s="14"/>
      <c r="D2" s="14"/>
      <c r="E2" s="14"/>
      <c r="F2" s="15"/>
    </row>
    <row r="3" spans="1:6" ht="15" customHeight="1" x14ac:dyDescent="0.25">
      <c r="A3" s="19" t="s">
        <v>73</v>
      </c>
      <c r="B3" s="20"/>
      <c r="C3" s="20"/>
      <c r="D3" s="20"/>
      <c r="E3" s="20"/>
      <c r="F3" s="21"/>
    </row>
    <row r="4" spans="1:6" s="2" customFormat="1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50482</v>
      </c>
      <c r="C5" s="7">
        <v>85522</v>
      </c>
      <c r="D5" s="7">
        <v>4155</v>
      </c>
      <c r="E5" s="7">
        <v>39250</v>
      </c>
      <c r="F5" s="7">
        <f>SUM(B5:E5)</f>
        <v>179409</v>
      </c>
    </row>
    <row r="6" spans="1:6" x14ac:dyDescent="0.25">
      <c r="A6" s="1" t="s">
        <v>3</v>
      </c>
      <c r="B6" s="7">
        <v>7866</v>
      </c>
      <c r="C6" s="7">
        <v>5912</v>
      </c>
      <c r="D6" s="7">
        <v>185</v>
      </c>
      <c r="E6" s="7">
        <v>1477</v>
      </c>
      <c r="F6" s="7">
        <f t="shared" ref="F6:F69" si="0">SUM(B6:E6)</f>
        <v>15440</v>
      </c>
    </row>
    <row r="7" spans="1:6" x14ac:dyDescent="0.25">
      <c r="A7" s="1" t="s">
        <v>4</v>
      </c>
      <c r="B7" s="7">
        <v>61365</v>
      </c>
      <c r="C7" s="7">
        <v>31751</v>
      </c>
      <c r="D7" s="7">
        <v>920</v>
      </c>
      <c r="E7" s="7">
        <v>24797</v>
      </c>
      <c r="F7" s="7">
        <f t="shared" si="0"/>
        <v>118833</v>
      </c>
    </row>
    <row r="8" spans="1:6" x14ac:dyDescent="0.25">
      <c r="A8" s="1" t="s">
        <v>5</v>
      </c>
      <c r="B8" s="7">
        <v>7252</v>
      </c>
      <c r="C8" s="7">
        <v>6279</v>
      </c>
      <c r="D8" s="7">
        <v>252</v>
      </c>
      <c r="E8" s="7">
        <v>2059</v>
      </c>
      <c r="F8" s="7">
        <f t="shared" si="0"/>
        <v>15842</v>
      </c>
    </row>
    <row r="9" spans="1:6" x14ac:dyDescent="0.25">
      <c r="A9" s="1" t="s">
        <v>6</v>
      </c>
      <c r="B9" s="7">
        <v>172254</v>
      </c>
      <c r="C9" s="7">
        <v>128671</v>
      </c>
      <c r="D9" s="7">
        <v>3005</v>
      </c>
      <c r="E9" s="7">
        <v>103464</v>
      </c>
      <c r="F9" s="7">
        <f t="shared" si="0"/>
        <v>407394</v>
      </c>
    </row>
    <row r="10" spans="1:6" x14ac:dyDescent="0.25">
      <c r="A10" s="1" t="s">
        <v>7</v>
      </c>
      <c r="B10" s="7">
        <v>258326</v>
      </c>
      <c r="C10" s="7">
        <v>603884</v>
      </c>
      <c r="D10" s="7">
        <v>18960</v>
      </c>
      <c r="E10" s="7">
        <v>312572</v>
      </c>
      <c r="F10" s="7">
        <f t="shared" si="0"/>
        <v>1193742</v>
      </c>
    </row>
    <row r="11" spans="1:6" x14ac:dyDescent="0.25">
      <c r="A11" s="1" t="s">
        <v>8</v>
      </c>
      <c r="B11" s="7">
        <v>2300</v>
      </c>
      <c r="C11" s="7">
        <v>5399</v>
      </c>
      <c r="D11" s="7">
        <v>32</v>
      </c>
      <c r="E11" s="7">
        <v>906</v>
      </c>
      <c r="F11" s="7">
        <f t="shared" si="0"/>
        <v>8637</v>
      </c>
    </row>
    <row r="12" spans="1:6" x14ac:dyDescent="0.25">
      <c r="A12" s="1" t="s">
        <v>9</v>
      </c>
      <c r="B12" s="7">
        <v>57169</v>
      </c>
      <c r="C12" s="7">
        <v>36328</v>
      </c>
      <c r="D12" s="7">
        <v>5462</v>
      </c>
      <c r="E12" s="7">
        <v>30968</v>
      </c>
      <c r="F12" s="7">
        <f t="shared" si="0"/>
        <v>129927</v>
      </c>
    </row>
    <row r="13" spans="1:6" x14ac:dyDescent="0.25">
      <c r="A13" s="1" t="s">
        <v>10</v>
      </c>
      <c r="B13" s="7">
        <v>49582</v>
      </c>
      <c r="C13" s="7">
        <v>30499</v>
      </c>
      <c r="D13" s="7">
        <v>691</v>
      </c>
      <c r="E13" s="7">
        <v>26011</v>
      </c>
      <c r="F13" s="7">
        <f t="shared" si="0"/>
        <v>106783</v>
      </c>
    </row>
    <row r="14" spans="1:6" x14ac:dyDescent="0.25">
      <c r="A14" s="1" t="s">
        <v>11</v>
      </c>
      <c r="B14" s="7">
        <v>80100</v>
      </c>
      <c r="C14" s="7">
        <v>32030</v>
      </c>
      <c r="D14" s="7">
        <v>990</v>
      </c>
      <c r="E14" s="7">
        <v>33707</v>
      </c>
      <c r="F14" s="7">
        <f t="shared" si="0"/>
        <v>146827</v>
      </c>
    </row>
    <row r="15" spans="1:6" x14ac:dyDescent="0.25">
      <c r="A15" s="1" t="s">
        <v>12</v>
      </c>
      <c r="B15" s="7">
        <v>104770</v>
      </c>
      <c r="C15" s="7">
        <v>49002</v>
      </c>
      <c r="D15" s="7">
        <v>842</v>
      </c>
      <c r="E15" s="7">
        <v>52169</v>
      </c>
      <c r="F15" s="7">
        <f t="shared" si="0"/>
        <v>206783</v>
      </c>
    </row>
    <row r="16" spans="1:6" x14ac:dyDescent="0.25">
      <c r="A16" s="1" t="s">
        <v>13</v>
      </c>
      <c r="B16" s="7">
        <v>16769</v>
      </c>
      <c r="C16" s="7">
        <v>14543</v>
      </c>
      <c r="D16" s="7">
        <v>926</v>
      </c>
      <c r="E16" s="7">
        <v>5962</v>
      </c>
      <c r="F16" s="7">
        <f t="shared" si="0"/>
        <v>38200</v>
      </c>
    </row>
    <row r="17" spans="1:6" x14ac:dyDescent="0.25">
      <c r="A17" s="1" t="s">
        <v>14</v>
      </c>
      <c r="B17" s="7">
        <v>5182</v>
      </c>
      <c r="C17" s="7">
        <v>7474</v>
      </c>
      <c r="D17" s="7">
        <v>44</v>
      </c>
      <c r="E17" s="7">
        <v>3362</v>
      </c>
      <c r="F17" s="7">
        <f t="shared" si="0"/>
        <v>16062</v>
      </c>
    </row>
    <row r="18" spans="1:6" x14ac:dyDescent="0.25">
      <c r="A18" s="1" t="s">
        <v>15</v>
      </c>
      <c r="B18" s="7">
        <v>3712</v>
      </c>
      <c r="C18" s="7">
        <v>4704</v>
      </c>
      <c r="D18" s="7">
        <v>48</v>
      </c>
      <c r="E18" s="7">
        <v>1508</v>
      </c>
      <c r="F18" s="7">
        <f t="shared" si="0"/>
        <v>9972</v>
      </c>
    </row>
    <row r="19" spans="1:6" x14ac:dyDescent="0.25">
      <c r="A19" s="1" t="s">
        <v>16</v>
      </c>
      <c r="B19" s="7">
        <v>220705</v>
      </c>
      <c r="C19" s="7">
        <v>241105</v>
      </c>
      <c r="D19" s="7">
        <v>17011</v>
      </c>
      <c r="E19" s="7">
        <v>111944</v>
      </c>
      <c r="F19" s="7">
        <f t="shared" si="0"/>
        <v>590765</v>
      </c>
    </row>
    <row r="20" spans="1:6" x14ac:dyDescent="0.25">
      <c r="A20" s="1" t="s">
        <v>17</v>
      </c>
      <c r="B20" s="7">
        <v>94862</v>
      </c>
      <c r="C20" s="7">
        <v>73052</v>
      </c>
      <c r="D20" s="7">
        <v>1317</v>
      </c>
      <c r="E20" s="7">
        <v>42725</v>
      </c>
      <c r="F20" s="7">
        <f t="shared" si="0"/>
        <v>211956</v>
      </c>
    </row>
    <row r="21" spans="1:6" x14ac:dyDescent="0.25">
      <c r="A21" s="1" t="s">
        <v>18</v>
      </c>
      <c r="B21" s="7">
        <v>31998</v>
      </c>
      <c r="C21" s="7">
        <v>25471</v>
      </c>
      <c r="D21" s="7">
        <v>1766</v>
      </c>
      <c r="E21" s="7">
        <v>21036</v>
      </c>
      <c r="F21" s="7">
        <f t="shared" si="0"/>
        <v>80271</v>
      </c>
    </row>
    <row r="22" spans="1:6" x14ac:dyDescent="0.25">
      <c r="A22" s="1" t="s">
        <v>19</v>
      </c>
      <c r="B22" s="7">
        <v>2300</v>
      </c>
      <c r="C22" s="7">
        <v>4158</v>
      </c>
      <c r="D22" s="7">
        <v>51</v>
      </c>
      <c r="E22" s="7">
        <v>924</v>
      </c>
      <c r="F22" s="7">
        <f t="shared" si="0"/>
        <v>7433</v>
      </c>
    </row>
    <row r="23" spans="1:6" x14ac:dyDescent="0.25">
      <c r="A23" s="1" t="s">
        <v>20</v>
      </c>
      <c r="B23" s="7">
        <v>4507</v>
      </c>
      <c r="C23" s="7">
        <v>22445</v>
      </c>
      <c r="D23" s="7">
        <v>310</v>
      </c>
      <c r="E23" s="7">
        <v>2383</v>
      </c>
      <c r="F23" s="7">
        <f t="shared" si="0"/>
        <v>29645</v>
      </c>
    </row>
    <row r="24" spans="1:6" x14ac:dyDescent="0.25">
      <c r="A24" s="1" t="s">
        <v>21</v>
      </c>
      <c r="B24" s="7">
        <v>6109</v>
      </c>
      <c r="C24" s="7">
        <v>3504</v>
      </c>
      <c r="D24" s="7">
        <v>301</v>
      </c>
      <c r="E24" s="7">
        <v>1412</v>
      </c>
      <c r="F24" s="7">
        <f t="shared" si="0"/>
        <v>11326</v>
      </c>
    </row>
    <row r="25" spans="1:6" x14ac:dyDescent="0.25">
      <c r="A25" s="1" t="s">
        <v>22</v>
      </c>
      <c r="B25" s="7">
        <v>2387</v>
      </c>
      <c r="C25" s="7">
        <v>3105</v>
      </c>
      <c r="D25" s="7">
        <v>135</v>
      </c>
      <c r="E25" s="7">
        <v>1050</v>
      </c>
      <c r="F25" s="7">
        <f t="shared" si="0"/>
        <v>6677</v>
      </c>
    </row>
    <row r="26" spans="1:6" x14ac:dyDescent="0.25">
      <c r="A26" s="1" t="s">
        <v>23</v>
      </c>
      <c r="B26" s="7">
        <v>4674</v>
      </c>
      <c r="C26" s="7">
        <v>4327</v>
      </c>
      <c r="D26" s="7">
        <v>180</v>
      </c>
      <c r="E26" s="7">
        <v>1088</v>
      </c>
      <c r="F26" s="7">
        <f t="shared" si="0"/>
        <v>10269</v>
      </c>
    </row>
    <row r="27" spans="1:6" x14ac:dyDescent="0.25">
      <c r="A27" s="1" t="s">
        <v>24</v>
      </c>
      <c r="B27" s="7">
        <v>2329</v>
      </c>
      <c r="C27" s="7">
        <v>4765</v>
      </c>
      <c r="D27" s="7">
        <v>53</v>
      </c>
      <c r="E27" s="7">
        <v>965</v>
      </c>
      <c r="F27" s="7">
        <f t="shared" si="0"/>
        <v>8112</v>
      </c>
    </row>
    <row r="28" spans="1:6" x14ac:dyDescent="0.25">
      <c r="A28" s="1" t="s">
        <v>25</v>
      </c>
      <c r="B28" s="7">
        <v>5043</v>
      </c>
      <c r="C28" s="7">
        <v>4681</v>
      </c>
      <c r="D28" s="7">
        <v>238</v>
      </c>
      <c r="E28" s="7">
        <v>1810</v>
      </c>
      <c r="F28" s="7">
        <f t="shared" si="0"/>
        <v>11772</v>
      </c>
    </row>
    <row r="29" spans="1:6" x14ac:dyDescent="0.25">
      <c r="A29" s="1" t="s">
        <v>26</v>
      </c>
      <c r="B29" s="7">
        <v>6200</v>
      </c>
      <c r="C29" s="7">
        <v>8238</v>
      </c>
      <c r="D29" s="7">
        <v>306</v>
      </c>
      <c r="E29" s="7">
        <v>2942</v>
      </c>
      <c r="F29" s="7">
        <f t="shared" si="0"/>
        <v>17686</v>
      </c>
    </row>
    <row r="30" spans="1:6" x14ac:dyDescent="0.25">
      <c r="A30" s="1" t="s">
        <v>27</v>
      </c>
      <c r="B30" s="7">
        <v>53860</v>
      </c>
      <c r="C30" s="7">
        <v>43343</v>
      </c>
      <c r="D30" s="7">
        <v>1132</v>
      </c>
      <c r="E30" s="7">
        <v>34164</v>
      </c>
      <c r="F30" s="7">
        <f t="shared" si="0"/>
        <v>132499</v>
      </c>
    </row>
    <row r="31" spans="1:6" x14ac:dyDescent="0.25">
      <c r="A31" s="1" t="s">
        <v>28</v>
      </c>
      <c r="B31" s="7">
        <v>28145</v>
      </c>
      <c r="C31" s="7">
        <v>20294</v>
      </c>
      <c r="D31" s="7">
        <v>431</v>
      </c>
      <c r="E31" s="7">
        <v>13387</v>
      </c>
      <c r="F31" s="7">
        <f t="shared" si="0"/>
        <v>62257</v>
      </c>
    </row>
    <row r="32" spans="1:6" x14ac:dyDescent="0.25">
      <c r="A32" s="1" t="s">
        <v>29</v>
      </c>
      <c r="B32" s="7">
        <v>267965</v>
      </c>
      <c r="C32" s="7">
        <v>336298</v>
      </c>
      <c r="D32" s="7">
        <v>5801</v>
      </c>
      <c r="E32" s="7">
        <v>242539</v>
      </c>
      <c r="F32" s="7">
        <f t="shared" si="0"/>
        <v>852603</v>
      </c>
    </row>
    <row r="33" spans="1:6" x14ac:dyDescent="0.25">
      <c r="A33" s="1" t="s">
        <v>30</v>
      </c>
      <c r="B33" s="7">
        <v>6044</v>
      </c>
      <c r="C33" s="7">
        <v>4020</v>
      </c>
      <c r="D33" s="7">
        <v>29</v>
      </c>
      <c r="E33" s="7">
        <v>1241</v>
      </c>
      <c r="F33" s="7">
        <f t="shared" si="0"/>
        <v>11334</v>
      </c>
    </row>
    <row r="34" spans="1:6" x14ac:dyDescent="0.25">
      <c r="A34" s="1" t="s">
        <v>31</v>
      </c>
      <c r="B34" s="7">
        <v>49932</v>
      </c>
      <c r="C34" s="7">
        <v>29226</v>
      </c>
      <c r="D34" s="7">
        <v>815</v>
      </c>
      <c r="E34" s="7">
        <v>27306</v>
      </c>
      <c r="F34" s="7">
        <f t="shared" si="0"/>
        <v>107279</v>
      </c>
    </row>
    <row r="35" spans="1:6" x14ac:dyDescent="0.25">
      <c r="A35" s="1" t="s">
        <v>32</v>
      </c>
      <c r="B35" s="7">
        <v>10095</v>
      </c>
      <c r="C35" s="7">
        <v>15675</v>
      </c>
      <c r="D35" s="7">
        <v>83</v>
      </c>
      <c r="E35" s="7">
        <v>2988</v>
      </c>
      <c r="F35" s="7">
        <f t="shared" si="0"/>
        <v>28841</v>
      </c>
    </row>
    <row r="36" spans="1:6" x14ac:dyDescent="0.25">
      <c r="A36" s="1" t="s">
        <v>33</v>
      </c>
      <c r="B36" s="7">
        <v>2752</v>
      </c>
      <c r="C36" s="7">
        <v>5715</v>
      </c>
      <c r="D36" s="7">
        <v>51</v>
      </c>
      <c r="E36" s="7">
        <v>976</v>
      </c>
      <c r="F36" s="7">
        <f t="shared" si="0"/>
        <v>9494</v>
      </c>
    </row>
    <row r="37" spans="1:6" x14ac:dyDescent="0.25">
      <c r="A37" s="1" t="s">
        <v>34</v>
      </c>
      <c r="B37" s="7">
        <v>1544</v>
      </c>
      <c r="C37" s="7">
        <v>2607</v>
      </c>
      <c r="D37" s="7">
        <v>18</v>
      </c>
      <c r="E37" s="7">
        <v>295</v>
      </c>
      <c r="F37" s="7">
        <f t="shared" si="0"/>
        <v>4464</v>
      </c>
    </row>
    <row r="38" spans="1:6" x14ac:dyDescent="0.25">
      <c r="A38" s="1" t="s">
        <v>35</v>
      </c>
      <c r="B38" s="7">
        <v>98614</v>
      </c>
      <c r="C38" s="7">
        <v>70531</v>
      </c>
      <c r="D38" s="7">
        <v>7543</v>
      </c>
      <c r="E38" s="7">
        <v>49063</v>
      </c>
      <c r="F38" s="7">
        <f t="shared" si="0"/>
        <v>225751</v>
      </c>
    </row>
    <row r="39" spans="1:6" x14ac:dyDescent="0.25">
      <c r="A39" s="1" t="s">
        <v>36</v>
      </c>
      <c r="B39" s="7">
        <v>188103</v>
      </c>
      <c r="C39" s="7">
        <v>118606</v>
      </c>
      <c r="D39" s="7">
        <v>2846</v>
      </c>
      <c r="E39" s="7">
        <v>122589</v>
      </c>
      <c r="F39" s="7">
        <f t="shared" si="0"/>
        <v>432144</v>
      </c>
    </row>
    <row r="40" spans="1:6" x14ac:dyDescent="0.25">
      <c r="A40" s="1" t="s">
        <v>37</v>
      </c>
      <c r="B40" s="7">
        <v>57425</v>
      </c>
      <c r="C40" s="7">
        <v>109158</v>
      </c>
      <c r="D40" s="7">
        <v>1413</v>
      </c>
      <c r="E40" s="7">
        <v>38535</v>
      </c>
      <c r="F40" s="7">
        <f t="shared" si="0"/>
        <v>206531</v>
      </c>
    </row>
    <row r="41" spans="1:6" x14ac:dyDescent="0.25">
      <c r="A41" s="1" t="s">
        <v>38</v>
      </c>
      <c r="B41" s="7">
        <v>12355</v>
      </c>
      <c r="C41" s="7">
        <v>9459</v>
      </c>
      <c r="D41" s="7">
        <v>608</v>
      </c>
      <c r="E41" s="7">
        <v>4559</v>
      </c>
      <c r="F41" s="7">
        <f t="shared" si="0"/>
        <v>26981</v>
      </c>
    </row>
    <row r="42" spans="1:6" x14ac:dyDescent="0.25">
      <c r="A42" s="1" t="s">
        <v>39</v>
      </c>
      <c r="B42" s="7">
        <v>746</v>
      </c>
      <c r="C42" s="7">
        <v>3375</v>
      </c>
      <c r="D42" s="7">
        <v>24</v>
      </c>
      <c r="E42" s="7">
        <v>360</v>
      </c>
      <c r="F42" s="7">
        <f t="shared" si="0"/>
        <v>4505</v>
      </c>
    </row>
    <row r="43" spans="1:6" x14ac:dyDescent="0.25">
      <c r="A43" s="1" t="s">
        <v>40</v>
      </c>
      <c r="B43" s="7">
        <v>3272</v>
      </c>
      <c r="C43" s="7">
        <v>7168</v>
      </c>
      <c r="D43" s="7">
        <v>209</v>
      </c>
      <c r="E43" s="7">
        <v>1042</v>
      </c>
      <c r="F43" s="7">
        <f t="shared" si="0"/>
        <v>11691</v>
      </c>
    </row>
    <row r="44" spans="1:6" x14ac:dyDescent="0.25">
      <c r="A44" s="1" t="s">
        <v>41</v>
      </c>
      <c r="B44" s="7">
        <v>101360</v>
      </c>
      <c r="C44" s="7">
        <v>71770</v>
      </c>
      <c r="D44" s="7">
        <v>1764</v>
      </c>
      <c r="E44" s="7">
        <v>58354</v>
      </c>
      <c r="F44" s="7">
        <f t="shared" si="0"/>
        <v>233248</v>
      </c>
    </row>
    <row r="45" spans="1:6" x14ac:dyDescent="0.25">
      <c r="A45" s="1" t="s">
        <v>42</v>
      </c>
      <c r="B45" s="7">
        <v>100784</v>
      </c>
      <c r="C45" s="7">
        <v>76406</v>
      </c>
      <c r="D45" s="7">
        <v>2126</v>
      </c>
      <c r="E45" s="7">
        <v>47384</v>
      </c>
      <c r="F45" s="7">
        <f t="shared" si="0"/>
        <v>226700</v>
      </c>
    </row>
    <row r="46" spans="1:6" x14ac:dyDescent="0.25">
      <c r="A46" s="1" t="s">
        <v>43</v>
      </c>
      <c r="B46" s="7">
        <v>55588</v>
      </c>
      <c r="C46" s="7">
        <v>28006</v>
      </c>
      <c r="D46" s="7">
        <v>822</v>
      </c>
      <c r="E46" s="7">
        <v>26995</v>
      </c>
      <c r="F46" s="7">
        <f t="shared" si="0"/>
        <v>111411</v>
      </c>
    </row>
    <row r="47" spans="1:6" x14ac:dyDescent="0.25">
      <c r="A47" s="1" t="s">
        <v>44</v>
      </c>
      <c r="B47" s="7">
        <v>374420</v>
      </c>
      <c r="C47" s="7">
        <v>593773</v>
      </c>
      <c r="D47" s="7">
        <v>5362</v>
      </c>
      <c r="E47" s="7">
        <v>423357</v>
      </c>
      <c r="F47" s="7">
        <f t="shared" si="0"/>
        <v>1396912</v>
      </c>
    </row>
    <row r="48" spans="1:6" x14ac:dyDescent="0.25">
      <c r="A48" s="1" t="s">
        <v>45</v>
      </c>
      <c r="B48" s="7">
        <v>21240</v>
      </c>
      <c r="C48" s="7">
        <v>17932</v>
      </c>
      <c r="D48" s="7">
        <v>342</v>
      </c>
      <c r="E48" s="7">
        <v>15278</v>
      </c>
      <c r="F48" s="7">
        <f t="shared" si="0"/>
        <v>54792</v>
      </c>
    </row>
    <row r="49" spans="1:6" x14ac:dyDescent="0.25">
      <c r="A49" s="1" t="s">
        <v>46</v>
      </c>
      <c r="B49" s="7">
        <v>35674</v>
      </c>
      <c r="C49" s="7">
        <v>14000</v>
      </c>
      <c r="D49" s="7">
        <v>513</v>
      </c>
      <c r="E49" s="7">
        <v>11972</v>
      </c>
      <c r="F49" s="7">
        <f t="shared" si="0"/>
        <v>62159</v>
      </c>
    </row>
    <row r="50" spans="1:6" x14ac:dyDescent="0.25">
      <c r="A50" s="1" t="s">
        <v>47</v>
      </c>
      <c r="B50" s="7">
        <v>79436</v>
      </c>
      <c r="C50" s="7">
        <v>26590</v>
      </c>
      <c r="D50" s="7">
        <v>831</v>
      </c>
      <c r="E50" s="7">
        <v>30713</v>
      </c>
      <c r="F50" s="7">
        <f t="shared" si="0"/>
        <v>137570</v>
      </c>
    </row>
    <row r="51" spans="1:6" x14ac:dyDescent="0.25">
      <c r="A51" s="1" t="s">
        <v>48</v>
      </c>
      <c r="B51" s="7">
        <v>8477</v>
      </c>
      <c r="C51" s="7">
        <v>7652</v>
      </c>
      <c r="D51" s="7">
        <v>75</v>
      </c>
      <c r="E51" s="7">
        <v>3932</v>
      </c>
      <c r="F51" s="7">
        <f t="shared" si="0"/>
        <v>20136</v>
      </c>
    </row>
    <row r="52" spans="1:6" x14ac:dyDescent="0.25">
      <c r="A52" s="1" t="s">
        <v>49</v>
      </c>
      <c r="B52" s="7">
        <v>214554</v>
      </c>
      <c r="C52" s="7">
        <v>335567</v>
      </c>
      <c r="D52" s="7">
        <v>4937</v>
      </c>
      <c r="E52" s="7">
        <v>232531</v>
      </c>
      <c r="F52" s="7">
        <f t="shared" si="0"/>
        <v>787589</v>
      </c>
    </row>
    <row r="53" spans="1:6" x14ac:dyDescent="0.25">
      <c r="A53" s="1" t="s">
        <v>50</v>
      </c>
      <c r="B53" s="7">
        <v>47636</v>
      </c>
      <c r="C53" s="7">
        <v>87691</v>
      </c>
      <c r="D53" s="7">
        <v>4015</v>
      </c>
      <c r="E53" s="7">
        <v>61297</v>
      </c>
      <c r="F53" s="7">
        <f t="shared" si="0"/>
        <v>200639</v>
      </c>
    </row>
    <row r="54" spans="1:6" x14ac:dyDescent="0.25">
      <c r="A54" s="1" t="s">
        <v>51</v>
      </c>
      <c r="B54" s="7">
        <v>256454</v>
      </c>
      <c r="C54" s="7">
        <v>385248</v>
      </c>
      <c r="D54" s="7">
        <v>31504</v>
      </c>
      <c r="E54" s="7">
        <v>234172</v>
      </c>
      <c r="F54" s="7">
        <f t="shared" si="0"/>
        <v>907378</v>
      </c>
    </row>
    <row r="55" spans="1:6" x14ac:dyDescent="0.25">
      <c r="A55" s="1" t="s">
        <v>52</v>
      </c>
      <c r="B55" s="7">
        <v>131294</v>
      </c>
      <c r="C55" s="7">
        <v>107464</v>
      </c>
      <c r="D55" s="7">
        <v>3835</v>
      </c>
      <c r="E55" s="7">
        <v>94944</v>
      </c>
      <c r="F55" s="7">
        <f t="shared" si="0"/>
        <v>337537</v>
      </c>
    </row>
    <row r="56" spans="1:6" x14ac:dyDescent="0.25">
      <c r="A56" s="1" t="s">
        <v>53</v>
      </c>
      <c r="B56" s="7">
        <v>229365</v>
      </c>
      <c r="C56" s="7">
        <v>229041</v>
      </c>
      <c r="D56" s="7">
        <v>5217</v>
      </c>
      <c r="E56" s="7">
        <v>177949</v>
      </c>
      <c r="F56" s="7">
        <f t="shared" si="0"/>
        <v>641572</v>
      </c>
    </row>
    <row r="57" spans="1:6" x14ac:dyDescent="0.25">
      <c r="A57" s="1" t="s">
        <v>54</v>
      </c>
      <c r="B57" s="7">
        <v>146995</v>
      </c>
      <c r="C57" s="7">
        <v>150346</v>
      </c>
      <c r="D57" s="7">
        <v>11788</v>
      </c>
      <c r="E57" s="7">
        <v>101773</v>
      </c>
      <c r="F57" s="7">
        <f t="shared" si="0"/>
        <v>410902</v>
      </c>
    </row>
    <row r="58" spans="1:6" x14ac:dyDescent="0.25">
      <c r="A58" s="1" t="s">
        <v>55</v>
      </c>
      <c r="B58" s="7">
        <v>18265</v>
      </c>
      <c r="C58" s="7">
        <v>20426</v>
      </c>
      <c r="D58" s="7">
        <v>976</v>
      </c>
      <c r="E58" s="7">
        <v>8367</v>
      </c>
      <c r="F58" s="7">
        <f t="shared" si="0"/>
        <v>48034</v>
      </c>
    </row>
    <row r="59" spans="1:6" x14ac:dyDescent="0.25">
      <c r="A59" s="1" t="s">
        <v>56</v>
      </c>
      <c r="B59" s="7">
        <v>77292</v>
      </c>
      <c r="C59" s="7">
        <v>26545</v>
      </c>
      <c r="D59" s="7">
        <v>1037</v>
      </c>
      <c r="E59" s="7">
        <v>27856</v>
      </c>
      <c r="F59" s="7">
        <f t="shared" si="0"/>
        <v>132730</v>
      </c>
    </row>
    <row r="60" spans="1:6" x14ac:dyDescent="0.25">
      <c r="A60" s="1" t="s">
        <v>57</v>
      </c>
      <c r="B60" s="7">
        <v>130719</v>
      </c>
      <c r="C60" s="7">
        <v>93147</v>
      </c>
      <c r="D60" s="7">
        <v>2001</v>
      </c>
      <c r="E60" s="7">
        <v>79217</v>
      </c>
      <c r="F60" s="7">
        <f t="shared" si="0"/>
        <v>305084</v>
      </c>
    </row>
    <row r="61" spans="1:6" x14ac:dyDescent="0.25">
      <c r="A61" s="1" t="s">
        <v>58</v>
      </c>
      <c r="B61" s="7">
        <v>111480</v>
      </c>
      <c r="C61" s="7">
        <v>98639</v>
      </c>
      <c r="D61" s="7">
        <v>2033</v>
      </c>
      <c r="E61" s="7">
        <v>80728</v>
      </c>
      <c r="F61" s="7">
        <f t="shared" si="0"/>
        <v>292880</v>
      </c>
    </row>
    <row r="62" spans="1:6" x14ac:dyDescent="0.25">
      <c r="A62" s="1" t="s">
        <v>59</v>
      </c>
      <c r="B62" s="7">
        <v>92620</v>
      </c>
      <c r="C62" s="7">
        <v>41013</v>
      </c>
      <c r="D62" s="7">
        <v>1291</v>
      </c>
      <c r="E62" s="7">
        <v>39882</v>
      </c>
      <c r="F62" s="7">
        <f t="shared" si="0"/>
        <v>174806</v>
      </c>
    </row>
    <row r="63" spans="1:6" x14ac:dyDescent="0.25">
      <c r="A63" s="1" t="s">
        <v>60</v>
      </c>
      <c r="B63" s="7">
        <v>62614</v>
      </c>
      <c r="C63" s="7">
        <v>78054</v>
      </c>
      <c r="D63" s="7">
        <v>1216</v>
      </c>
      <c r="E63" s="7">
        <v>51978</v>
      </c>
      <c r="F63" s="7">
        <f t="shared" si="0"/>
        <v>193862</v>
      </c>
    </row>
    <row r="64" spans="1:6" x14ac:dyDescent="0.25">
      <c r="A64" s="1" t="s">
        <v>61</v>
      </c>
      <c r="B64" s="7">
        <v>49432</v>
      </c>
      <c r="C64" s="7">
        <v>23552</v>
      </c>
      <c r="D64" s="7">
        <v>2993</v>
      </c>
      <c r="E64" s="7">
        <v>17025</v>
      </c>
      <c r="F64" s="7">
        <f t="shared" si="0"/>
        <v>93002</v>
      </c>
    </row>
    <row r="65" spans="1:6" x14ac:dyDescent="0.25">
      <c r="A65" s="1" t="s">
        <v>62</v>
      </c>
      <c r="B65" s="7">
        <v>11461</v>
      </c>
      <c r="C65" s="7">
        <v>10858</v>
      </c>
      <c r="D65" s="7">
        <v>1047</v>
      </c>
      <c r="E65" s="7">
        <v>3173</v>
      </c>
      <c r="F65" s="7">
        <f t="shared" si="0"/>
        <v>26539</v>
      </c>
    </row>
    <row r="66" spans="1:6" x14ac:dyDescent="0.25">
      <c r="A66" s="1" t="s">
        <v>63</v>
      </c>
      <c r="B66" s="7">
        <v>4299</v>
      </c>
      <c r="C66" s="7">
        <v>6915</v>
      </c>
      <c r="D66" s="7">
        <v>69</v>
      </c>
      <c r="E66" s="7">
        <v>1118</v>
      </c>
      <c r="F66" s="7">
        <f t="shared" si="0"/>
        <v>12401</v>
      </c>
    </row>
    <row r="67" spans="1:6" x14ac:dyDescent="0.25">
      <c r="A67" s="1" t="s">
        <v>64</v>
      </c>
      <c r="B67" s="7">
        <v>3035</v>
      </c>
      <c r="C67" s="7">
        <v>3478</v>
      </c>
      <c r="D67" s="7">
        <v>132</v>
      </c>
      <c r="E67" s="7">
        <v>637</v>
      </c>
      <c r="F67" s="7">
        <f t="shared" si="0"/>
        <v>7282</v>
      </c>
    </row>
    <row r="68" spans="1:6" x14ac:dyDescent="0.25">
      <c r="A68" s="1" t="s">
        <v>65</v>
      </c>
      <c r="B68" s="7">
        <v>129395</v>
      </c>
      <c r="C68" s="7">
        <v>129590</v>
      </c>
      <c r="D68" s="7">
        <v>11906</v>
      </c>
      <c r="E68" s="7">
        <v>96819</v>
      </c>
      <c r="F68" s="7">
        <f t="shared" si="0"/>
        <v>367710</v>
      </c>
    </row>
    <row r="69" spans="1:6" x14ac:dyDescent="0.25">
      <c r="A69" s="1" t="s">
        <v>66</v>
      </c>
      <c r="B69" s="7">
        <v>7948</v>
      </c>
      <c r="C69" s="7">
        <v>8742</v>
      </c>
      <c r="D69" s="7">
        <v>552</v>
      </c>
      <c r="E69" s="7">
        <v>2884</v>
      </c>
      <c r="F69" s="7">
        <f t="shared" si="0"/>
        <v>20126</v>
      </c>
    </row>
    <row r="70" spans="1:6" x14ac:dyDescent="0.25">
      <c r="A70" s="1" t="s">
        <v>67</v>
      </c>
      <c r="B70" s="7">
        <v>27737</v>
      </c>
      <c r="C70" s="7">
        <v>9808</v>
      </c>
      <c r="D70" s="7">
        <v>273</v>
      </c>
      <c r="E70" s="7">
        <v>9291</v>
      </c>
      <c r="F70" s="7">
        <f t="shared" ref="F70:F71" si="1">SUM(B70:E70)</f>
        <v>47109</v>
      </c>
    </row>
    <row r="71" spans="1:6" ht="15.75" thickBot="1" x14ac:dyDescent="0.3">
      <c r="A71" s="1" t="s">
        <v>68</v>
      </c>
      <c r="B71" s="7">
        <v>7719</v>
      </c>
      <c r="C71" s="7">
        <v>5607</v>
      </c>
      <c r="D71" s="7">
        <v>233</v>
      </c>
      <c r="E71" s="7">
        <v>1846</v>
      </c>
      <c r="F71" s="7">
        <f t="shared" si="1"/>
        <v>15405</v>
      </c>
    </row>
    <row r="72" spans="1:6" ht="16.5" thickTop="1" thickBot="1" x14ac:dyDescent="0.3">
      <c r="A72" s="3" t="s">
        <v>1</v>
      </c>
      <c r="B72" s="8">
        <f>SUM(B5:B71)</f>
        <v>4576388</v>
      </c>
      <c r="C72" s="8">
        <f>SUM(C5:C71)</f>
        <v>4900184</v>
      </c>
      <c r="D72" s="8">
        <f>SUM(D5:D71)</f>
        <v>178073</v>
      </c>
      <c r="E72" s="8">
        <f>SUM(E5:E71)</f>
        <v>3307007</v>
      </c>
      <c r="F72" s="8">
        <f>SUM(F5:F71)</f>
        <v>12961652</v>
      </c>
    </row>
    <row r="73" spans="1:6" ht="15.75" thickTop="1" x14ac:dyDescent="0.25"/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ColWidth="9.14062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16384" width="9.140625" style="2"/>
  </cols>
  <sheetData>
    <row r="1" spans="1:6" ht="18.75" customHeight="1" x14ac:dyDescent="0.3">
      <c r="A1" s="16" t="s">
        <v>89</v>
      </c>
      <c r="B1" s="17"/>
      <c r="C1" s="17"/>
      <c r="D1" s="17"/>
      <c r="E1" s="17"/>
      <c r="F1" s="18"/>
    </row>
    <row r="2" spans="1:6" x14ac:dyDescent="0.25">
      <c r="A2" s="13" t="s">
        <v>75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50620</v>
      </c>
      <c r="C5" s="7">
        <v>85627</v>
      </c>
      <c r="D5" s="7">
        <v>1501</v>
      </c>
      <c r="E5" s="7">
        <v>41863</v>
      </c>
      <c r="F5" s="7">
        <f>SUM(B5:E5)</f>
        <v>179611</v>
      </c>
    </row>
    <row r="6" spans="1:6" x14ac:dyDescent="0.25">
      <c r="A6" s="1" t="s">
        <v>3</v>
      </c>
      <c r="B6" s="7">
        <v>7929</v>
      </c>
      <c r="C6" s="7">
        <v>5894</v>
      </c>
      <c r="D6" s="7">
        <v>45</v>
      </c>
      <c r="E6" s="7">
        <v>1592</v>
      </c>
      <c r="F6" s="7">
        <f t="shared" ref="F6:F69" si="0">SUM(B6:E6)</f>
        <v>15460</v>
      </c>
    </row>
    <row r="7" spans="1:6" x14ac:dyDescent="0.25">
      <c r="A7" s="1" t="s">
        <v>4</v>
      </c>
      <c r="B7" s="7">
        <v>61075</v>
      </c>
      <c r="C7" s="7">
        <v>31567</v>
      </c>
      <c r="D7" s="7">
        <v>936</v>
      </c>
      <c r="E7" s="7">
        <v>24618</v>
      </c>
      <c r="F7" s="7">
        <f t="shared" si="0"/>
        <v>118196</v>
      </c>
    </row>
    <row r="8" spans="1:6" x14ac:dyDescent="0.25">
      <c r="A8" s="1" t="s">
        <v>5</v>
      </c>
      <c r="B8" s="7">
        <v>7270</v>
      </c>
      <c r="C8" s="7">
        <v>6266</v>
      </c>
      <c r="D8" s="7">
        <v>108</v>
      </c>
      <c r="E8" s="7">
        <v>2223</v>
      </c>
      <c r="F8" s="7">
        <f t="shared" si="0"/>
        <v>15867</v>
      </c>
    </row>
    <row r="9" spans="1:6" x14ac:dyDescent="0.25">
      <c r="A9" s="1" t="s">
        <v>6</v>
      </c>
      <c r="B9" s="7">
        <v>172715</v>
      </c>
      <c r="C9" s="7">
        <v>128802</v>
      </c>
      <c r="D9" s="7">
        <v>3085</v>
      </c>
      <c r="E9" s="7">
        <v>103864</v>
      </c>
      <c r="F9" s="7">
        <f t="shared" si="0"/>
        <v>408466</v>
      </c>
    </row>
    <row r="10" spans="1:6" x14ac:dyDescent="0.25">
      <c r="A10" s="1" t="s">
        <v>7</v>
      </c>
      <c r="B10" s="7">
        <v>257461</v>
      </c>
      <c r="C10" s="7">
        <v>601369</v>
      </c>
      <c r="D10" s="7">
        <v>5629</v>
      </c>
      <c r="E10" s="7">
        <v>324967</v>
      </c>
      <c r="F10" s="7">
        <f t="shared" si="0"/>
        <v>1189426</v>
      </c>
    </row>
    <row r="11" spans="1:6" x14ac:dyDescent="0.25">
      <c r="A11" s="1" t="s">
        <v>8</v>
      </c>
      <c r="B11" s="7">
        <v>2314</v>
      </c>
      <c r="C11" s="7">
        <v>5351</v>
      </c>
      <c r="D11" s="7">
        <v>32</v>
      </c>
      <c r="E11" s="7">
        <v>904</v>
      </c>
      <c r="F11" s="7">
        <f t="shared" si="0"/>
        <v>8601</v>
      </c>
    </row>
    <row r="12" spans="1:6" x14ac:dyDescent="0.25">
      <c r="A12" s="1" t="s">
        <v>9</v>
      </c>
      <c r="B12" s="7">
        <v>57795</v>
      </c>
      <c r="C12" s="7">
        <v>36632</v>
      </c>
      <c r="D12" s="7">
        <v>1102</v>
      </c>
      <c r="E12" s="7">
        <v>34843</v>
      </c>
      <c r="F12" s="7">
        <f t="shared" si="0"/>
        <v>130372</v>
      </c>
    </row>
    <row r="13" spans="1:6" x14ac:dyDescent="0.25">
      <c r="A13" s="1" t="s">
        <v>10</v>
      </c>
      <c r="B13" s="7">
        <v>49866</v>
      </c>
      <c r="C13" s="7">
        <v>30572</v>
      </c>
      <c r="D13" s="7">
        <v>707</v>
      </c>
      <c r="E13" s="7">
        <v>26027</v>
      </c>
      <c r="F13" s="7">
        <f t="shared" si="0"/>
        <v>107172</v>
      </c>
    </row>
    <row r="14" spans="1:6" x14ac:dyDescent="0.25">
      <c r="A14" s="1" t="s">
        <v>11</v>
      </c>
      <c r="B14" s="7">
        <v>80218</v>
      </c>
      <c r="C14" s="7">
        <v>32145</v>
      </c>
      <c r="D14" s="7">
        <v>1018</v>
      </c>
      <c r="E14" s="7">
        <v>33757</v>
      </c>
      <c r="F14" s="7">
        <f t="shared" si="0"/>
        <v>147138</v>
      </c>
    </row>
    <row r="15" spans="1:6" x14ac:dyDescent="0.25">
      <c r="A15" s="1" t="s">
        <v>12</v>
      </c>
      <c r="B15" s="7">
        <v>105054</v>
      </c>
      <c r="C15" s="7">
        <v>49116</v>
      </c>
      <c r="D15" s="7">
        <v>857</v>
      </c>
      <c r="E15" s="7">
        <v>51991</v>
      </c>
      <c r="F15" s="7">
        <f t="shared" si="0"/>
        <v>207018</v>
      </c>
    </row>
    <row r="16" spans="1:6" x14ac:dyDescent="0.25">
      <c r="A16" s="1" t="s">
        <v>13</v>
      </c>
      <c r="B16" s="7">
        <v>16864</v>
      </c>
      <c r="C16" s="7">
        <v>14518</v>
      </c>
      <c r="D16" s="7">
        <v>223</v>
      </c>
      <c r="E16" s="7">
        <v>6634</v>
      </c>
      <c r="F16" s="7">
        <f t="shared" si="0"/>
        <v>38239</v>
      </c>
    </row>
    <row r="17" spans="1:6" x14ac:dyDescent="0.25">
      <c r="A17" s="1" t="s">
        <v>14</v>
      </c>
      <c r="B17" s="7">
        <v>5202</v>
      </c>
      <c r="C17" s="7">
        <v>7454</v>
      </c>
      <c r="D17" s="7">
        <v>47</v>
      </c>
      <c r="E17" s="7">
        <v>3384</v>
      </c>
      <c r="F17" s="7">
        <f t="shared" si="0"/>
        <v>16087</v>
      </c>
    </row>
    <row r="18" spans="1:6" x14ac:dyDescent="0.25">
      <c r="A18" s="1" t="s">
        <v>15</v>
      </c>
      <c r="B18" s="7">
        <v>3742</v>
      </c>
      <c r="C18" s="7">
        <v>4696</v>
      </c>
      <c r="D18" s="7">
        <v>47</v>
      </c>
      <c r="E18" s="7">
        <v>1501</v>
      </c>
      <c r="F18" s="7">
        <f t="shared" si="0"/>
        <v>9986</v>
      </c>
    </row>
    <row r="19" spans="1:6" x14ac:dyDescent="0.25">
      <c r="A19" s="1" t="s">
        <v>16</v>
      </c>
      <c r="B19" s="7">
        <v>220222</v>
      </c>
      <c r="C19" s="7">
        <v>240358</v>
      </c>
      <c r="D19" s="7">
        <v>4374</v>
      </c>
      <c r="E19" s="7">
        <v>123403</v>
      </c>
      <c r="F19" s="7">
        <f t="shared" si="0"/>
        <v>588357</v>
      </c>
    </row>
    <row r="20" spans="1:6" x14ac:dyDescent="0.25">
      <c r="A20" s="1" t="s">
        <v>17</v>
      </c>
      <c r="B20" s="7">
        <v>93853</v>
      </c>
      <c r="C20" s="7">
        <v>72263</v>
      </c>
      <c r="D20" s="7">
        <v>1310</v>
      </c>
      <c r="E20" s="7">
        <v>41813</v>
      </c>
      <c r="F20" s="7">
        <f t="shared" si="0"/>
        <v>209239</v>
      </c>
    </row>
    <row r="21" spans="1:6" x14ac:dyDescent="0.25">
      <c r="A21" s="1" t="s">
        <v>18</v>
      </c>
      <c r="B21" s="7">
        <v>32148</v>
      </c>
      <c r="C21" s="7">
        <v>25494</v>
      </c>
      <c r="D21" s="7">
        <v>563</v>
      </c>
      <c r="E21" s="7">
        <v>22223</v>
      </c>
      <c r="F21" s="7">
        <f t="shared" si="0"/>
        <v>80428</v>
      </c>
    </row>
    <row r="22" spans="1:6" x14ac:dyDescent="0.25">
      <c r="A22" s="1" t="s">
        <v>19</v>
      </c>
      <c r="B22" s="7">
        <v>2328</v>
      </c>
      <c r="C22" s="7">
        <v>4155</v>
      </c>
      <c r="D22" s="7">
        <v>52</v>
      </c>
      <c r="E22" s="7">
        <v>917</v>
      </c>
      <c r="F22" s="7">
        <f t="shared" si="0"/>
        <v>7452</v>
      </c>
    </row>
    <row r="23" spans="1:6" x14ac:dyDescent="0.25">
      <c r="A23" s="1" t="s">
        <v>20</v>
      </c>
      <c r="B23" s="7">
        <v>4526</v>
      </c>
      <c r="C23" s="7">
        <v>22438</v>
      </c>
      <c r="D23" s="7">
        <v>75</v>
      </c>
      <c r="E23" s="7">
        <v>2623</v>
      </c>
      <c r="F23" s="7">
        <f t="shared" si="0"/>
        <v>29662</v>
      </c>
    </row>
    <row r="24" spans="1:6" x14ac:dyDescent="0.25">
      <c r="A24" s="1" t="s">
        <v>21</v>
      </c>
      <c r="B24" s="7">
        <v>6161</v>
      </c>
      <c r="C24" s="7">
        <v>3525</v>
      </c>
      <c r="D24" s="7">
        <v>138</v>
      </c>
      <c r="E24" s="7">
        <v>1577</v>
      </c>
      <c r="F24" s="7">
        <f t="shared" si="0"/>
        <v>11401</v>
      </c>
    </row>
    <row r="25" spans="1:6" x14ac:dyDescent="0.25">
      <c r="A25" s="1" t="s">
        <v>22</v>
      </c>
      <c r="B25" s="7">
        <v>2424</v>
      </c>
      <c r="C25" s="7">
        <v>3090</v>
      </c>
      <c r="D25" s="7">
        <v>63</v>
      </c>
      <c r="E25" s="7">
        <v>1133</v>
      </c>
      <c r="F25" s="7">
        <f t="shared" si="0"/>
        <v>6710</v>
      </c>
    </row>
    <row r="26" spans="1:6" x14ac:dyDescent="0.25">
      <c r="A26" s="1" t="s">
        <v>23</v>
      </c>
      <c r="B26" s="7">
        <v>4699</v>
      </c>
      <c r="C26" s="7">
        <v>4307</v>
      </c>
      <c r="D26" s="7">
        <v>69</v>
      </c>
      <c r="E26" s="7">
        <v>1194</v>
      </c>
      <c r="F26" s="7">
        <f t="shared" si="0"/>
        <v>10269</v>
      </c>
    </row>
    <row r="27" spans="1:6" x14ac:dyDescent="0.25">
      <c r="A27" s="1" t="s">
        <v>24</v>
      </c>
      <c r="B27" s="7">
        <v>2337</v>
      </c>
      <c r="C27" s="7">
        <v>4754</v>
      </c>
      <c r="D27" s="7">
        <v>54</v>
      </c>
      <c r="E27" s="7">
        <v>967</v>
      </c>
      <c r="F27" s="7">
        <f t="shared" si="0"/>
        <v>8112</v>
      </c>
    </row>
    <row r="28" spans="1:6" x14ac:dyDescent="0.25">
      <c r="A28" s="1" t="s">
        <v>25</v>
      </c>
      <c r="B28" s="7">
        <v>5047</v>
      </c>
      <c r="C28" s="7">
        <v>4675</v>
      </c>
      <c r="D28" s="7">
        <v>116</v>
      </c>
      <c r="E28" s="7">
        <v>1949</v>
      </c>
      <c r="F28" s="7">
        <f t="shared" si="0"/>
        <v>11787</v>
      </c>
    </row>
    <row r="29" spans="1:6" x14ac:dyDescent="0.25">
      <c r="A29" s="1" t="s">
        <v>26</v>
      </c>
      <c r="B29" s="7">
        <v>6226</v>
      </c>
      <c r="C29" s="7">
        <v>8232</v>
      </c>
      <c r="D29" s="7">
        <v>149</v>
      </c>
      <c r="E29" s="7">
        <v>3106</v>
      </c>
      <c r="F29" s="7">
        <f t="shared" si="0"/>
        <v>17713</v>
      </c>
    </row>
    <row r="30" spans="1:6" x14ac:dyDescent="0.25">
      <c r="A30" s="1" t="s">
        <v>27</v>
      </c>
      <c r="B30" s="7">
        <v>52797</v>
      </c>
      <c r="C30" s="7">
        <v>41998</v>
      </c>
      <c r="D30" s="7">
        <v>1093</v>
      </c>
      <c r="E30" s="7">
        <v>32998</v>
      </c>
      <c r="F30" s="7">
        <f t="shared" si="0"/>
        <v>128886</v>
      </c>
    </row>
    <row r="31" spans="1:6" x14ac:dyDescent="0.25">
      <c r="A31" s="1" t="s">
        <v>28</v>
      </c>
      <c r="B31" s="7">
        <v>28109</v>
      </c>
      <c r="C31" s="7">
        <v>20185</v>
      </c>
      <c r="D31" s="7">
        <v>432</v>
      </c>
      <c r="E31" s="7">
        <v>13359</v>
      </c>
      <c r="F31" s="7">
        <f t="shared" si="0"/>
        <v>62085</v>
      </c>
    </row>
    <row r="32" spans="1:6" x14ac:dyDescent="0.25">
      <c r="A32" s="1" t="s">
        <v>29</v>
      </c>
      <c r="B32" s="7">
        <v>266587</v>
      </c>
      <c r="C32" s="7">
        <v>331522</v>
      </c>
      <c r="D32" s="7">
        <v>5931</v>
      </c>
      <c r="E32" s="7">
        <v>237354</v>
      </c>
      <c r="F32" s="7">
        <f t="shared" si="0"/>
        <v>841394</v>
      </c>
    </row>
    <row r="33" spans="1:6" x14ac:dyDescent="0.25">
      <c r="A33" s="1" t="s">
        <v>30</v>
      </c>
      <c r="B33" s="7">
        <v>6059</v>
      </c>
      <c r="C33" s="7">
        <v>3995</v>
      </c>
      <c r="D33" s="7">
        <v>29</v>
      </c>
      <c r="E33" s="7">
        <v>1237</v>
      </c>
      <c r="F33" s="7">
        <f t="shared" si="0"/>
        <v>11320</v>
      </c>
    </row>
    <row r="34" spans="1:6" x14ac:dyDescent="0.25">
      <c r="A34" s="1" t="s">
        <v>31</v>
      </c>
      <c r="B34" s="7">
        <v>49932</v>
      </c>
      <c r="C34" s="7">
        <v>29183</v>
      </c>
      <c r="D34" s="7">
        <v>829</v>
      </c>
      <c r="E34" s="7">
        <v>27396</v>
      </c>
      <c r="F34" s="7">
        <f t="shared" si="0"/>
        <v>107340</v>
      </c>
    </row>
    <row r="35" spans="1:6" x14ac:dyDescent="0.25">
      <c r="A35" s="1" t="s">
        <v>32</v>
      </c>
      <c r="B35" s="7">
        <v>10114</v>
      </c>
      <c r="C35" s="7">
        <v>15634</v>
      </c>
      <c r="D35" s="7">
        <v>85</v>
      </c>
      <c r="E35" s="7">
        <v>2994</v>
      </c>
      <c r="F35" s="7">
        <f t="shared" si="0"/>
        <v>28827</v>
      </c>
    </row>
    <row r="36" spans="1:6" x14ac:dyDescent="0.25">
      <c r="A36" s="1" t="s">
        <v>33</v>
      </c>
      <c r="B36" s="7">
        <v>2759</v>
      </c>
      <c r="C36" s="7">
        <v>5706</v>
      </c>
      <c r="D36" s="7">
        <v>50</v>
      </c>
      <c r="E36" s="7">
        <v>970</v>
      </c>
      <c r="F36" s="7">
        <f t="shared" si="0"/>
        <v>9485</v>
      </c>
    </row>
    <row r="37" spans="1:6" x14ac:dyDescent="0.25">
      <c r="A37" s="1" t="s">
        <v>34</v>
      </c>
      <c r="B37" s="7">
        <v>1551</v>
      </c>
      <c r="C37" s="7">
        <v>2604</v>
      </c>
      <c r="D37" s="7">
        <v>18</v>
      </c>
      <c r="E37" s="7">
        <v>290</v>
      </c>
      <c r="F37" s="7">
        <f t="shared" si="0"/>
        <v>4463</v>
      </c>
    </row>
    <row r="38" spans="1:6" x14ac:dyDescent="0.25">
      <c r="A38" s="1" t="s">
        <v>35</v>
      </c>
      <c r="B38" s="7">
        <v>99181</v>
      </c>
      <c r="C38" s="7">
        <v>70686</v>
      </c>
      <c r="D38" s="7">
        <v>1633</v>
      </c>
      <c r="E38" s="7">
        <v>54613</v>
      </c>
      <c r="F38" s="7">
        <f t="shared" si="0"/>
        <v>226113</v>
      </c>
    </row>
    <row r="39" spans="1:6" x14ac:dyDescent="0.25">
      <c r="A39" s="1" t="s">
        <v>36</v>
      </c>
      <c r="B39" s="7">
        <v>188406</v>
      </c>
      <c r="C39" s="7">
        <v>118734</v>
      </c>
      <c r="D39" s="7">
        <v>2897</v>
      </c>
      <c r="E39" s="7">
        <v>123170</v>
      </c>
      <c r="F39" s="7">
        <f t="shared" si="0"/>
        <v>433207</v>
      </c>
    </row>
    <row r="40" spans="1:6" x14ac:dyDescent="0.25">
      <c r="A40" s="1" t="s">
        <v>37</v>
      </c>
      <c r="B40" s="7">
        <v>57487</v>
      </c>
      <c r="C40" s="7">
        <v>109174</v>
      </c>
      <c r="D40" s="7">
        <v>1431</v>
      </c>
      <c r="E40" s="7">
        <v>38571</v>
      </c>
      <c r="F40" s="7">
        <f t="shared" si="0"/>
        <v>206663</v>
      </c>
    </row>
    <row r="41" spans="1:6" x14ac:dyDescent="0.25">
      <c r="A41" s="1" t="s">
        <v>38</v>
      </c>
      <c r="B41" s="7">
        <v>12399</v>
      </c>
      <c r="C41" s="7">
        <v>9446</v>
      </c>
      <c r="D41" s="7">
        <v>607</v>
      </c>
      <c r="E41" s="7">
        <v>4518</v>
      </c>
      <c r="F41" s="7">
        <f t="shared" si="0"/>
        <v>26970</v>
      </c>
    </row>
    <row r="42" spans="1:6" x14ac:dyDescent="0.25">
      <c r="A42" s="1" t="s">
        <v>39</v>
      </c>
      <c r="B42" s="7">
        <v>750</v>
      </c>
      <c r="C42" s="7">
        <v>3373</v>
      </c>
      <c r="D42" s="7">
        <v>24</v>
      </c>
      <c r="E42" s="7">
        <v>359</v>
      </c>
      <c r="F42" s="7">
        <f t="shared" si="0"/>
        <v>4506</v>
      </c>
    </row>
    <row r="43" spans="1:6" x14ac:dyDescent="0.25">
      <c r="A43" s="1" t="s">
        <v>40</v>
      </c>
      <c r="B43" s="7">
        <v>3281</v>
      </c>
      <c r="C43" s="7">
        <v>7162</v>
      </c>
      <c r="D43" s="7">
        <v>43</v>
      </c>
      <c r="E43" s="7">
        <v>1217</v>
      </c>
      <c r="F43" s="7">
        <f t="shared" si="0"/>
        <v>11703</v>
      </c>
    </row>
    <row r="44" spans="1:6" x14ac:dyDescent="0.25">
      <c r="A44" s="1" t="s">
        <v>41</v>
      </c>
      <c r="B44" s="7">
        <v>101681</v>
      </c>
      <c r="C44" s="7">
        <v>71834</v>
      </c>
      <c r="D44" s="7">
        <v>1784</v>
      </c>
      <c r="E44" s="7">
        <v>58442</v>
      </c>
      <c r="F44" s="7">
        <f t="shared" si="0"/>
        <v>233741</v>
      </c>
    </row>
    <row r="45" spans="1:6" x14ac:dyDescent="0.25">
      <c r="A45" s="1" t="s">
        <v>42</v>
      </c>
      <c r="B45" s="7">
        <v>100804</v>
      </c>
      <c r="C45" s="7">
        <v>76283</v>
      </c>
      <c r="D45" s="7">
        <v>2139</v>
      </c>
      <c r="E45" s="7">
        <v>47493</v>
      </c>
      <c r="F45" s="7">
        <f t="shared" si="0"/>
        <v>226719</v>
      </c>
    </row>
    <row r="46" spans="1:6" x14ac:dyDescent="0.25">
      <c r="A46" s="1" t="s">
        <v>43</v>
      </c>
      <c r="B46" s="7">
        <v>55001</v>
      </c>
      <c r="C46" s="7">
        <v>27602</v>
      </c>
      <c r="D46" s="7">
        <v>825</v>
      </c>
      <c r="E46" s="7">
        <v>26450</v>
      </c>
      <c r="F46" s="7">
        <f t="shared" si="0"/>
        <v>109878</v>
      </c>
    </row>
    <row r="47" spans="1:6" x14ac:dyDescent="0.25">
      <c r="A47" s="1" t="s">
        <v>44</v>
      </c>
      <c r="B47" s="7">
        <v>374378</v>
      </c>
      <c r="C47" s="7">
        <v>593512</v>
      </c>
      <c r="D47" s="7">
        <v>5482</v>
      </c>
      <c r="E47" s="7">
        <v>423961</v>
      </c>
      <c r="F47" s="7">
        <f t="shared" si="0"/>
        <v>1397333</v>
      </c>
    </row>
    <row r="48" spans="1:6" x14ac:dyDescent="0.25">
      <c r="A48" s="1" t="s">
        <v>45</v>
      </c>
      <c r="B48" s="7">
        <v>21319</v>
      </c>
      <c r="C48" s="7">
        <v>17933</v>
      </c>
      <c r="D48" s="7">
        <v>359</v>
      </c>
      <c r="E48" s="7">
        <v>15210</v>
      </c>
      <c r="F48" s="7">
        <f t="shared" si="0"/>
        <v>54821</v>
      </c>
    </row>
    <row r="49" spans="1:6" x14ac:dyDescent="0.25">
      <c r="A49" s="1" t="s">
        <v>46</v>
      </c>
      <c r="B49" s="7">
        <v>35848</v>
      </c>
      <c r="C49" s="7">
        <v>14030</v>
      </c>
      <c r="D49" s="7">
        <v>531</v>
      </c>
      <c r="E49" s="7">
        <v>12000</v>
      </c>
      <c r="F49" s="7">
        <f t="shared" si="0"/>
        <v>62409</v>
      </c>
    </row>
    <row r="50" spans="1:6" x14ac:dyDescent="0.25">
      <c r="A50" s="1" t="s">
        <v>47</v>
      </c>
      <c r="B50" s="7">
        <v>79609</v>
      </c>
      <c r="C50" s="7">
        <v>26611</v>
      </c>
      <c r="D50" s="7">
        <v>860</v>
      </c>
      <c r="E50" s="7">
        <v>30764</v>
      </c>
      <c r="F50" s="7">
        <f t="shared" si="0"/>
        <v>137844</v>
      </c>
    </row>
    <row r="51" spans="1:6" x14ac:dyDescent="0.25">
      <c r="A51" s="1" t="s">
        <v>48</v>
      </c>
      <c r="B51" s="7">
        <v>8529</v>
      </c>
      <c r="C51" s="7">
        <v>7638</v>
      </c>
      <c r="D51" s="7">
        <v>79</v>
      </c>
      <c r="E51" s="7">
        <v>3895</v>
      </c>
      <c r="F51" s="7">
        <f t="shared" si="0"/>
        <v>20141</v>
      </c>
    </row>
    <row r="52" spans="1:6" x14ac:dyDescent="0.25">
      <c r="A52" s="1" t="s">
        <v>49</v>
      </c>
      <c r="B52" s="7">
        <v>214741</v>
      </c>
      <c r="C52" s="7">
        <v>335918</v>
      </c>
      <c r="D52" s="7">
        <v>5040</v>
      </c>
      <c r="E52" s="7">
        <v>232781</v>
      </c>
      <c r="F52" s="7">
        <f t="shared" si="0"/>
        <v>788480</v>
      </c>
    </row>
    <row r="53" spans="1:6" x14ac:dyDescent="0.25">
      <c r="A53" s="1" t="s">
        <v>50</v>
      </c>
      <c r="B53" s="7">
        <v>47860</v>
      </c>
      <c r="C53" s="7">
        <v>88025</v>
      </c>
      <c r="D53" s="7">
        <v>903</v>
      </c>
      <c r="E53" s="7">
        <v>64756</v>
      </c>
      <c r="F53" s="7">
        <f t="shared" si="0"/>
        <v>201544</v>
      </c>
    </row>
    <row r="54" spans="1:6" x14ac:dyDescent="0.25">
      <c r="A54" s="1" t="s">
        <v>51</v>
      </c>
      <c r="B54" s="7">
        <v>256767</v>
      </c>
      <c r="C54" s="7">
        <v>385254</v>
      </c>
      <c r="D54" s="7">
        <v>6274</v>
      </c>
      <c r="E54" s="7">
        <v>260221</v>
      </c>
      <c r="F54" s="7">
        <f t="shared" si="0"/>
        <v>908516</v>
      </c>
    </row>
    <row r="55" spans="1:6" x14ac:dyDescent="0.25">
      <c r="A55" s="1" t="s">
        <v>52</v>
      </c>
      <c r="B55" s="7">
        <v>129206</v>
      </c>
      <c r="C55" s="7">
        <v>105333</v>
      </c>
      <c r="D55" s="7">
        <v>3796</v>
      </c>
      <c r="E55" s="7">
        <v>93046</v>
      </c>
      <c r="F55" s="7">
        <f t="shared" si="0"/>
        <v>331381</v>
      </c>
    </row>
    <row r="56" spans="1:6" x14ac:dyDescent="0.25">
      <c r="A56" s="1" t="s">
        <v>53</v>
      </c>
      <c r="B56" s="7">
        <v>230222</v>
      </c>
      <c r="C56" s="7">
        <v>229515</v>
      </c>
      <c r="D56" s="7">
        <v>5387</v>
      </c>
      <c r="E56" s="7">
        <v>176714</v>
      </c>
      <c r="F56" s="7">
        <f t="shared" si="0"/>
        <v>641838</v>
      </c>
    </row>
    <row r="57" spans="1:6" x14ac:dyDescent="0.25">
      <c r="A57" s="1" t="s">
        <v>54</v>
      </c>
      <c r="B57" s="7">
        <v>143133</v>
      </c>
      <c r="C57" s="7">
        <v>144181</v>
      </c>
      <c r="D57" s="7">
        <v>2727</v>
      </c>
      <c r="E57" s="7">
        <v>105988</v>
      </c>
      <c r="F57" s="7">
        <f t="shared" si="0"/>
        <v>396029</v>
      </c>
    </row>
    <row r="58" spans="1:6" x14ac:dyDescent="0.25">
      <c r="A58" s="1" t="s">
        <v>55</v>
      </c>
      <c r="B58" s="7">
        <v>18375</v>
      </c>
      <c r="C58" s="7">
        <v>20410</v>
      </c>
      <c r="D58" s="7">
        <v>264</v>
      </c>
      <c r="E58" s="7">
        <v>9094</v>
      </c>
      <c r="F58" s="7">
        <f t="shared" si="0"/>
        <v>48143</v>
      </c>
    </row>
    <row r="59" spans="1:6" x14ac:dyDescent="0.25">
      <c r="A59" s="1" t="s">
        <v>56</v>
      </c>
      <c r="B59" s="7">
        <v>77553</v>
      </c>
      <c r="C59" s="7">
        <v>26571</v>
      </c>
      <c r="D59" s="7">
        <v>1060</v>
      </c>
      <c r="E59" s="7">
        <v>27994</v>
      </c>
      <c r="F59" s="7">
        <f t="shared" si="0"/>
        <v>133178</v>
      </c>
    </row>
    <row r="60" spans="1:6" x14ac:dyDescent="0.25">
      <c r="A60" s="1" t="s">
        <v>57</v>
      </c>
      <c r="B60" s="7">
        <v>131245</v>
      </c>
      <c r="C60" s="7">
        <v>93455</v>
      </c>
      <c r="D60" s="7">
        <v>2032</v>
      </c>
      <c r="E60" s="7">
        <v>79112</v>
      </c>
      <c r="F60" s="7">
        <f t="shared" si="0"/>
        <v>305844</v>
      </c>
    </row>
    <row r="61" spans="1:6" x14ac:dyDescent="0.25">
      <c r="A61" s="1" t="s">
        <v>58</v>
      </c>
      <c r="B61" s="7">
        <v>111497</v>
      </c>
      <c r="C61" s="7">
        <v>98642</v>
      </c>
      <c r="D61" s="7">
        <v>2054</v>
      </c>
      <c r="E61" s="7">
        <v>80583</v>
      </c>
      <c r="F61" s="7">
        <f t="shared" si="0"/>
        <v>292776</v>
      </c>
    </row>
    <row r="62" spans="1:6" x14ac:dyDescent="0.25">
      <c r="A62" s="1" t="s">
        <v>59</v>
      </c>
      <c r="B62" s="7">
        <v>92978</v>
      </c>
      <c r="C62" s="7">
        <v>41071</v>
      </c>
      <c r="D62" s="7">
        <v>1315</v>
      </c>
      <c r="E62" s="7">
        <v>39772</v>
      </c>
      <c r="F62" s="7">
        <f t="shared" si="0"/>
        <v>175136</v>
      </c>
    </row>
    <row r="63" spans="1:6" x14ac:dyDescent="0.25">
      <c r="A63" s="1" t="s">
        <v>60</v>
      </c>
      <c r="B63" s="7">
        <v>62867</v>
      </c>
      <c r="C63" s="7">
        <v>78174</v>
      </c>
      <c r="D63" s="7">
        <v>1028</v>
      </c>
      <c r="E63" s="7">
        <v>52291</v>
      </c>
      <c r="F63" s="7">
        <f t="shared" si="0"/>
        <v>194360</v>
      </c>
    </row>
    <row r="64" spans="1:6" x14ac:dyDescent="0.25">
      <c r="A64" s="1" t="s">
        <v>61</v>
      </c>
      <c r="B64" s="7">
        <v>49788</v>
      </c>
      <c r="C64" s="7">
        <v>23664</v>
      </c>
      <c r="D64" s="7">
        <v>596</v>
      </c>
      <c r="E64" s="7">
        <v>19221</v>
      </c>
      <c r="F64" s="7">
        <f t="shared" si="0"/>
        <v>93269</v>
      </c>
    </row>
    <row r="65" spans="1:6" x14ac:dyDescent="0.25">
      <c r="A65" s="1" t="s">
        <v>62</v>
      </c>
      <c r="B65" s="7">
        <v>11391</v>
      </c>
      <c r="C65" s="7">
        <v>10710</v>
      </c>
      <c r="D65" s="7">
        <v>962</v>
      </c>
      <c r="E65" s="7">
        <v>3203</v>
      </c>
      <c r="F65" s="7">
        <f t="shared" si="0"/>
        <v>26266</v>
      </c>
    </row>
    <row r="66" spans="1:6" x14ac:dyDescent="0.25">
      <c r="A66" s="1" t="s">
        <v>63</v>
      </c>
      <c r="B66" s="7">
        <v>4325</v>
      </c>
      <c r="C66" s="7">
        <v>6889</v>
      </c>
      <c r="D66" s="7">
        <v>68</v>
      </c>
      <c r="E66" s="7">
        <v>1126</v>
      </c>
      <c r="F66" s="7">
        <f t="shared" si="0"/>
        <v>12408</v>
      </c>
    </row>
    <row r="67" spans="1:6" x14ac:dyDescent="0.25">
      <c r="A67" s="1" t="s">
        <v>64</v>
      </c>
      <c r="B67" s="7">
        <v>3039</v>
      </c>
      <c r="C67" s="7">
        <v>3477</v>
      </c>
      <c r="D67" s="7">
        <v>42</v>
      </c>
      <c r="E67" s="7">
        <v>728</v>
      </c>
      <c r="F67" s="7">
        <f t="shared" si="0"/>
        <v>7286</v>
      </c>
    </row>
    <row r="68" spans="1:6" x14ac:dyDescent="0.25">
      <c r="A68" s="1" t="s">
        <v>65</v>
      </c>
      <c r="B68" s="7">
        <v>129721</v>
      </c>
      <c r="C68" s="7">
        <v>129627</v>
      </c>
      <c r="D68" s="7">
        <v>2800</v>
      </c>
      <c r="E68" s="7">
        <v>106352</v>
      </c>
      <c r="F68" s="7">
        <f t="shared" si="0"/>
        <v>368500</v>
      </c>
    </row>
    <row r="69" spans="1:6" x14ac:dyDescent="0.25">
      <c r="A69" s="1" t="s">
        <v>66</v>
      </c>
      <c r="B69" s="7">
        <v>7873</v>
      </c>
      <c r="C69" s="7">
        <v>8610</v>
      </c>
      <c r="D69" s="7">
        <v>175</v>
      </c>
      <c r="E69" s="7">
        <v>3192</v>
      </c>
      <c r="F69" s="7">
        <f t="shared" si="0"/>
        <v>19850</v>
      </c>
    </row>
    <row r="70" spans="1:6" x14ac:dyDescent="0.25">
      <c r="A70" s="1" t="s">
        <v>67</v>
      </c>
      <c r="B70" s="7">
        <v>27462</v>
      </c>
      <c r="C70" s="7">
        <v>9704</v>
      </c>
      <c r="D70" s="7">
        <v>274</v>
      </c>
      <c r="E70" s="7">
        <v>9139</v>
      </c>
      <c r="F70" s="7">
        <f t="shared" ref="F70:F71" si="1">SUM(B70:E70)</f>
        <v>46579</v>
      </c>
    </row>
    <row r="71" spans="1:6" ht="15.75" thickBot="1" x14ac:dyDescent="0.3">
      <c r="A71" s="1" t="s">
        <v>68</v>
      </c>
      <c r="B71" s="7">
        <v>7742</v>
      </c>
      <c r="C71" s="7">
        <v>5589</v>
      </c>
      <c r="D71" s="7">
        <v>196</v>
      </c>
      <c r="E71" s="7">
        <v>1896</v>
      </c>
      <c r="F71" s="7">
        <f t="shared" si="1"/>
        <v>15423</v>
      </c>
    </row>
    <row r="72" spans="1:6" ht="16.5" thickTop="1" thickBot="1" x14ac:dyDescent="0.3">
      <c r="A72" s="3" t="s">
        <v>1</v>
      </c>
      <c r="B72" s="9">
        <f>SUM(B5:B71)</f>
        <v>4572462</v>
      </c>
      <c r="C72" s="9">
        <f>SUM(C5:C71)</f>
        <v>4882964</v>
      </c>
      <c r="D72" s="9">
        <f>SUM(D5:D71)</f>
        <v>86454</v>
      </c>
      <c r="E72" s="9">
        <f>SUM(E5:E71)</f>
        <v>3383543</v>
      </c>
      <c r="F72" s="9">
        <f>SUM(F5:F71)</f>
        <v>12925423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ColWidth="15.710937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90</v>
      </c>
      <c r="B1" s="17"/>
      <c r="C1" s="17"/>
      <c r="D1" s="17"/>
      <c r="E1" s="17"/>
      <c r="F1" s="18"/>
    </row>
    <row r="2" spans="1:6" ht="15" customHeight="1" x14ac:dyDescent="0.25">
      <c r="A2" s="13" t="s">
        <v>76</v>
      </c>
      <c r="B2" s="14"/>
      <c r="C2" s="14"/>
      <c r="D2" s="14"/>
      <c r="E2" s="14"/>
      <c r="F2" s="15"/>
    </row>
    <row r="3" spans="1:6" ht="15" customHeight="1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50679</v>
      </c>
      <c r="C5" s="7">
        <v>85689</v>
      </c>
      <c r="D5" s="7">
        <v>1520</v>
      </c>
      <c r="E5" s="7">
        <v>41952</v>
      </c>
      <c r="F5" s="10">
        <f>SUM(B5:E5)</f>
        <v>179840</v>
      </c>
    </row>
    <row r="6" spans="1:6" x14ac:dyDescent="0.25">
      <c r="A6" s="1" t="s">
        <v>3</v>
      </c>
      <c r="B6" s="7">
        <v>7956</v>
      </c>
      <c r="C6" s="7">
        <v>5889</v>
      </c>
      <c r="D6" s="7">
        <v>46</v>
      </c>
      <c r="E6" s="7">
        <v>1595</v>
      </c>
      <c r="F6" s="10">
        <f t="shared" ref="F6:F69" si="0">SUM(B6:E6)</f>
        <v>15486</v>
      </c>
    </row>
    <row r="7" spans="1:6" x14ac:dyDescent="0.25">
      <c r="A7" s="1" t="s">
        <v>4</v>
      </c>
      <c r="B7" s="7">
        <v>60368</v>
      </c>
      <c r="C7" s="7">
        <v>31129</v>
      </c>
      <c r="D7" s="7">
        <v>940</v>
      </c>
      <c r="E7" s="7">
        <v>24108</v>
      </c>
      <c r="F7" s="10">
        <f t="shared" si="0"/>
        <v>116545</v>
      </c>
    </row>
    <row r="8" spans="1:6" x14ac:dyDescent="0.25">
      <c r="A8" s="1" t="s">
        <v>5</v>
      </c>
      <c r="B8" s="7">
        <v>7298</v>
      </c>
      <c r="C8" s="7">
        <v>6268</v>
      </c>
      <c r="D8" s="7">
        <v>110</v>
      </c>
      <c r="E8" s="7">
        <v>2237</v>
      </c>
      <c r="F8" s="10">
        <f t="shared" si="0"/>
        <v>15913</v>
      </c>
    </row>
    <row r="9" spans="1:6" x14ac:dyDescent="0.25">
      <c r="A9" s="1" t="s">
        <v>6</v>
      </c>
      <c r="B9" s="7">
        <v>172706</v>
      </c>
      <c r="C9" s="7">
        <v>128678</v>
      </c>
      <c r="D9" s="7">
        <v>3183</v>
      </c>
      <c r="E9" s="7">
        <v>103922</v>
      </c>
      <c r="F9" s="10">
        <f t="shared" si="0"/>
        <v>408489</v>
      </c>
    </row>
    <row r="10" spans="1:6" x14ac:dyDescent="0.25">
      <c r="A10" s="1" t="s">
        <v>7</v>
      </c>
      <c r="B10" s="7">
        <v>256882</v>
      </c>
      <c r="C10" s="7">
        <v>599073</v>
      </c>
      <c r="D10" s="7">
        <v>5758</v>
      </c>
      <c r="E10" s="7">
        <v>323439</v>
      </c>
      <c r="F10" s="10">
        <f t="shared" si="0"/>
        <v>1185152</v>
      </c>
    </row>
    <row r="11" spans="1:6" x14ac:dyDescent="0.25">
      <c r="A11" s="1" t="s">
        <v>8</v>
      </c>
      <c r="B11" s="7">
        <v>2315</v>
      </c>
      <c r="C11" s="7">
        <v>5332</v>
      </c>
      <c r="D11" s="7">
        <v>31</v>
      </c>
      <c r="E11" s="7">
        <v>909</v>
      </c>
      <c r="F11" s="10">
        <f t="shared" si="0"/>
        <v>8587</v>
      </c>
    </row>
    <row r="12" spans="1:6" x14ac:dyDescent="0.25">
      <c r="A12" s="1" t="s">
        <v>9</v>
      </c>
      <c r="B12" s="7">
        <v>58029</v>
      </c>
      <c r="C12" s="7">
        <v>36674</v>
      </c>
      <c r="D12" s="7">
        <v>1120</v>
      </c>
      <c r="E12" s="7">
        <v>34902</v>
      </c>
      <c r="F12" s="10">
        <f t="shared" si="0"/>
        <v>130725</v>
      </c>
    </row>
    <row r="13" spans="1:6" x14ac:dyDescent="0.25">
      <c r="A13" s="1" t="s">
        <v>10</v>
      </c>
      <c r="B13" s="7">
        <v>49925</v>
      </c>
      <c r="C13" s="7">
        <v>30489</v>
      </c>
      <c r="D13" s="7">
        <v>717</v>
      </c>
      <c r="E13" s="7">
        <v>25980</v>
      </c>
      <c r="F13" s="10">
        <f t="shared" si="0"/>
        <v>107111</v>
      </c>
    </row>
    <row r="14" spans="1:6" x14ac:dyDescent="0.25">
      <c r="A14" s="1" t="s">
        <v>11</v>
      </c>
      <c r="B14" s="7">
        <v>80253</v>
      </c>
      <c r="C14" s="7">
        <v>32263</v>
      </c>
      <c r="D14" s="7">
        <v>1046</v>
      </c>
      <c r="E14" s="7">
        <v>33865</v>
      </c>
      <c r="F14" s="10">
        <f t="shared" si="0"/>
        <v>147427</v>
      </c>
    </row>
    <row r="15" spans="1:6" x14ac:dyDescent="0.25">
      <c r="A15" s="1" t="s">
        <v>12</v>
      </c>
      <c r="B15" s="7">
        <v>105082</v>
      </c>
      <c r="C15" s="7">
        <v>49069</v>
      </c>
      <c r="D15" s="7">
        <v>864</v>
      </c>
      <c r="E15" s="7">
        <v>51983</v>
      </c>
      <c r="F15" s="10">
        <f t="shared" si="0"/>
        <v>206998</v>
      </c>
    </row>
    <row r="16" spans="1:6" x14ac:dyDescent="0.25">
      <c r="A16" s="1" t="s">
        <v>13</v>
      </c>
      <c r="B16" s="7">
        <v>16891</v>
      </c>
      <c r="C16" s="7">
        <v>14442</v>
      </c>
      <c r="D16" s="7">
        <v>228</v>
      </c>
      <c r="E16" s="7">
        <v>6584</v>
      </c>
      <c r="F16" s="10">
        <f t="shared" si="0"/>
        <v>38145</v>
      </c>
    </row>
    <row r="17" spans="1:6" x14ac:dyDescent="0.25">
      <c r="A17" s="1" t="s">
        <v>14</v>
      </c>
      <c r="B17" s="7">
        <v>5214</v>
      </c>
      <c r="C17" s="7">
        <v>7455</v>
      </c>
      <c r="D17" s="7">
        <v>50</v>
      </c>
      <c r="E17" s="7">
        <v>3401</v>
      </c>
      <c r="F17" s="10">
        <f t="shared" si="0"/>
        <v>16120</v>
      </c>
    </row>
    <row r="18" spans="1:6" x14ac:dyDescent="0.25">
      <c r="A18" s="1" t="s">
        <v>15</v>
      </c>
      <c r="B18" s="7">
        <v>3743</v>
      </c>
      <c r="C18" s="7">
        <v>4679</v>
      </c>
      <c r="D18" s="7">
        <v>46</v>
      </c>
      <c r="E18" s="7">
        <v>1504</v>
      </c>
      <c r="F18" s="10">
        <f t="shared" si="0"/>
        <v>9972</v>
      </c>
    </row>
    <row r="19" spans="1:6" x14ac:dyDescent="0.25">
      <c r="A19" s="1" t="s">
        <v>16</v>
      </c>
      <c r="B19" s="7">
        <v>218742</v>
      </c>
      <c r="C19" s="7">
        <v>238065</v>
      </c>
      <c r="D19" s="7">
        <v>4413</v>
      </c>
      <c r="E19" s="7">
        <v>121203</v>
      </c>
      <c r="F19" s="10">
        <f t="shared" si="0"/>
        <v>582423</v>
      </c>
    </row>
    <row r="20" spans="1:6" x14ac:dyDescent="0.25">
      <c r="A20" s="1" t="s">
        <v>17</v>
      </c>
      <c r="B20" s="7">
        <v>93831</v>
      </c>
      <c r="C20" s="7">
        <v>72200</v>
      </c>
      <c r="D20" s="7">
        <v>1329</v>
      </c>
      <c r="E20" s="7">
        <v>41831</v>
      </c>
      <c r="F20" s="10">
        <f t="shared" si="0"/>
        <v>209191</v>
      </c>
    </row>
    <row r="21" spans="1:6" x14ac:dyDescent="0.25">
      <c r="A21" s="1" t="s">
        <v>18</v>
      </c>
      <c r="B21" s="7">
        <v>32279</v>
      </c>
      <c r="C21" s="7">
        <v>25537</v>
      </c>
      <c r="D21" s="7">
        <v>569</v>
      </c>
      <c r="E21" s="7">
        <v>22287</v>
      </c>
      <c r="F21" s="10">
        <f t="shared" si="0"/>
        <v>80672</v>
      </c>
    </row>
    <row r="22" spans="1:6" x14ac:dyDescent="0.25">
      <c r="A22" s="1" t="s">
        <v>19</v>
      </c>
      <c r="B22" s="7">
        <v>2331</v>
      </c>
      <c r="C22" s="7">
        <v>4140</v>
      </c>
      <c r="D22" s="7">
        <v>52</v>
      </c>
      <c r="E22" s="7">
        <v>927</v>
      </c>
      <c r="F22" s="10">
        <f t="shared" si="0"/>
        <v>7450</v>
      </c>
    </row>
    <row r="23" spans="1:6" x14ac:dyDescent="0.25">
      <c r="A23" s="1" t="s">
        <v>20</v>
      </c>
      <c r="B23" s="7">
        <v>4528</v>
      </c>
      <c r="C23" s="7">
        <v>22433</v>
      </c>
      <c r="D23" s="7">
        <v>74</v>
      </c>
      <c r="E23" s="7">
        <v>2631</v>
      </c>
      <c r="F23" s="10">
        <f t="shared" si="0"/>
        <v>29666</v>
      </c>
    </row>
    <row r="24" spans="1:6" x14ac:dyDescent="0.25">
      <c r="A24" s="1" t="s">
        <v>21</v>
      </c>
      <c r="B24" s="7">
        <v>6162</v>
      </c>
      <c r="C24" s="7">
        <v>3521</v>
      </c>
      <c r="D24" s="7">
        <v>135</v>
      </c>
      <c r="E24" s="7">
        <v>1590</v>
      </c>
      <c r="F24" s="10">
        <f t="shared" si="0"/>
        <v>11408</v>
      </c>
    </row>
    <row r="25" spans="1:6" x14ac:dyDescent="0.25">
      <c r="A25" s="1" t="s">
        <v>22</v>
      </c>
      <c r="B25" s="7">
        <v>2437</v>
      </c>
      <c r="C25" s="7">
        <v>3069</v>
      </c>
      <c r="D25" s="7">
        <v>72</v>
      </c>
      <c r="E25" s="7">
        <v>1138</v>
      </c>
      <c r="F25" s="10">
        <f t="shared" si="0"/>
        <v>6716</v>
      </c>
    </row>
    <row r="26" spans="1:6" x14ac:dyDescent="0.25">
      <c r="A26" s="1" t="s">
        <v>23</v>
      </c>
      <c r="B26" s="7">
        <v>4726</v>
      </c>
      <c r="C26" s="7">
        <v>4292</v>
      </c>
      <c r="D26" s="7">
        <v>72</v>
      </c>
      <c r="E26" s="7">
        <v>1197</v>
      </c>
      <c r="F26" s="10">
        <f t="shared" si="0"/>
        <v>10287</v>
      </c>
    </row>
    <row r="27" spans="1:6" x14ac:dyDescent="0.25">
      <c r="A27" s="1" t="s">
        <v>24</v>
      </c>
      <c r="B27" s="7">
        <v>2368</v>
      </c>
      <c r="C27" s="7">
        <v>4735</v>
      </c>
      <c r="D27" s="7">
        <v>54</v>
      </c>
      <c r="E27" s="7">
        <v>973</v>
      </c>
      <c r="F27" s="10">
        <f t="shared" si="0"/>
        <v>8130</v>
      </c>
    </row>
    <row r="28" spans="1:6" x14ac:dyDescent="0.25">
      <c r="A28" s="1" t="s">
        <v>25</v>
      </c>
      <c r="B28" s="7">
        <v>5059</v>
      </c>
      <c r="C28" s="7">
        <v>4671</v>
      </c>
      <c r="D28" s="7">
        <v>117</v>
      </c>
      <c r="E28" s="7">
        <v>1970</v>
      </c>
      <c r="F28" s="10">
        <f t="shared" si="0"/>
        <v>11817</v>
      </c>
    </row>
    <row r="29" spans="1:6" x14ac:dyDescent="0.25">
      <c r="A29" s="1" t="s">
        <v>26</v>
      </c>
      <c r="B29" s="7">
        <v>6090</v>
      </c>
      <c r="C29" s="7">
        <v>7974</v>
      </c>
      <c r="D29" s="7">
        <v>144</v>
      </c>
      <c r="E29" s="7">
        <v>2994</v>
      </c>
      <c r="F29" s="10">
        <f t="shared" si="0"/>
        <v>17202</v>
      </c>
    </row>
    <row r="30" spans="1:6" x14ac:dyDescent="0.25">
      <c r="A30" s="1" t="s">
        <v>27</v>
      </c>
      <c r="B30" s="7">
        <v>52987</v>
      </c>
      <c r="C30" s="7">
        <v>42090</v>
      </c>
      <c r="D30" s="7">
        <v>1097</v>
      </c>
      <c r="E30" s="7">
        <v>33128</v>
      </c>
      <c r="F30" s="10">
        <f t="shared" si="0"/>
        <v>129302</v>
      </c>
    </row>
    <row r="31" spans="1:6" x14ac:dyDescent="0.25">
      <c r="A31" s="1" t="s">
        <v>28</v>
      </c>
      <c r="B31" s="7">
        <v>27777</v>
      </c>
      <c r="C31" s="7">
        <v>19775</v>
      </c>
      <c r="D31" s="7">
        <v>413</v>
      </c>
      <c r="E31" s="7">
        <v>13160</v>
      </c>
      <c r="F31" s="10">
        <f t="shared" si="0"/>
        <v>61125</v>
      </c>
    </row>
    <row r="32" spans="1:6" x14ac:dyDescent="0.25">
      <c r="A32" s="1" t="s">
        <v>29</v>
      </c>
      <c r="B32" s="7">
        <v>263370</v>
      </c>
      <c r="C32" s="7">
        <v>323445</v>
      </c>
      <c r="D32" s="7">
        <v>5857</v>
      </c>
      <c r="E32" s="7">
        <v>230601</v>
      </c>
      <c r="F32" s="10">
        <f t="shared" si="0"/>
        <v>823273</v>
      </c>
    </row>
    <row r="33" spans="1:6" x14ac:dyDescent="0.25">
      <c r="A33" s="1" t="s">
        <v>30</v>
      </c>
      <c r="B33" s="7">
        <v>6040</v>
      </c>
      <c r="C33" s="7">
        <v>3959</v>
      </c>
      <c r="D33" s="7">
        <v>29</v>
      </c>
      <c r="E33" s="7">
        <v>1230</v>
      </c>
      <c r="F33" s="10">
        <f t="shared" si="0"/>
        <v>11258</v>
      </c>
    </row>
    <row r="34" spans="1:6" x14ac:dyDescent="0.25">
      <c r="A34" s="1" t="s">
        <v>31</v>
      </c>
      <c r="B34" s="7">
        <v>49950</v>
      </c>
      <c r="C34" s="7">
        <v>29166</v>
      </c>
      <c r="D34" s="7">
        <v>847</v>
      </c>
      <c r="E34" s="7">
        <v>27317</v>
      </c>
      <c r="F34" s="10">
        <f t="shared" si="0"/>
        <v>107280</v>
      </c>
    </row>
    <row r="35" spans="1:6" x14ac:dyDescent="0.25">
      <c r="A35" s="1" t="s">
        <v>32</v>
      </c>
      <c r="B35" s="7">
        <v>10028</v>
      </c>
      <c r="C35" s="7">
        <v>15545</v>
      </c>
      <c r="D35" s="7">
        <v>85</v>
      </c>
      <c r="E35" s="7">
        <v>2952</v>
      </c>
      <c r="F35" s="10">
        <f t="shared" si="0"/>
        <v>28610</v>
      </c>
    </row>
    <row r="36" spans="1:6" x14ac:dyDescent="0.25">
      <c r="A36" s="1" t="s">
        <v>33</v>
      </c>
      <c r="B36" s="7">
        <v>2763</v>
      </c>
      <c r="C36" s="7">
        <v>5707</v>
      </c>
      <c r="D36" s="7">
        <v>50</v>
      </c>
      <c r="E36" s="7">
        <v>976</v>
      </c>
      <c r="F36" s="10">
        <f t="shared" si="0"/>
        <v>9496</v>
      </c>
    </row>
    <row r="37" spans="1:6" x14ac:dyDescent="0.25">
      <c r="A37" s="1" t="s">
        <v>34</v>
      </c>
      <c r="B37" s="7">
        <v>1557</v>
      </c>
      <c r="C37" s="7">
        <v>2594</v>
      </c>
      <c r="D37" s="7">
        <v>18</v>
      </c>
      <c r="E37" s="7">
        <v>293</v>
      </c>
      <c r="F37" s="10">
        <f t="shared" si="0"/>
        <v>4462</v>
      </c>
    </row>
    <row r="38" spans="1:6" x14ac:dyDescent="0.25">
      <c r="A38" s="1" t="s">
        <v>35</v>
      </c>
      <c r="B38" s="7">
        <v>99641</v>
      </c>
      <c r="C38" s="7">
        <v>70955</v>
      </c>
      <c r="D38" s="7">
        <v>1642</v>
      </c>
      <c r="E38" s="7">
        <v>55008</v>
      </c>
      <c r="F38" s="10">
        <f t="shared" si="0"/>
        <v>227246</v>
      </c>
    </row>
    <row r="39" spans="1:6" x14ac:dyDescent="0.25">
      <c r="A39" s="1" t="s">
        <v>36</v>
      </c>
      <c r="B39" s="7">
        <v>188848</v>
      </c>
      <c r="C39" s="7">
        <v>118997</v>
      </c>
      <c r="D39" s="7">
        <v>2945</v>
      </c>
      <c r="E39" s="7">
        <v>123766</v>
      </c>
      <c r="F39" s="10">
        <f t="shared" si="0"/>
        <v>434556</v>
      </c>
    </row>
    <row r="40" spans="1:6" x14ac:dyDescent="0.25">
      <c r="A40" s="1" t="s">
        <v>37</v>
      </c>
      <c r="B40" s="7">
        <v>57565</v>
      </c>
      <c r="C40" s="7">
        <v>109135</v>
      </c>
      <c r="D40" s="7">
        <v>1439</v>
      </c>
      <c r="E40" s="7">
        <v>38650</v>
      </c>
      <c r="F40" s="10">
        <f t="shared" si="0"/>
        <v>206789</v>
      </c>
    </row>
    <row r="41" spans="1:6" x14ac:dyDescent="0.25">
      <c r="A41" s="1" t="s">
        <v>38</v>
      </c>
      <c r="B41" s="7">
        <v>12459</v>
      </c>
      <c r="C41" s="7">
        <v>9441</v>
      </c>
      <c r="D41" s="7">
        <v>602</v>
      </c>
      <c r="E41" s="7">
        <v>4552</v>
      </c>
      <c r="F41" s="10">
        <f t="shared" si="0"/>
        <v>27054</v>
      </c>
    </row>
    <row r="42" spans="1:6" x14ac:dyDescent="0.25">
      <c r="A42" s="1" t="s">
        <v>39</v>
      </c>
      <c r="B42" s="7">
        <v>750</v>
      </c>
      <c r="C42" s="7">
        <v>3364</v>
      </c>
      <c r="D42" s="7">
        <v>13</v>
      </c>
      <c r="E42" s="7">
        <v>372</v>
      </c>
      <c r="F42" s="10">
        <f t="shared" si="0"/>
        <v>4499</v>
      </c>
    </row>
    <row r="43" spans="1:6" x14ac:dyDescent="0.25">
      <c r="A43" s="1" t="s">
        <v>40</v>
      </c>
      <c r="B43" s="7">
        <v>3289</v>
      </c>
      <c r="C43" s="7">
        <v>7151</v>
      </c>
      <c r="D43" s="7">
        <v>43</v>
      </c>
      <c r="E43" s="7">
        <v>1214</v>
      </c>
      <c r="F43" s="10">
        <f t="shared" si="0"/>
        <v>11697</v>
      </c>
    </row>
    <row r="44" spans="1:6" x14ac:dyDescent="0.25">
      <c r="A44" s="1" t="s">
        <v>41</v>
      </c>
      <c r="B44" s="7">
        <v>101888</v>
      </c>
      <c r="C44" s="7">
        <v>71908</v>
      </c>
      <c r="D44" s="7">
        <v>1793</v>
      </c>
      <c r="E44" s="7">
        <v>58659</v>
      </c>
      <c r="F44" s="10">
        <f t="shared" si="0"/>
        <v>234248</v>
      </c>
    </row>
    <row r="45" spans="1:6" x14ac:dyDescent="0.25">
      <c r="A45" s="1" t="s">
        <v>42</v>
      </c>
      <c r="B45" s="7">
        <v>100783</v>
      </c>
      <c r="C45" s="7">
        <v>76200</v>
      </c>
      <c r="D45" s="7">
        <v>2148</v>
      </c>
      <c r="E45" s="7">
        <v>47746</v>
      </c>
      <c r="F45" s="10">
        <f t="shared" si="0"/>
        <v>226877</v>
      </c>
    </row>
    <row r="46" spans="1:6" x14ac:dyDescent="0.25">
      <c r="A46" s="1" t="s">
        <v>43</v>
      </c>
      <c r="B46" s="7">
        <v>54556</v>
      </c>
      <c r="C46" s="7">
        <v>27256</v>
      </c>
      <c r="D46" s="7">
        <v>860</v>
      </c>
      <c r="E46" s="7">
        <v>25915</v>
      </c>
      <c r="F46" s="10">
        <f t="shared" si="0"/>
        <v>108587</v>
      </c>
    </row>
    <row r="47" spans="1:6" x14ac:dyDescent="0.25">
      <c r="A47" s="1" t="s">
        <v>44</v>
      </c>
      <c r="B47" s="7">
        <v>374260</v>
      </c>
      <c r="C47" s="7">
        <v>593482</v>
      </c>
      <c r="D47" s="7">
        <v>5589</v>
      </c>
      <c r="E47" s="7">
        <v>424988</v>
      </c>
      <c r="F47" s="10">
        <f t="shared" si="0"/>
        <v>1398319</v>
      </c>
    </row>
    <row r="48" spans="1:6" x14ac:dyDescent="0.25">
      <c r="A48" s="1" t="s">
        <v>45</v>
      </c>
      <c r="B48" s="7">
        <v>21371</v>
      </c>
      <c r="C48" s="7">
        <v>17940</v>
      </c>
      <c r="D48" s="7">
        <v>380</v>
      </c>
      <c r="E48" s="7">
        <v>15252</v>
      </c>
      <c r="F48" s="10">
        <f t="shared" si="0"/>
        <v>54943</v>
      </c>
    </row>
    <row r="49" spans="1:6" x14ac:dyDescent="0.25">
      <c r="A49" s="1" t="s">
        <v>46</v>
      </c>
      <c r="B49" s="7">
        <v>35873</v>
      </c>
      <c r="C49" s="7">
        <v>14002</v>
      </c>
      <c r="D49" s="7">
        <v>541</v>
      </c>
      <c r="E49" s="7">
        <v>11978</v>
      </c>
      <c r="F49" s="10">
        <f t="shared" si="0"/>
        <v>62394</v>
      </c>
    </row>
    <row r="50" spans="1:6" x14ac:dyDescent="0.25">
      <c r="A50" s="1" t="s">
        <v>47</v>
      </c>
      <c r="B50" s="7">
        <v>79737</v>
      </c>
      <c r="C50" s="7">
        <v>26673</v>
      </c>
      <c r="D50" s="7">
        <v>890</v>
      </c>
      <c r="E50" s="7">
        <v>30898</v>
      </c>
      <c r="F50" s="10">
        <f t="shared" si="0"/>
        <v>138198</v>
      </c>
    </row>
    <row r="51" spans="1:6" x14ac:dyDescent="0.25">
      <c r="A51" s="1" t="s">
        <v>48</v>
      </c>
      <c r="B51" s="7">
        <v>8557</v>
      </c>
      <c r="C51" s="7">
        <v>7625</v>
      </c>
      <c r="D51" s="7">
        <v>80</v>
      </c>
      <c r="E51" s="7">
        <v>3907</v>
      </c>
      <c r="F51" s="10">
        <f t="shared" si="0"/>
        <v>20169</v>
      </c>
    </row>
    <row r="52" spans="1:6" x14ac:dyDescent="0.25">
      <c r="A52" s="1" t="s">
        <v>49</v>
      </c>
      <c r="B52" s="7">
        <v>215649</v>
      </c>
      <c r="C52" s="7">
        <v>337215</v>
      </c>
      <c r="D52" s="7">
        <v>5146</v>
      </c>
      <c r="E52" s="7">
        <v>234327</v>
      </c>
      <c r="F52" s="10">
        <f t="shared" si="0"/>
        <v>792337</v>
      </c>
    </row>
    <row r="53" spans="1:6" x14ac:dyDescent="0.25">
      <c r="A53" s="1" t="s">
        <v>50</v>
      </c>
      <c r="B53" s="7">
        <v>47398</v>
      </c>
      <c r="C53" s="7">
        <v>87095</v>
      </c>
      <c r="D53" s="7">
        <v>922</v>
      </c>
      <c r="E53" s="7">
        <v>64124</v>
      </c>
      <c r="F53" s="10">
        <f t="shared" si="0"/>
        <v>199539</v>
      </c>
    </row>
    <row r="54" spans="1:6" x14ac:dyDescent="0.25">
      <c r="A54" s="1" t="s">
        <v>51</v>
      </c>
      <c r="B54" s="7">
        <v>258235</v>
      </c>
      <c r="C54" s="7">
        <v>386340</v>
      </c>
      <c r="D54" s="7">
        <v>6579</v>
      </c>
      <c r="E54" s="7">
        <v>258879</v>
      </c>
      <c r="F54" s="10">
        <f t="shared" si="0"/>
        <v>910033</v>
      </c>
    </row>
    <row r="55" spans="1:6" x14ac:dyDescent="0.25">
      <c r="A55" s="1" t="s">
        <v>52</v>
      </c>
      <c r="B55" s="7">
        <v>129427</v>
      </c>
      <c r="C55" s="7">
        <v>105349</v>
      </c>
      <c r="D55" s="7">
        <v>3827</v>
      </c>
      <c r="E55" s="7">
        <v>93275</v>
      </c>
      <c r="F55" s="10">
        <f t="shared" si="0"/>
        <v>331878</v>
      </c>
    </row>
    <row r="56" spans="1:6" x14ac:dyDescent="0.25">
      <c r="A56" s="1" t="s">
        <v>53</v>
      </c>
      <c r="B56" s="7">
        <v>229852</v>
      </c>
      <c r="C56" s="7">
        <v>228823</v>
      </c>
      <c r="D56" s="7">
        <v>5449</v>
      </c>
      <c r="E56" s="7">
        <v>176374</v>
      </c>
      <c r="F56" s="10">
        <f t="shared" si="0"/>
        <v>640498</v>
      </c>
    </row>
    <row r="57" spans="1:6" x14ac:dyDescent="0.25">
      <c r="A57" s="1" t="s">
        <v>54</v>
      </c>
      <c r="B57" s="7">
        <v>143668</v>
      </c>
      <c r="C57" s="7">
        <v>144519</v>
      </c>
      <c r="D57" s="7">
        <v>2775</v>
      </c>
      <c r="E57" s="7">
        <v>106836</v>
      </c>
      <c r="F57" s="10">
        <f t="shared" si="0"/>
        <v>397798</v>
      </c>
    </row>
    <row r="58" spans="1:6" x14ac:dyDescent="0.25">
      <c r="A58" s="1" t="s">
        <v>55</v>
      </c>
      <c r="B58" s="7">
        <v>18452</v>
      </c>
      <c r="C58" s="7">
        <v>20389</v>
      </c>
      <c r="D58" s="7">
        <v>271</v>
      </c>
      <c r="E58" s="7">
        <v>9132</v>
      </c>
      <c r="F58" s="10">
        <f t="shared" si="0"/>
        <v>48244</v>
      </c>
    </row>
    <row r="59" spans="1:6" x14ac:dyDescent="0.25">
      <c r="A59" s="1" t="s">
        <v>56</v>
      </c>
      <c r="B59" s="7">
        <v>77714</v>
      </c>
      <c r="C59" s="7">
        <v>26583</v>
      </c>
      <c r="D59" s="7">
        <v>1076</v>
      </c>
      <c r="E59" s="7">
        <v>28138</v>
      </c>
      <c r="F59" s="10">
        <f t="shared" si="0"/>
        <v>133511</v>
      </c>
    </row>
    <row r="60" spans="1:6" x14ac:dyDescent="0.25">
      <c r="A60" s="1" t="s">
        <v>57</v>
      </c>
      <c r="B60" s="7">
        <v>131445</v>
      </c>
      <c r="C60" s="7">
        <v>93591</v>
      </c>
      <c r="D60" s="7">
        <v>2055</v>
      </c>
      <c r="E60" s="7">
        <v>79370</v>
      </c>
      <c r="F60" s="10">
        <f t="shared" si="0"/>
        <v>306461</v>
      </c>
    </row>
    <row r="61" spans="1:6" x14ac:dyDescent="0.25">
      <c r="A61" s="1" t="s">
        <v>58</v>
      </c>
      <c r="B61" s="7">
        <v>110120</v>
      </c>
      <c r="C61" s="7">
        <v>97280</v>
      </c>
      <c r="D61" s="7">
        <v>2047</v>
      </c>
      <c r="E61" s="7">
        <v>79289</v>
      </c>
      <c r="F61" s="10">
        <f t="shared" si="0"/>
        <v>288736</v>
      </c>
    </row>
    <row r="62" spans="1:6" x14ac:dyDescent="0.25">
      <c r="A62" s="1" t="s">
        <v>59</v>
      </c>
      <c r="B62" s="7">
        <v>93275</v>
      </c>
      <c r="C62" s="7">
        <v>41180</v>
      </c>
      <c r="D62" s="7">
        <v>1337</v>
      </c>
      <c r="E62" s="7">
        <v>39807</v>
      </c>
      <c r="F62" s="10">
        <f t="shared" si="0"/>
        <v>175599</v>
      </c>
    </row>
    <row r="63" spans="1:6" x14ac:dyDescent="0.25">
      <c r="A63" s="1" t="s">
        <v>60</v>
      </c>
      <c r="B63" s="7">
        <v>62614</v>
      </c>
      <c r="C63" s="7">
        <v>77507</v>
      </c>
      <c r="D63" s="7">
        <v>1035</v>
      </c>
      <c r="E63" s="7">
        <v>51766</v>
      </c>
      <c r="F63" s="10">
        <f t="shared" si="0"/>
        <v>192922</v>
      </c>
    </row>
    <row r="64" spans="1:6" x14ac:dyDescent="0.25">
      <c r="A64" s="1" t="s">
        <v>61</v>
      </c>
      <c r="B64" s="7">
        <v>49626</v>
      </c>
      <c r="C64" s="7">
        <v>23511</v>
      </c>
      <c r="D64" s="7">
        <v>575</v>
      </c>
      <c r="E64" s="7">
        <v>19057</v>
      </c>
      <c r="F64" s="10">
        <f t="shared" si="0"/>
        <v>92769</v>
      </c>
    </row>
    <row r="65" spans="1:6" x14ac:dyDescent="0.25">
      <c r="A65" s="1" t="s">
        <v>62</v>
      </c>
      <c r="B65" s="7">
        <v>11441</v>
      </c>
      <c r="C65" s="7">
        <v>10686</v>
      </c>
      <c r="D65" s="7">
        <v>229</v>
      </c>
      <c r="E65" s="7">
        <v>3906</v>
      </c>
      <c r="F65" s="10">
        <f t="shared" si="0"/>
        <v>26262</v>
      </c>
    </row>
    <row r="66" spans="1:6" x14ac:dyDescent="0.25">
      <c r="A66" s="1" t="s">
        <v>63</v>
      </c>
      <c r="B66" s="7">
        <v>4339</v>
      </c>
      <c r="C66" s="7">
        <v>6874</v>
      </c>
      <c r="D66" s="7">
        <v>67</v>
      </c>
      <c r="E66" s="7">
        <v>1131</v>
      </c>
      <c r="F66" s="10">
        <f t="shared" si="0"/>
        <v>12411</v>
      </c>
    </row>
    <row r="67" spans="1:6" x14ac:dyDescent="0.25">
      <c r="A67" s="1" t="s">
        <v>64</v>
      </c>
      <c r="B67" s="7">
        <v>3047</v>
      </c>
      <c r="C67" s="7">
        <v>3462</v>
      </c>
      <c r="D67" s="7">
        <v>42</v>
      </c>
      <c r="E67" s="7">
        <v>724</v>
      </c>
      <c r="F67" s="10">
        <f t="shared" si="0"/>
        <v>7275</v>
      </c>
    </row>
    <row r="68" spans="1:6" x14ac:dyDescent="0.25">
      <c r="A68" s="1" t="s">
        <v>65</v>
      </c>
      <c r="B68" s="7">
        <v>130259</v>
      </c>
      <c r="C68" s="7">
        <v>129865</v>
      </c>
      <c r="D68" s="7">
        <v>2861</v>
      </c>
      <c r="E68" s="7">
        <v>106998</v>
      </c>
      <c r="F68" s="10">
        <f t="shared" si="0"/>
        <v>369983</v>
      </c>
    </row>
    <row r="69" spans="1:6" x14ac:dyDescent="0.25">
      <c r="A69" s="1" t="s">
        <v>66</v>
      </c>
      <c r="B69" s="7">
        <v>7820</v>
      </c>
      <c r="C69" s="7">
        <v>8496</v>
      </c>
      <c r="D69" s="7">
        <v>171</v>
      </c>
      <c r="E69" s="7">
        <v>3125</v>
      </c>
      <c r="F69" s="10">
        <f t="shared" si="0"/>
        <v>19612</v>
      </c>
    </row>
    <row r="70" spans="1:6" x14ac:dyDescent="0.25">
      <c r="A70" s="1" t="s">
        <v>67</v>
      </c>
      <c r="B70" s="7">
        <v>27559</v>
      </c>
      <c r="C70" s="7">
        <v>9715</v>
      </c>
      <c r="D70" s="7">
        <v>281</v>
      </c>
      <c r="E70" s="7">
        <v>9150</v>
      </c>
      <c r="F70" s="10">
        <f t="shared" ref="F70:F71" si="1">SUM(B70:E70)</f>
        <v>46705</v>
      </c>
    </row>
    <row r="71" spans="1:6" ht="15.75" thickBot="1" x14ac:dyDescent="0.3">
      <c r="A71" s="1" t="s">
        <v>68</v>
      </c>
      <c r="B71" s="7">
        <v>7781</v>
      </c>
      <c r="C71" s="7">
        <v>5584</v>
      </c>
      <c r="D71" s="7">
        <v>48</v>
      </c>
      <c r="E71" s="7">
        <v>2059</v>
      </c>
      <c r="F71" s="10">
        <f t="shared" si="1"/>
        <v>15472</v>
      </c>
    </row>
    <row r="72" spans="1:6" ht="16.5" thickTop="1" thickBot="1" x14ac:dyDescent="0.3">
      <c r="A72" s="3" t="s">
        <v>1</v>
      </c>
      <c r="B72" s="8">
        <f>SUM(B5:B71)</f>
        <v>4569664</v>
      </c>
      <c r="C72" s="8">
        <f>SUM(C5:C71)</f>
        <v>4868240</v>
      </c>
      <c r="D72" s="8">
        <f>SUM(D5:D71)</f>
        <v>86844</v>
      </c>
      <c r="E72" s="8">
        <f>SUM(E5:E71)</f>
        <v>3375151</v>
      </c>
      <c r="F72" s="8">
        <f>SUM(F5:F71)</f>
        <v>12899899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ColWidth="15.710937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91</v>
      </c>
      <c r="B1" s="17"/>
      <c r="C1" s="17"/>
      <c r="D1" s="17"/>
      <c r="E1" s="17"/>
      <c r="F1" s="18"/>
    </row>
    <row r="2" spans="1:6" ht="15" customHeight="1" x14ac:dyDescent="0.25">
      <c r="A2" s="13" t="s">
        <v>77</v>
      </c>
      <c r="B2" s="14"/>
      <c r="C2" s="14"/>
      <c r="D2" s="14"/>
      <c r="E2" s="14"/>
      <c r="F2" s="15"/>
    </row>
    <row r="3" spans="1:6" ht="15" customHeight="1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50633</v>
      </c>
      <c r="C5" s="7">
        <v>85567</v>
      </c>
      <c r="D5" s="7">
        <v>1498</v>
      </c>
      <c r="E5" s="7">
        <v>41981</v>
      </c>
      <c r="F5" s="10">
        <f>SUM(B5:E5)</f>
        <v>179679</v>
      </c>
    </row>
    <row r="6" spans="1:6" x14ac:dyDescent="0.25">
      <c r="A6" s="1" t="s">
        <v>3</v>
      </c>
      <c r="B6" s="7">
        <v>7973</v>
      </c>
      <c r="C6" s="7">
        <v>5882</v>
      </c>
      <c r="D6" s="7">
        <v>46</v>
      </c>
      <c r="E6" s="7">
        <v>1601</v>
      </c>
      <c r="F6" s="10">
        <f t="shared" ref="F6:F69" si="0">SUM(B6:E6)</f>
        <v>15502</v>
      </c>
    </row>
    <row r="7" spans="1:6" x14ac:dyDescent="0.25">
      <c r="A7" s="1" t="s">
        <v>4</v>
      </c>
      <c r="B7" s="7">
        <v>60393</v>
      </c>
      <c r="C7" s="7">
        <v>31052</v>
      </c>
      <c r="D7" s="7">
        <v>956</v>
      </c>
      <c r="E7" s="7">
        <v>24182</v>
      </c>
      <c r="F7" s="10">
        <f t="shared" si="0"/>
        <v>116583</v>
      </c>
    </row>
    <row r="8" spans="1:6" x14ac:dyDescent="0.25">
      <c r="A8" s="1" t="s">
        <v>5</v>
      </c>
      <c r="B8" s="7">
        <v>7308</v>
      </c>
      <c r="C8" s="7">
        <v>6261</v>
      </c>
      <c r="D8" s="7">
        <v>113</v>
      </c>
      <c r="E8" s="7">
        <v>2252</v>
      </c>
      <c r="F8" s="10">
        <f t="shared" si="0"/>
        <v>15934</v>
      </c>
    </row>
    <row r="9" spans="1:6" x14ac:dyDescent="0.25">
      <c r="A9" s="1" t="s">
        <v>6</v>
      </c>
      <c r="B9" s="7">
        <v>171850</v>
      </c>
      <c r="C9" s="7">
        <v>127932</v>
      </c>
      <c r="D9" s="7">
        <v>1799</v>
      </c>
      <c r="E9" s="7">
        <v>104691</v>
      </c>
      <c r="F9" s="10">
        <f t="shared" si="0"/>
        <v>406272</v>
      </c>
    </row>
    <row r="10" spans="1:6" x14ac:dyDescent="0.25">
      <c r="A10" s="1" t="s">
        <v>7</v>
      </c>
      <c r="B10" s="7">
        <v>256561</v>
      </c>
      <c r="C10" s="7">
        <v>597626</v>
      </c>
      <c r="D10" s="7">
        <v>5878</v>
      </c>
      <c r="E10" s="7">
        <v>323041</v>
      </c>
      <c r="F10" s="10">
        <f t="shared" si="0"/>
        <v>1183106</v>
      </c>
    </row>
    <row r="11" spans="1:6" x14ac:dyDescent="0.25">
      <c r="A11" s="1" t="s">
        <v>8</v>
      </c>
      <c r="B11" s="7">
        <v>2327</v>
      </c>
      <c r="C11" s="7">
        <v>5320</v>
      </c>
      <c r="D11" s="7">
        <v>18</v>
      </c>
      <c r="E11" s="7">
        <v>923</v>
      </c>
      <c r="F11" s="10">
        <f t="shared" si="0"/>
        <v>8588</v>
      </c>
    </row>
    <row r="12" spans="1:6" x14ac:dyDescent="0.25">
      <c r="A12" s="1" t="s">
        <v>9</v>
      </c>
      <c r="B12" s="7">
        <v>58215</v>
      </c>
      <c r="C12" s="7">
        <v>36752</v>
      </c>
      <c r="D12" s="7">
        <v>389</v>
      </c>
      <c r="E12" s="7">
        <v>35650</v>
      </c>
      <c r="F12" s="10">
        <f t="shared" si="0"/>
        <v>131006</v>
      </c>
    </row>
    <row r="13" spans="1:6" x14ac:dyDescent="0.25">
      <c r="A13" s="1" t="s">
        <v>10</v>
      </c>
      <c r="B13" s="7">
        <v>49722</v>
      </c>
      <c r="C13" s="7">
        <v>30129</v>
      </c>
      <c r="D13" s="7">
        <v>359</v>
      </c>
      <c r="E13" s="7">
        <v>26083</v>
      </c>
      <c r="F13" s="10">
        <f t="shared" si="0"/>
        <v>106293</v>
      </c>
    </row>
    <row r="14" spans="1:6" x14ac:dyDescent="0.25">
      <c r="A14" s="1" t="s">
        <v>11</v>
      </c>
      <c r="B14" s="7">
        <v>80337</v>
      </c>
      <c r="C14" s="7">
        <v>32312</v>
      </c>
      <c r="D14" s="7">
        <v>549</v>
      </c>
      <c r="E14" s="7">
        <v>34498</v>
      </c>
      <c r="F14" s="10">
        <f t="shared" si="0"/>
        <v>147696</v>
      </c>
    </row>
    <row r="15" spans="1:6" x14ac:dyDescent="0.25">
      <c r="A15" s="1" t="s">
        <v>12</v>
      </c>
      <c r="B15" s="7">
        <v>102449</v>
      </c>
      <c r="C15" s="7">
        <v>46418</v>
      </c>
      <c r="D15" s="7">
        <v>547</v>
      </c>
      <c r="E15" s="7">
        <v>48612</v>
      </c>
      <c r="F15" s="10">
        <f t="shared" si="0"/>
        <v>198026</v>
      </c>
    </row>
    <row r="16" spans="1:6" x14ac:dyDescent="0.25">
      <c r="A16" s="1" t="s">
        <v>13</v>
      </c>
      <c r="B16" s="7">
        <v>16926</v>
      </c>
      <c r="C16" s="7">
        <v>14409</v>
      </c>
      <c r="D16" s="7">
        <v>157</v>
      </c>
      <c r="E16" s="7">
        <v>6613</v>
      </c>
      <c r="F16" s="10">
        <f t="shared" si="0"/>
        <v>38105</v>
      </c>
    </row>
    <row r="17" spans="1:6" x14ac:dyDescent="0.25">
      <c r="A17" s="1" t="s">
        <v>14</v>
      </c>
      <c r="B17" s="7">
        <v>5228</v>
      </c>
      <c r="C17" s="7">
        <v>7436</v>
      </c>
      <c r="D17" s="7">
        <v>51</v>
      </c>
      <c r="E17" s="7">
        <v>3414</v>
      </c>
      <c r="F17" s="10">
        <f t="shared" si="0"/>
        <v>16129</v>
      </c>
    </row>
    <row r="18" spans="1:6" x14ac:dyDescent="0.25">
      <c r="A18" s="1" t="s">
        <v>15</v>
      </c>
      <c r="B18" s="7">
        <v>3749</v>
      </c>
      <c r="C18" s="7">
        <v>4659</v>
      </c>
      <c r="D18" s="7">
        <v>19</v>
      </c>
      <c r="E18" s="7">
        <v>1531</v>
      </c>
      <c r="F18" s="10">
        <f t="shared" si="0"/>
        <v>9958</v>
      </c>
    </row>
    <row r="19" spans="1:6" x14ac:dyDescent="0.25">
      <c r="A19" s="1" t="s">
        <v>16</v>
      </c>
      <c r="B19" s="7">
        <v>218209</v>
      </c>
      <c r="C19" s="7">
        <v>237376</v>
      </c>
      <c r="D19" s="7">
        <v>2515</v>
      </c>
      <c r="E19" s="7">
        <v>122772</v>
      </c>
      <c r="F19" s="10">
        <f t="shared" si="0"/>
        <v>580872</v>
      </c>
    </row>
    <row r="20" spans="1:6" x14ac:dyDescent="0.25">
      <c r="A20" s="1" t="s">
        <v>17</v>
      </c>
      <c r="B20" s="7">
        <v>93875</v>
      </c>
      <c r="C20" s="7">
        <v>72142</v>
      </c>
      <c r="D20" s="7">
        <v>848</v>
      </c>
      <c r="E20" s="7">
        <v>42371</v>
      </c>
      <c r="F20" s="10">
        <f t="shared" si="0"/>
        <v>209236</v>
      </c>
    </row>
    <row r="21" spans="1:6" x14ac:dyDescent="0.25">
      <c r="A21" s="1" t="s">
        <v>18</v>
      </c>
      <c r="B21" s="7">
        <v>32313</v>
      </c>
      <c r="C21" s="7">
        <v>25470</v>
      </c>
      <c r="D21" s="7">
        <v>279</v>
      </c>
      <c r="E21" s="7">
        <v>22547</v>
      </c>
      <c r="F21" s="10">
        <f t="shared" si="0"/>
        <v>80609</v>
      </c>
    </row>
    <row r="22" spans="1:6" x14ac:dyDescent="0.25">
      <c r="A22" s="1" t="s">
        <v>19</v>
      </c>
      <c r="B22" s="7">
        <v>2339</v>
      </c>
      <c r="C22" s="7">
        <v>4134</v>
      </c>
      <c r="D22" s="7">
        <v>53</v>
      </c>
      <c r="E22" s="7">
        <v>929</v>
      </c>
      <c r="F22" s="10">
        <f t="shared" si="0"/>
        <v>7455</v>
      </c>
    </row>
    <row r="23" spans="1:6" x14ac:dyDescent="0.25">
      <c r="A23" s="1" t="s">
        <v>20</v>
      </c>
      <c r="B23" s="7">
        <v>4510</v>
      </c>
      <c r="C23" s="7">
        <v>22258</v>
      </c>
      <c r="D23" s="7">
        <v>75</v>
      </c>
      <c r="E23" s="7">
        <v>2586</v>
      </c>
      <c r="F23" s="10">
        <f t="shared" si="0"/>
        <v>29429</v>
      </c>
    </row>
    <row r="24" spans="1:6" x14ac:dyDescent="0.25">
      <c r="A24" s="1" t="s">
        <v>21</v>
      </c>
      <c r="B24" s="7">
        <v>6169</v>
      </c>
      <c r="C24" s="7">
        <v>3522</v>
      </c>
      <c r="D24" s="7">
        <v>135</v>
      </c>
      <c r="E24" s="7">
        <v>1601</v>
      </c>
      <c r="F24" s="10">
        <f t="shared" si="0"/>
        <v>11427</v>
      </c>
    </row>
    <row r="25" spans="1:6" x14ac:dyDescent="0.25">
      <c r="A25" s="1" t="s">
        <v>22</v>
      </c>
      <c r="B25" s="7">
        <v>2449</v>
      </c>
      <c r="C25" s="7">
        <v>3043</v>
      </c>
      <c r="D25" s="7">
        <v>70</v>
      </c>
      <c r="E25" s="7">
        <v>1135</v>
      </c>
      <c r="F25" s="10">
        <f t="shared" si="0"/>
        <v>6697</v>
      </c>
    </row>
    <row r="26" spans="1:6" x14ac:dyDescent="0.25">
      <c r="A26" s="1" t="s">
        <v>23</v>
      </c>
      <c r="B26" s="7">
        <v>4729</v>
      </c>
      <c r="C26" s="7">
        <v>4287</v>
      </c>
      <c r="D26" s="7">
        <v>74</v>
      </c>
      <c r="E26" s="7">
        <v>1206</v>
      </c>
      <c r="F26" s="10">
        <f t="shared" si="0"/>
        <v>10296</v>
      </c>
    </row>
    <row r="27" spans="1:6" x14ac:dyDescent="0.25">
      <c r="A27" s="1" t="s">
        <v>24</v>
      </c>
      <c r="B27" s="7">
        <v>2336</v>
      </c>
      <c r="C27" s="7">
        <v>4641</v>
      </c>
      <c r="D27" s="7">
        <v>14</v>
      </c>
      <c r="E27" s="7">
        <v>992</v>
      </c>
      <c r="F27" s="10">
        <f t="shared" si="0"/>
        <v>7983</v>
      </c>
    </row>
    <row r="28" spans="1:6" x14ac:dyDescent="0.25">
      <c r="A28" s="1" t="s">
        <v>25</v>
      </c>
      <c r="B28" s="7">
        <v>5070</v>
      </c>
      <c r="C28" s="7">
        <v>4672</v>
      </c>
      <c r="D28" s="7">
        <v>117</v>
      </c>
      <c r="E28" s="7">
        <v>1981</v>
      </c>
      <c r="F28" s="10">
        <f t="shared" si="0"/>
        <v>11840</v>
      </c>
    </row>
    <row r="29" spans="1:6" x14ac:dyDescent="0.25">
      <c r="A29" s="1" t="s">
        <v>26</v>
      </c>
      <c r="B29" s="7">
        <v>6032</v>
      </c>
      <c r="C29" s="7">
        <v>7889</v>
      </c>
      <c r="D29" s="7">
        <v>31</v>
      </c>
      <c r="E29" s="7">
        <v>3071</v>
      </c>
      <c r="F29" s="10">
        <f t="shared" si="0"/>
        <v>17023</v>
      </c>
    </row>
    <row r="30" spans="1:6" x14ac:dyDescent="0.25">
      <c r="A30" s="1" t="s">
        <v>27</v>
      </c>
      <c r="B30" s="7">
        <v>53136</v>
      </c>
      <c r="C30" s="7">
        <v>42152</v>
      </c>
      <c r="D30" s="7">
        <v>444</v>
      </c>
      <c r="E30" s="7">
        <v>33923</v>
      </c>
      <c r="F30" s="10">
        <f t="shared" si="0"/>
        <v>129655</v>
      </c>
    </row>
    <row r="31" spans="1:6" x14ac:dyDescent="0.25">
      <c r="A31" s="1" t="s">
        <v>28</v>
      </c>
      <c r="B31" s="7">
        <v>27034</v>
      </c>
      <c r="C31" s="7">
        <v>18867</v>
      </c>
      <c r="D31" s="7">
        <v>106</v>
      </c>
      <c r="E31" s="7">
        <v>12897</v>
      </c>
      <c r="F31" s="10">
        <f t="shared" si="0"/>
        <v>58904</v>
      </c>
    </row>
    <row r="32" spans="1:6" x14ac:dyDescent="0.25">
      <c r="A32" s="1" t="s">
        <v>29</v>
      </c>
      <c r="B32" s="7">
        <v>263628</v>
      </c>
      <c r="C32" s="7">
        <v>323492</v>
      </c>
      <c r="D32" s="7">
        <v>3191</v>
      </c>
      <c r="E32" s="7">
        <v>233917</v>
      </c>
      <c r="F32" s="10">
        <f t="shared" si="0"/>
        <v>824228</v>
      </c>
    </row>
    <row r="33" spans="1:6" x14ac:dyDescent="0.25">
      <c r="A33" s="1" t="s">
        <v>30</v>
      </c>
      <c r="B33" s="7">
        <v>6047</v>
      </c>
      <c r="C33" s="7">
        <v>3914</v>
      </c>
      <c r="D33" s="7">
        <v>16</v>
      </c>
      <c r="E33" s="7">
        <v>1238</v>
      </c>
      <c r="F33" s="10">
        <f t="shared" si="0"/>
        <v>11215</v>
      </c>
    </row>
    <row r="34" spans="1:6" x14ac:dyDescent="0.25">
      <c r="A34" s="1" t="s">
        <v>31</v>
      </c>
      <c r="B34" s="7">
        <v>50090</v>
      </c>
      <c r="C34" s="7">
        <v>29262</v>
      </c>
      <c r="D34" s="7">
        <v>311</v>
      </c>
      <c r="E34" s="7">
        <v>28055</v>
      </c>
      <c r="F34" s="10">
        <f t="shared" si="0"/>
        <v>107718</v>
      </c>
    </row>
    <row r="35" spans="1:6" x14ac:dyDescent="0.25">
      <c r="A35" s="1" t="s">
        <v>32</v>
      </c>
      <c r="B35" s="7">
        <v>10059</v>
      </c>
      <c r="C35" s="7">
        <v>15535</v>
      </c>
      <c r="D35" s="7">
        <v>50</v>
      </c>
      <c r="E35" s="7">
        <v>2993</v>
      </c>
      <c r="F35" s="10">
        <f t="shared" si="0"/>
        <v>28637</v>
      </c>
    </row>
    <row r="36" spans="1:6" x14ac:dyDescent="0.25">
      <c r="A36" s="1" t="s">
        <v>33</v>
      </c>
      <c r="B36" s="7">
        <v>2759</v>
      </c>
      <c r="C36" s="7">
        <v>5703</v>
      </c>
      <c r="D36" s="7">
        <v>17</v>
      </c>
      <c r="E36" s="7">
        <v>1015</v>
      </c>
      <c r="F36" s="10">
        <f t="shared" si="0"/>
        <v>9494</v>
      </c>
    </row>
    <row r="37" spans="1:6" x14ac:dyDescent="0.25">
      <c r="A37" s="1" t="s">
        <v>34</v>
      </c>
      <c r="B37" s="7">
        <v>1564</v>
      </c>
      <c r="C37" s="7">
        <v>2585</v>
      </c>
      <c r="D37" s="7">
        <v>16</v>
      </c>
      <c r="E37" s="7">
        <v>295</v>
      </c>
      <c r="F37" s="10">
        <f t="shared" si="0"/>
        <v>4460</v>
      </c>
    </row>
    <row r="38" spans="1:6" x14ac:dyDescent="0.25">
      <c r="A38" s="1" t="s">
        <v>35</v>
      </c>
      <c r="B38" s="7">
        <v>99952</v>
      </c>
      <c r="C38" s="7">
        <v>71052</v>
      </c>
      <c r="D38" s="7">
        <v>659</v>
      </c>
      <c r="E38" s="7">
        <v>56332</v>
      </c>
      <c r="F38" s="10">
        <f t="shared" si="0"/>
        <v>227995</v>
      </c>
    </row>
    <row r="39" spans="1:6" x14ac:dyDescent="0.25">
      <c r="A39" s="1" t="s">
        <v>36</v>
      </c>
      <c r="B39" s="7">
        <v>189056</v>
      </c>
      <c r="C39" s="7">
        <v>119119</v>
      </c>
      <c r="D39" s="7">
        <v>2953</v>
      </c>
      <c r="E39" s="7">
        <v>123954</v>
      </c>
      <c r="F39" s="10">
        <f t="shared" si="0"/>
        <v>435082</v>
      </c>
    </row>
    <row r="40" spans="1:6" x14ac:dyDescent="0.25">
      <c r="A40" s="1" t="s">
        <v>37</v>
      </c>
      <c r="B40" s="7">
        <v>57574</v>
      </c>
      <c r="C40" s="7">
        <v>109156</v>
      </c>
      <c r="D40" s="7">
        <v>813</v>
      </c>
      <c r="E40" s="7">
        <v>39389</v>
      </c>
      <c r="F40" s="10">
        <f t="shared" si="0"/>
        <v>206932</v>
      </c>
    </row>
    <row r="41" spans="1:6" x14ac:dyDescent="0.25">
      <c r="A41" s="1" t="s">
        <v>38</v>
      </c>
      <c r="B41" s="7">
        <v>12482</v>
      </c>
      <c r="C41" s="7">
        <v>9407</v>
      </c>
      <c r="D41" s="7">
        <v>388</v>
      </c>
      <c r="E41" s="7">
        <v>4740</v>
      </c>
      <c r="F41" s="10">
        <f t="shared" si="0"/>
        <v>27017</v>
      </c>
    </row>
    <row r="42" spans="1:6" x14ac:dyDescent="0.25">
      <c r="A42" s="1" t="s">
        <v>39</v>
      </c>
      <c r="B42" s="7">
        <v>724</v>
      </c>
      <c r="C42" s="7">
        <v>3233</v>
      </c>
      <c r="D42" s="7">
        <v>9</v>
      </c>
      <c r="E42" s="7">
        <v>339</v>
      </c>
      <c r="F42" s="10">
        <f t="shared" si="0"/>
        <v>4305</v>
      </c>
    </row>
    <row r="43" spans="1:6" x14ac:dyDescent="0.25">
      <c r="A43" s="1" t="s">
        <v>40</v>
      </c>
      <c r="B43" s="7">
        <v>3295</v>
      </c>
      <c r="C43" s="7">
        <v>7147</v>
      </c>
      <c r="D43" s="7">
        <v>21</v>
      </c>
      <c r="E43" s="7">
        <v>1239</v>
      </c>
      <c r="F43" s="10">
        <f t="shared" si="0"/>
        <v>11702</v>
      </c>
    </row>
    <row r="44" spans="1:6" x14ac:dyDescent="0.25">
      <c r="A44" s="1" t="s">
        <v>41</v>
      </c>
      <c r="B44" s="7">
        <v>102066</v>
      </c>
      <c r="C44" s="7">
        <v>71999</v>
      </c>
      <c r="D44" s="7">
        <v>718</v>
      </c>
      <c r="E44" s="7">
        <v>59924</v>
      </c>
      <c r="F44" s="10">
        <f t="shared" si="0"/>
        <v>234707</v>
      </c>
    </row>
    <row r="45" spans="1:6" x14ac:dyDescent="0.25">
      <c r="A45" s="1" t="s">
        <v>42</v>
      </c>
      <c r="B45" s="7">
        <v>101044</v>
      </c>
      <c r="C45" s="7">
        <v>76271</v>
      </c>
      <c r="D45" s="7">
        <v>819</v>
      </c>
      <c r="E45" s="7">
        <v>49290</v>
      </c>
      <c r="F45" s="10">
        <f t="shared" si="0"/>
        <v>227424</v>
      </c>
    </row>
    <row r="46" spans="1:6" x14ac:dyDescent="0.25">
      <c r="A46" s="1" t="s">
        <v>43</v>
      </c>
      <c r="B46" s="7">
        <v>54739</v>
      </c>
      <c r="C46" s="7">
        <v>27365</v>
      </c>
      <c r="D46" s="7">
        <v>285</v>
      </c>
      <c r="E46" s="7">
        <v>26397</v>
      </c>
      <c r="F46" s="10">
        <f t="shared" si="0"/>
        <v>108786</v>
      </c>
    </row>
    <row r="47" spans="1:6" x14ac:dyDescent="0.25">
      <c r="A47" s="1" t="s">
        <v>44</v>
      </c>
      <c r="B47" s="7">
        <v>373488</v>
      </c>
      <c r="C47" s="7">
        <v>591198</v>
      </c>
      <c r="D47" s="7">
        <v>2561</v>
      </c>
      <c r="E47" s="7">
        <v>427481</v>
      </c>
      <c r="F47" s="10">
        <f t="shared" si="0"/>
        <v>1394728</v>
      </c>
    </row>
    <row r="48" spans="1:6" x14ac:dyDescent="0.25">
      <c r="A48" s="1" t="s">
        <v>45</v>
      </c>
      <c r="B48" s="7">
        <v>21416</v>
      </c>
      <c r="C48" s="7">
        <v>17947</v>
      </c>
      <c r="D48" s="7">
        <v>244</v>
      </c>
      <c r="E48" s="7">
        <v>15410</v>
      </c>
      <c r="F48" s="10">
        <f t="shared" si="0"/>
        <v>55017</v>
      </c>
    </row>
    <row r="49" spans="1:6" x14ac:dyDescent="0.25">
      <c r="A49" s="1" t="s">
        <v>46</v>
      </c>
      <c r="B49" s="7">
        <v>36006</v>
      </c>
      <c r="C49" s="7">
        <v>14030</v>
      </c>
      <c r="D49" s="7">
        <v>271</v>
      </c>
      <c r="E49" s="7">
        <v>12341</v>
      </c>
      <c r="F49" s="10">
        <f t="shared" si="0"/>
        <v>62648</v>
      </c>
    </row>
    <row r="50" spans="1:6" x14ac:dyDescent="0.25">
      <c r="A50" s="1" t="s">
        <v>47</v>
      </c>
      <c r="B50" s="7">
        <v>78340</v>
      </c>
      <c r="C50" s="7">
        <v>25988</v>
      </c>
      <c r="D50" s="7">
        <v>662</v>
      </c>
      <c r="E50" s="7">
        <v>30172</v>
      </c>
      <c r="F50" s="10">
        <f t="shared" si="0"/>
        <v>135162</v>
      </c>
    </row>
    <row r="51" spans="1:6" x14ac:dyDescent="0.25">
      <c r="A51" s="1" t="s">
        <v>48</v>
      </c>
      <c r="B51" s="7">
        <v>8371</v>
      </c>
      <c r="C51" s="7">
        <v>7357</v>
      </c>
      <c r="D51" s="7">
        <v>47</v>
      </c>
      <c r="E51" s="7">
        <v>3764</v>
      </c>
      <c r="F51" s="10">
        <f t="shared" si="0"/>
        <v>19539</v>
      </c>
    </row>
    <row r="52" spans="1:6" x14ac:dyDescent="0.25">
      <c r="A52" s="1" t="s">
        <v>49</v>
      </c>
      <c r="B52" s="7">
        <v>215846</v>
      </c>
      <c r="C52" s="7">
        <v>337710</v>
      </c>
      <c r="D52" s="7">
        <v>5242</v>
      </c>
      <c r="E52" s="7">
        <v>235380</v>
      </c>
      <c r="F52" s="10">
        <f t="shared" si="0"/>
        <v>794178</v>
      </c>
    </row>
    <row r="53" spans="1:6" x14ac:dyDescent="0.25">
      <c r="A53" s="1" t="s">
        <v>50</v>
      </c>
      <c r="B53" s="7">
        <v>47380</v>
      </c>
      <c r="C53" s="7">
        <v>87075</v>
      </c>
      <c r="D53" s="7">
        <v>472</v>
      </c>
      <c r="E53" s="7">
        <v>64710</v>
      </c>
      <c r="F53" s="10">
        <f t="shared" si="0"/>
        <v>199637</v>
      </c>
    </row>
    <row r="54" spans="1:6" x14ac:dyDescent="0.25">
      <c r="A54" s="1" t="s">
        <v>51</v>
      </c>
      <c r="B54" s="7">
        <v>258874</v>
      </c>
      <c r="C54" s="7">
        <v>386862</v>
      </c>
      <c r="D54" s="7">
        <v>2380</v>
      </c>
      <c r="E54" s="7">
        <v>263210</v>
      </c>
      <c r="F54" s="10">
        <f t="shared" si="0"/>
        <v>911326</v>
      </c>
    </row>
    <row r="55" spans="1:6" x14ac:dyDescent="0.25">
      <c r="A55" s="1" t="s">
        <v>52</v>
      </c>
      <c r="B55" s="7">
        <v>129771</v>
      </c>
      <c r="C55" s="7">
        <v>105621</v>
      </c>
      <c r="D55" s="7">
        <v>1223</v>
      </c>
      <c r="E55" s="7">
        <v>96436</v>
      </c>
      <c r="F55" s="10">
        <f t="shared" si="0"/>
        <v>333051</v>
      </c>
    </row>
    <row r="56" spans="1:6" x14ac:dyDescent="0.25">
      <c r="A56" s="1" t="s">
        <v>53</v>
      </c>
      <c r="B56" s="7">
        <v>230001</v>
      </c>
      <c r="C56" s="7">
        <v>228827</v>
      </c>
      <c r="D56" s="7">
        <v>3025</v>
      </c>
      <c r="E56" s="7">
        <v>179070</v>
      </c>
      <c r="F56" s="10">
        <f t="shared" si="0"/>
        <v>640923</v>
      </c>
    </row>
    <row r="57" spans="1:6" x14ac:dyDescent="0.25">
      <c r="A57" s="1" t="s">
        <v>54</v>
      </c>
      <c r="B57" s="7">
        <v>144000</v>
      </c>
      <c r="C57" s="7">
        <v>144763</v>
      </c>
      <c r="D57" s="7">
        <v>1262</v>
      </c>
      <c r="E57" s="7">
        <v>109126</v>
      </c>
      <c r="F57" s="10">
        <f t="shared" si="0"/>
        <v>399151</v>
      </c>
    </row>
    <row r="58" spans="1:6" x14ac:dyDescent="0.25">
      <c r="A58" s="1" t="s">
        <v>55</v>
      </c>
      <c r="B58" s="7">
        <v>18464</v>
      </c>
      <c r="C58" s="7">
        <v>20370</v>
      </c>
      <c r="D58" s="7">
        <v>125</v>
      </c>
      <c r="E58" s="7">
        <v>9331</v>
      </c>
      <c r="F58" s="10">
        <f t="shared" si="0"/>
        <v>48290</v>
      </c>
    </row>
    <row r="59" spans="1:6" x14ac:dyDescent="0.25">
      <c r="A59" s="1" t="s">
        <v>56</v>
      </c>
      <c r="B59" s="7">
        <v>77886</v>
      </c>
      <c r="C59" s="7">
        <v>26619</v>
      </c>
      <c r="D59" s="7">
        <v>677</v>
      </c>
      <c r="E59" s="7">
        <v>28688</v>
      </c>
      <c r="F59" s="10">
        <f t="shared" si="0"/>
        <v>133870</v>
      </c>
    </row>
    <row r="60" spans="1:6" x14ac:dyDescent="0.25">
      <c r="A60" s="1" t="s">
        <v>57</v>
      </c>
      <c r="B60" s="7">
        <v>131678</v>
      </c>
      <c r="C60" s="7">
        <v>93701</v>
      </c>
      <c r="D60" s="7">
        <v>1112</v>
      </c>
      <c r="E60" s="7">
        <v>80589</v>
      </c>
      <c r="F60" s="10">
        <f t="shared" si="0"/>
        <v>307080</v>
      </c>
    </row>
    <row r="61" spans="1:6" x14ac:dyDescent="0.25">
      <c r="A61" s="1" t="s">
        <v>58</v>
      </c>
      <c r="B61" s="7">
        <v>109322</v>
      </c>
      <c r="C61" s="7">
        <v>96435</v>
      </c>
      <c r="D61" s="7">
        <v>1233</v>
      </c>
      <c r="E61" s="7">
        <v>79457</v>
      </c>
      <c r="F61" s="10">
        <f t="shared" si="0"/>
        <v>286447</v>
      </c>
    </row>
    <row r="62" spans="1:6" x14ac:dyDescent="0.25">
      <c r="A62" s="1" t="s">
        <v>59</v>
      </c>
      <c r="B62" s="7">
        <v>92980</v>
      </c>
      <c r="C62" s="7">
        <v>41042</v>
      </c>
      <c r="D62" s="7">
        <v>1317</v>
      </c>
      <c r="E62" s="7">
        <v>39549</v>
      </c>
      <c r="F62" s="10">
        <f t="shared" si="0"/>
        <v>174888</v>
      </c>
    </row>
    <row r="63" spans="1:6" x14ac:dyDescent="0.25">
      <c r="A63" s="1" t="s">
        <v>60</v>
      </c>
      <c r="B63" s="7">
        <v>62780</v>
      </c>
      <c r="C63" s="7">
        <v>77644</v>
      </c>
      <c r="D63" s="7">
        <v>386</v>
      </c>
      <c r="E63" s="7">
        <v>52633</v>
      </c>
      <c r="F63" s="10">
        <f t="shared" si="0"/>
        <v>193443</v>
      </c>
    </row>
    <row r="64" spans="1:6" x14ac:dyDescent="0.25">
      <c r="A64" s="1" t="s">
        <v>61</v>
      </c>
      <c r="B64" s="7">
        <v>49067</v>
      </c>
      <c r="C64" s="7">
        <v>22970</v>
      </c>
      <c r="D64" s="7">
        <v>189</v>
      </c>
      <c r="E64" s="7">
        <v>19039</v>
      </c>
      <c r="F64" s="10">
        <f t="shared" si="0"/>
        <v>91265</v>
      </c>
    </row>
    <row r="65" spans="1:6" x14ac:dyDescent="0.25">
      <c r="A65" s="1" t="s">
        <v>62</v>
      </c>
      <c r="B65" s="7">
        <v>11434</v>
      </c>
      <c r="C65" s="7">
        <v>10639</v>
      </c>
      <c r="D65" s="7">
        <v>94</v>
      </c>
      <c r="E65" s="7">
        <v>4000</v>
      </c>
      <c r="F65" s="10">
        <f t="shared" si="0"/>
        <v>26167</v>
      </c>
    </row>
    <row r="66" spans="1:6" x14ac:dyDescent="0.25">
      <c r="A66" s="1" t="s">
        <v>63</v>
      </c>
      <c r="B66" s="7">
        <v>4346</v>
      </c>
      <c r="C66" s="7">
        <v>6804</v>
      </c>
      <c r="D66" s="7">
        <v>66</v>
      </c>
      <c r="E66" s="7">
        <v>1135</v>
      </c>
      <c r="F66" s="10">
        <f t="shared" si="0"/>
        <v>12351</v>
      </c>
    </row>
    <row r="67" spans="1:6" x14ac:dyDescent="0.25">
      <c r="A67" s="1" t="s">
        <v>64</v>
      </c>
      <c r="B67" s="7">
        <v>3046</v>
      </c>
      <c r="C67" s="7">
        <v>3445</v>
      </c>
      <c r="D67" s="7">
        <v>42</v>
      </c>
      <c r="E67" s="7">
        <v>719</v>
      </c>
      <c r="F67" s="10">
        <f t="shared" si="0"/>
        <v>7252</v>
      </c>
    </row>
    <row r="68" spans="1:6" x14ac:dyDescent="0.25">
      <c r="A68" s="1" t="s">
        <v>65</v>
      </c>
      <c r="B68" s="7">
        <v>130549</v>
      </c>
      <c r="C68" s="7">
        <v>129906</v>
      </c>
      <c r="D68" s="7">
        <v>1302</v>
      </c>
      <c r="E68" s="7">
        <v>109014</v>
      </c>
      <c r="F68" s="10">
        <f t="shared" si="0"/>
        <v>370771</v>
      </c>
    </row>
    <row r="69" spans="1:6" x14ac:dyDescent="0.25">
      <c r="A69" s="1" t="s">
        <v>66</v>
      </c>
      <c r="B69" s="7">
        <v>7839</v>
      </c>
      <c r="C69" s="7">
        <v>8482</v>
      </c>
      <c r="D69" s="7">
        <v>60</v>
      </c>
      <c r="E69" s="7">
        <v>3227</v>
      </c>
      <c r="F69" s="10">
        <f t="shared" si="0"/>
        <v>19608</v>
      </c>
    </row>
    <row r="70" spans="1:6" x14ac:dyDescent="0.25">
      <c r="A70" s="1" t="s">
        <v>67</v>
      </c>
      <c r="B70" s="7">
        <v>27681</v>
      </c>
      <c r="C70" s="7">
        <v>9729</v>
      </c>
      <c r="D70" s="7">
        <v>286</v>
      </c>
      <c r="E70" s="7">
        <v>9208</v>
      </c>
      <c r="F70" s="10">
        <f t="shared" ref="F70:F71" si="1">SUM(B70:E70)</f>
        <v>46904</v>
      </c>
    </row>
    <row r="71" spans="1:6" ht="15.75" thickBot="1" x14ac:dyDescent="0.3">
      <c r="A71" s="1" t="s">
        <v>68</v>
      </c>
      <c r="B71" s="7">
        <v>7751</v>
      </c>
      <c r="C71" s="7">
        <v>5560</v>
      </c>
      <c r="D71" s="7">
        <v>49</v>
      </c>
      <c r="E71" s="7">
        <v>2060</v>
      </c>
      <c r="F71" s="10">
        <f t="shared" si="1"/>
        <v>15420</v>
      </c>
    </row>
    <row r="72" spans="1:6" ht="16.5" thickTop="1" thickBot="1" x14ac:dyDescent="0.3">
      <c r="A72" s="3" t="s">
        <v>1</v>
      </c>
      <c r="B72" s="8">
        <f>SUM(B5:B71)</f>
        <v>4565267</v>
      </c>
      <c r="C72" s="8">
        <f>SUM(C5:C71)</f>
        <v>4858172</v>
      </c>
      <c r="D72" s="8">
        <f>SUM(D5:D71)</f>
        <v>51733</v>
      </c>
      <c r="E72" s="8">
        <f>SUM(E5:E71)</f>
        <v>3407949</v>
      </c>
      <c r="F72" s="8">
        <f>SUM(F5:F71)</f>
        <v>12883121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92</v>
      </c>
      <c r="B1" s="17"/>
      <c r="C1" s="17"/>
      <c r="D1" s="17"/>
      <c r="E1" s="17"/>
      <c r="F1" s="18"/>
    </row>
    <row r="2" spans="1:6" x14ac:dyDescent="0.25">
      <c r="A2" s="13" t="s">
        <v>78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50672</v>
      </c>
      <c r="C5" s="7">
        <v>85581</v>
      </c>
      <c r="D5" s="7">
        <v>1076</v>
      </c>
      <c r="E5" s="7">
        <v>42520</v>
      </c>
      <c r="F5" s="10">
        <f>SUM(B5:E5)</f>
        <v>179849</v>
      </c>
    </row>
    <row r="6" spans="1:6" x14ac:dyDescent="0.25">
      <c r="A6" s="1" t="s">
        <v>3</v>
      </c>
      <c r="B6" s="7">
        <v>7880</v>
      </c>
      <c r="C6" s="7">
        <v>5826</v>
      </c>
      <c r="D6" s="7">
        <v>44</v>
      </c>
      <c r="E6" s="7">
        <v>1580</v>
      </c>
      <c r="F6" s="10">
        <f t="shared" ref="F6:F69" si="0">SUM(B6:E6)</f>
        <v>15330</v>
      </c>
    </row>
    <row r="7" spans="1:6" x14ac:dyDescent="0.25">
      <c r="A7" s="1" t="s">
        <v>4</v>
      </c>
      <c r="B7" s="7">
        <v>59708</v>
      </c>
      <c r="C7" s="7">
        <v>30461</v>
      </c>
      <c r="D7" s="7">
        <v>642</v>
      </c>
      <c r="E7" s="7">
        <v>23905</v>
      </c>
      <c r="F7" s="10">
        <f t="shared" si="0"/>
        <v>114716</v>
      </c>
    </row>
    <row r="8" spans="1:6" x14ac:dyDescent="0.25">
      <c r="A8" s="1" t="s">
        <v>5</v>
      </c>
      <c r="B8" s="7">
        <v>7335</v>
      </c>
      <c r="C8" s="7">
        <v>6255</v>
      </c>
      <c r="D8" s="7">
        <v>58</v>
      </c>
      <c r="E8" s="7">
        <v>2318</v>
      </c>
      <c r="F8" s="10">
        <f t="shared" si="0"/>
        <v>15966</v>
      </c>
    </row>
    <row r="9" spans="1:6" x14ac:dyDescent="0.25">
      <c r="A9" s="1" t="s">
        <v>6</v>
      </c>
      <c r="B9" s="7">
        <v>172239</v>
      </c>
      <c r="C9" s="7">
        <v>128000</v>
      </c>
      <c r="D9" s="7">
        <v>1921</v>
      </c>
      <c r="E9" s="7">
        <v>105087</v>
      </c>
      <c r="F9" s="10">
        <f t="shared" si="0"/>
        <v>407247</v>
      </c>
    </row>
    <row r="10" spans="1:6" x14ac:dyDescent="0.25">
      <c r="A10" s="1" t="s">
        <v>7</v>
      </c>
      <c r="B10" s="7">
        <v>256436</v>
      </c>
      <c r="C10" s="7">
        <v>597459</v>
      </c>
      <c r="D10" s="7">
        <v>2660</v>
      </c>
      <c r="E10" s="7">
        <v>326554</v>
      </c>
      <c r="F10" s="10">
        <f t="shared" si="0"/>
        <v>1183109</v>
      </c>
    </row>
    <row r="11" spans="1:6" x14ac:dyDescent="0.25">
      <c r="A11" s="1" t="s">
        <v>8</v>
      </c>
      <c r="B11" s="7">
        <v>2329</v>
      </c>
      <c r="C11" s="7">
        <v>5316</v>
      </c>
      <c r="D11" s="7">
        <v>19</v>
      </c>
      <c r="E11" s="7">
        <v>921</v>
      </c>
      <c r="F11" s="10">
        <f t="shared" si="0"/>
        <v>8585</v>
      </c>
    </row>
    <row r="12" spans="1:6" x14ac:dyDescent="0.25">
      <c r="A12" s="1" t="s">
        <v>9</v>
      </c>
      <c r="B12" s="7">
        <v>58039</v>
      </c>
      <c r="C12" s="7">
        <v>36612</v>
      </c>
      <c r="D12" s="7">
        <v>413</v>
      </c>
      <c r="E12" s="7">
        <v>35469</v>
      </c>
      <c r="F12" s="10">
        <f t="shared" si="0"/>
        <v>130533</v>
      </c>
    </row>
    <row r="13" spans="1:6" x14ac:dyDescent="0.25">
      <c r="A13" s="1" t="s">
        <v>10</v>
      </c>
      <c r="B13" s="7">
        <v>49580</v>
      </c>
      <c r="C13" s="7">
        <v>29900</v>
      </c>
      <c r="D13" s="7">
        <v>377</v>
      </c>
      <c r="E13" s="7">
        <v>25865</v>
      </c>
      <c r="F13" s="10">
        <f t="shared" si="0"/>
        <v>105722</v>
      </c>
    </row>
    <row r="14" spans="1:6" x14ac:dyDescent="0.25">
      <c r="A14" s="1" t="s">
        <v>11</v>
      </c>
      <c r="B14" s="7">
        <v>80393</v>
      </c>
      <c r="C14" s="7">
        <v>32354</v>
      </c>
      <c r="D14" s="7">
        <v>596</v>
      </c>
      <c r="E14" s="7">
        <v>34590</v>
      </c>
      <c r="F14" s="10">
        <f t="shared" si="0"/>
        <v>147933</v>
      </c>
    </row>
    <row r="15" spans="1:6" x14ac:dyDescent="0.25">
      <c r="A15" s="1" t="s">
        <v>12</v>
      </c>
      <c r="B15" s="7">
        <v>102809</v>
      </c>
      <c r="C15" s="7">
        <v>46623</v>
      </c>
      <c r="D15" s="7">
        <v>566</v>
      </c>
      <c r="E15" s="7">
        <v>48901</v>
      </c>
      <c r="F15" s="10">
        <f t="shared" si="0"/>
        <v>198899</v>
      </c>
    </row>
    <row r="16" spans="1:6" x14ac:dyDescent="0.25">
      <c r="A16" s="1" t="s">
        <v>13</v>
      </c>
      <c r="B16" s="7">
        <v>16943</v>
      </c>
      <c r="C16" s="7">
        <v>14390</v>
      </c>
      <c r="D16" s="7">
        <v>164</v>
      </c>
      <c r="E16" s="7">
        <v>6612</v>
      </c>
      <c r="F16" s="10">
        <f t="shared" si="0"/>
        <v>38109</v>
      </c>
    </row>
    <row r="17" spans="1:6" x14ac:dyDescent="0.25">
      <c r="A17" s="1" t="s">
        <v>14</v>
      </c>
      <c r="B17" s="7">
        <v>5253</v>
      </c>
      <c r="C17" s="7">
        <v>7425</v>
      </c>
      <c r="D17" s="7">
        <v>25</v>
      </c>
      <c r="E17" s="7">
        <v>3471</v>
      </c>
      <c r="F17" s="10">
        <f t="shared" si="0"/>
        <v>16174</v>
      </c>
    </row>
    <row r="18" spans="1:6" x14ac:dyDescent="0.25">
      <c r="A18" s="1" t="s">
        <v>15</v>
      </c>
      <c r="B18" s="7">
        <v>3763</v>
      </c>
      <c r="C18" s="7">
        <v>4656</v>
      </c>
      <c r="D18" s="7">
        <v>20</v>
      </c>
      <c r="E18" s="7">
        <v>1547</v>
      </c>
      <c r="F18" s="10">
        <f t="shared" si="0"/>
        <v>9986</v>
      </c>
    </row>
    <row r="19" spans="1:6" x14ac:dyDescent="0.25">
      <c r="A19" s="1" t="s">
        <v>16</v>
      </c>
      <c r="B19" s="7">
        <v>217979</v>
      </c>
      <c r="C19" s="7">
        <v>237040</v>
      </c>
      <c r="D19" s="7">
        <v>2638</v>
      </c>
      <c r="E19" s="7">
        <v>122940</v>
      </c>
      <c r="F19" s="10">
        <f t="shared" si="0"/>
        <v>580597</v>
      </c>
    </row>
    <row r="20" spans="1:6" x14ac:dyDescent="0.25">
      <c r="A20" s="1" t="s">
        <v>17</v>
      </c>
      <c r="B20" s="7">
        <v>92546</v>
      </c>
      <c r="C20" s="7">
        <v>70539</v>
      </c>
      <c r="D20" s="7">
        <v>863</v>
      </c>
      <c r="E20" s="7">
        <v>40965</v>
      </c>
      <c r="F20" s="10">
        <f t="shared" si="0"/>
        <v>204913</v>
      </c>
    </row>
    <row r="21" spans="1:6" x14ac:dyDescent="0.25">
      <c r="A21" s="1" t="s">
        <v>18</v>
      </c>
      <c r="B21" s="7">
        <v>32416</v>
      </c>
      <c r="C21" s="7">
        <v>25505</v>
      </c>
      <c r="D21" s="7">
        <v>290</v>
      </c>
      <c r="E21" s="7">
        <v>22628</v>
      </c>
      <c r="F21" s="10">
        <f t="shared" si="0"/>
        <v>80839</v>
      </c>
    </row>
    <row r="22" spans="1:6" x14ac:dyDescent="0.25">
      <c r="A22" s="1" t="s">
        <v>19</v>
      </c>
      <c r="B22" s="7">
        <v>2354</v>
      </c>
      <c r="C22" s="7">
        <v>4140</v>
      </c>
      <c r="D22" s="7">
        <v>57</v>
      </c>
      <c r="E22" s="7">
        <v>929</v>
      </c>
      <c r="F22" s="10">
        <f t="shared" si="0"/>
        <v>7480</v>
      </c>
    </row>
    <row r="23" spans="1:6" x14ac:dyDescent="0.25">
      <c r="A23" s="1" t="s">
        <v>20</v>
      </c>
      <c r="B23" s="7">
        <v>4541</v>
      </c>
      <c r="C23" s="7">
        <v>22276</v>
      </c>
      <c r="D23" s="7">
        <v>43</v>
      </c>
      <c r="E23" s="7">
        <v>2641</v>
      </c>
      <c r="F23" s="10">
        <f t="shared" si="0"/>
        <v>29501</v>
      </c>
    </row>
    <row r="24" spans="1:6" x14ac:dyDescent="0.25">
      <c r="A24" s="1" t="s">
        <v>21</v>
      </c>
      <c r="B24" s="7">
        <v>6155</v>
      </c>
      <c r="C24" s="7">
        <v>3499</v>
      </c>
      <c r="D24" s="7">
        <v>136</v>
      </c>
      <c r="E24" s="7">
        <v>1611</v>
      </c>
      <c r="F24" s="10">
        <f t="shared" si="0"/>
        <v>11401</v>
      </c>
    </row>
    <row r="25" spans="1:6" x14ac:dyDescent="0.25">
      <c r="A25" s="1" t="s">
        <v>22</v>
      </c>
      <c r="B25" s="7">
        <v>2464</v>
      </c>
      <c r="C25" s="7">
        <v>3030</v>
      </c>
      <c r="D25" s="7">
        <v>14</v>
      </c>
      <c r="E25" s="7">
        <v>1198</v>
      </c>
      <c r="F25" s="10">
        <f t="shared" si="0"/>
        <v>6706</v>
      </c>
    </row>
    <row r="26" spans="1:6" x14ac:dyDescent="0.25">
      <c r="A26" s="1" t="s">
        <v>23</v>
      </c>
      <c r="B26" s="7">
        <v>4746</v>
      </c>
      <c r="C26" s="7">
        <v>4279</v>
      </c>
      <c r="D26" s="7">
        <v>25</v>
      </c>
      <c r="E26" s="7">
        <v>1263</v>
      </c>
      <c r="F26" s="10">
        <f t="shared" si="0"/>
        <v>10313</v>
      </c>
    </row>
    <row r="27" spans="1:6" x14ac:dyDescent="0.25">
      <c r="A27" s="1" t="s">
        <v>24</v>
      </c>
      <c r="B27" s="7">
        <v>2278</v>
      </c>
      <c r="C27" s="7">
        <v>4456</v>
      </c>
      <c r="D27" s="7">
        <v>16</v>
      </c>
      <c r="E27" s="7">
        <v>924</v>
      </c>
      <c r="F27" s="10">
        <f t="shared" si="0"/>
        <v>7674</v>
      </c>
    </row>
    <row r="28" spans="1:6" x14ac:dyDescent="0.25">
      <c r="A28" s="1" t="s">
        <v>25</v>
      </c>
      <c r="B28" s="7">
        <v>5073</v>
      </c>
      <c r="C28" s="7">
        <v>4669</v>
      </c>
      <c r="D28" s="7">
        <v>121</v>
      </c>
      <c r="E28" s="7">
        <v>1998</v>
      </c>
      <c r="F28" s="10">
        <f t="shared" si="0"/>
        <v>11861</v>
      </c>
    </row>
    <row r="29" spans="1:6" x14ac:dyDescent="0.25">
      <c r="A29" s="1" t="s">
        <v>26</v>
      </c>
      <c r="B29" s="7">
        <v>6045</v>
      </c>
      <c r="C29" s="7">
        <v>7902</v>
      </c>
      <c r="D29" s="7">
        <v>34</v>
      </c>
      <c r="E29" s="7">
        <v>3096</v>
      </c>
      <c r="F29" s="10">
        <f t="shared" si="0"/>
        <v>17077</v>
      </c>
    </row>
    <row r="30" spans="1:6" x14ac:dyDescent="0.25">
      <c r="A30" s="1" t="s">
        <v>27</v>
      </c>
      <c r="B30" s="7">
        <v>53290</v>
      </c>
      <c r="C30" s="7">
        <v>42219</v>
      </c>
      <c r="D30" s="7">
        <v>481</v>
      </c>
      <c r="E30" s="7">
        <v>34039</v>
      </c>
      <c r="F30" s="10">
        <f t="shared" si="0"/>
        <v>130029</v>
      </c>
    </row>
    <row r="31" spans="1:6" x14ac:dyDescent="0.25">
      <c r="A31" s="1" t="s">
        <v>28</v>
      </c>
      <c r="B31" s="7">
        <v>26898</v>
      </c>
      <c r="C31" s="7">
        <v>18601</v>
      </c>
      <c r="D31" s="7">
        <v>111</v>
      </c>
      <c r="E31" s="7">
        <v>12815</v>
      </c>
      <c r="F31" s="10">
        <f t="shared" si="0"/>
        <v>58425</v>
      </c>
    </row>
    <row r="32" spans="1:6" x14ac:dyDescent="0.25">
      <c r="A32" s="1" t="s">
        <v>29</v>
      </c>
      <c r="B32" s="7">
        <v>264209</v>
      </c>
      <c r="C32" s="7">
        <v>324294</v>
      </c>
      <c r="D32" s="7">
        <v>3383</v>
      </c>
      <c r="E32" s="7">
        <v>235266</v>
      </c>
      <c r="F32" s="10">
        <f t="shared" si="0"/>
        <v>827152</v>
      </c>
    </row>
    <row r="33" spans="1:6" x14ac:dyDescent="0.25">
      <c r="A33" s="1" t="s">
        <v>30</v>
      </c>
      <c r="B33" s="7">
        <v>5894</v>
      </c>
      <c r="C33" s="7">
        <v>3625</v>
      </c>
      <c r="D33" s="7">
        <v>13</v>
      </c>
      <c r="E33" s="7">
        <v>1106</v>
      </c>
      <c r="F33" s="10">
        <f t="shared" si="0"/>
        <v>10638</v>
      </c>
    </row>
    <row r="34" spans="1:6" x14ac:dyDescent="0.25">
      <c r="A34" s="1" t="s">
        <v>31</v>
      </c>
      <c r="B34" s="7">
        <v>50193</v>
      </c>
      <c r="C34" s="7">
        <v>29309</v>
      </c>
      <c r="D34" s="7">
        <v>332</v>
      </c>
      <c r="E34" s="7">
        <v>28052</v>
      </c>
      <c r="F34" s="10">
        <f t="shared" si="0"/>
        <v>107886</v>
      </c>
    </row>
    <row r="35" spans="1:6" x14ac:dyDescent="0.25">
      <c r="A35" s="1" t="s">
        <v>32</v>
      </c>
      <c r="B35" s="7">
        <v>10092</v>
      </c>
      <c r="C35" s="7">
        <v>15515</v>
      </c>
      <c r="D35" s="7">
        <v>54</v>
      </c>
      <c r="E35" s="7">
        <v>2994</v>
      </c>
      <c r="F35" s="10">
        <f t="shared" si="0"/>
        <v>28655</v>
      </c>
    </row>
    <row r="36" spans="1:6" x14ac:dyDescent="0.25">
      <c r="A36" s="1" t="s">
        <v>33</v>
      </c>
      <c r="B36" s="7">
        <v>2793</v>
      </c>
      <c r="C36" s="7">
        <v>5727</v>
      </c>
      <c r="D36" s="7">
        <v>19</v>
      </c>
      <c r="E36" s="7">
        <v>1026</v>
      </c>
      <c r="F36" s="10">
        <f t="shared" si="0"/>
        <v>9565</v>
      </c>
    </row>
    <row r="37" spans="1:6" x14ac:dyDescent="0.25">
      <c r="A37" s="1" t="s">
        <v>34</v>
      </c>
      <c r="B37" s="7">
        <v>1572</v>
      </c>
      <c r="C37" s="7">
        <v>2573</v>
      </c>
      <c r="D37" s="7">
        <v>8</v>
      </c>
      <c r="E37" s="7">
        <v>307</v>
      </c>
      <c r="F37" s="10">
        <f t="shared" si="0"/>
        <v>4460</v>
      </c>
    </row>
    <row r="38" spans="1:6" x14ac:dyDescent="0.25">
      <c r="A38" s="1" t="s">
        <v>35</v>
      </c>
      <c r="B38" s="7">
        <v>99960</v>
      </c>
      <c r="C38" s="7">
        <v>71018</v>
      </c>
      <c r="D38" s="7">
        <v>686</v>
      </c>
      <c r="E38" s="7">
        <v>56350</v>
      </c>
      <c r="F38" s="10">
        <f t="shared" si="0"/>
        <v>228014</v>
      </c>
    </row>
    <row r="39" spans="1:6" x14ac:dyDescent="0.25">
      <c r="A39" s="1" t="s">
        <v>36</v>
      </c>
      <c r="B39" s="7">
        <v>189416</v>
      </c>
      <c r="C39" s="7">
        <v>119329</v>
      </c>
      <c r="D39" s="7">
        <v>1195</v>
      </c>
      <c r="E39" s="7">
        <v>126418</v>
      </c>
      <c r="F39" s="10">
        <f t="shared" si="0"/>
        <v>436358</v>
      </c>
    </row>
    <row r="40" spans="1:6" x14ac:dyDescent="0.25">
      <c r="A40" s="1" t="s">
        <v>37</v>
      </c>
      <c r="B40" s="7">
        <v>57200</v>
      </c>
      <c r="C40" s="7">
        <v>108441</v>
      </c>
      <c r="D40" s="7">
        <v>833</v>
      </c>
      <c r="E40" s="7">
        <v>39222</v>
      </c>
      <c r="F40" s="10">
        <f t="shared" si="0"/>
        <v>205696</v>
      </c>
    </row>
    <row r="41" spans="1:6" x14ac:dyDescent="0.25">
      <c r="A41" s="1" t="s">
        <v>38</v>
      </c>
      <c r="B41" s="7">
        <v>12402</v>
      </c>
      <c r="C41" s="7">
        <v>9254</v>
      </c>
      <c r="D41" s="7">
        <v>388</v>
      </c>
      <c r="E41" s="7">
        <v>4690</v>
      </c>
      <c r="F41" s="10">
        <f t="shared" si="0"/>
        <v>26734</v>
      </c>
    </row>
    <row r="42" spans="1:6" x14ac:dyDescent="0.25">
      <c r="A42" s="1" t="s">
        <v>39</v>
      </c>
      <c r="B42" s="7">
        <v>725</v>
      </c>
      <c r="C42" s="7">
        <v>3241</v>
      </c>
      <c r="D42" s="7">
        <v>9</v>
      </c>
      <c r="E42" s="7">
        <v>339</v>
      </c>
      <c r="F42" s="10">
        <f t="shared" si="0"/>
        <v>4314</v>
      </c>
    </row>
    <row r="43" spans="1:6" x14ac:dyDescent="0.25">
      <c r="A43" s="1" t="s">
        <v>40</v>
      </c>
      <c r="B43" s="7">
        <v>3299</v>
      </c>
      <c r="C43" s="7">
        <v>7124</v>
      </c>
      <c r="D43" s="7">
        <v>22</v>
      </c>
      <c r="E43" s="7">
        <v>1248</v>
      </c>
      <c r="F43" s="10">
        <f t="shared" si="0"/>
        <v>11693</v>
      </c>
    </row>
    <row r="44" spans="1:6" x14ac:dyDescent="0.25">
      <c r="A44" s="1" t="s">
        <v>41</v>
      </c>
      <c r="B44" s="7">
        <v>101542</v>
      </c>
      <c r="C44" s="7">
        <v>71480</v>
      </c>
      <c r="D44" s="7">
        <v>754</v>
      </c>
      <c r="E44" s="7">
        <v>59476</v>
      </c>
      <c r="F44" s="10">
        <f t="shared" si="0"/>
        <v>233252</v>
      </c>
    </row>
    <row r="45" spans="1:6" x14ac:dyDescent="0.25">
      <c r="A45" s="1" t="s">
        <v>42</v>
      </c>
      <c r="B45" s="7">
        <v>101289</v>
      </c>
      <c r="C45" s="7">
        <v>76401</v>
      </c>
      <c r="D45" s="7">
        <v>844</v>
      </c>
      <c r="E45" s="7">
        <v>49541</v>
      </c>
      <c r="F45" s="10">
        <f t="shared" si="0"/>
        <v>228075</v>
      </c>
    </row>
    <row r="46" spans="1:6" x14ac:dyDescent="0.25">
      <c r="A46" s="1" t="s">
        <v>43</v>
      </c>
      <c r="B46" s="7">
        <v>54816</v>
      </c>
      <c r="C46" s="7">
        <v>27422</v>
      </c>
      <c r="D46" s="7">
        <v>309</v>
      </c>
      <c r="E46" s="7">
        <v>26372</v>
      </c>
      <c r="F46" s="10">
        <f t="shared" si="0"/>
        <v>108919</v>
      </c>
    </row>
    <row r="47" spans="1:6" x14ac:dyDescent="0.25">
      <c r="A47" s="1" t="s">
        <v>44</v>
      </c>
      <c r="B47" s="7">
        <v>372768</v>
      </c>
      <c r="C47" s="7">
        <v>589161</v>
      </c>
      <c r="D47" s="7">
        <v>2787</v>
      </c>
      <c r="E47" s="7">
        <v>426801</v>
      </c>
      <c r="F47" s="10">
        <f t="shared" si="0"/>
        <v>1391517</v>
      </c>
    </row>
    <row r="48" spans="1:6" x14ac:dyDescent="0.25">
      <c r="A48" s="1" t="s">
        <v>45</v>
      </c>
      <c r="B48" s="7">
        <v>21478</v>
      </c>
      <c r="C48" s="7">
        <v>17915</v>
      </c>
      <c r="D48" s="7">
        <v>284</v>
      </c>
      <c r="E48" s="7">
        <v>15444</v>
      </c>
      <c r="F48" s="10">
        <f t="shared" si="0"/>
        <v>55121</v>
      </c>
    </row>
    <row r="49" spans="1:6" x14ac:dyDescent="0.25">
      <c r="A49" s="1" t="s">
        <v>46</v>
      </c>
      <c r="B49" s="7">
        <v>36021</v>
      </c>
      <c r="C49" s="7">
        <v>13988</v>
      </c>
      <c r="D49" s="7">
        <v>281</v>
      </c>
      <c r="E49" s="7">
        <v>12293</v>
      </c>
      <c r="F49" s="10">
        <f t="shared" si="0"/>
        <v>62583</v>
      </c>
    </row>
    <row r="50" spans="1:6" x14ac:dyDescent="0.25">
      <c r="A50" s="1" t="s">
        <v>47</v>
      </c>
      <c r="B50" s="7">
        <v>77791</v>
      </c>
      <c r="C50" s="7">
        <v>25712</v>
      </c>
      <c r="D50" s="7">
        <v>703</v>
      </c>
      <c r="E50" s="7">
        <v>29800</v>
      </c>
      <c r="F50" s="10">
        <f t="shared" si="0"/>
        <v>134006</v>
      </c>
    </row>
    <row r="51" spans="1:6" x14ac:dyDescent="0.25">
      <c r="A51" s="1" t="s">
        <v>48</v>
      </c>
      <c r="B51" s="7">
        <v>8409</v>
      </c>
      <c r="C51" s="7">
        <v>7339</v>
      </c>
      <c r="D51" s="7">
        <v>52</v>
      </c>
      <c r="E51" s="7">
        <v>3775</v>
      </c>
      <c r="F51" s="10">
        <f t="shared" si="0"/>
        <v>19575</v>
      </c>
    </row>
    <row r="52" spans="1:6" x14ac:dyDescent="0.25">
      <c r="A52" s="1" t="s">
        <v>49</v>
      </c>
      <c r="B52" s="7">
        <v>216254</v>
      </c>
      <c r="C52" s="7">
        <v>338429</v>
      </c>
      <c r="D52" s="7">
        <v>2937</v>
      </c>
      <c r="E52" s="7">
        <v>238962</v>
      </c>
      <c r="F52" s="10">
        <f t="shared" si="0"/>
        <v>796582</v>
      </c>
    </row>
    <row r="53" spans="1:6" x14ac:dyDescent="0.25">
      <c r="A53" s="1" t="s">
        <v>50</v>
      </c>
      <c r="B53" s="7">
        <v>46965</v>
      </c>
      <c r="C53" s="7">
        <v>86006</v>
      </c>
      <c r="D53" s="7">
        <v>489</v>
      </c>
      <c r="E53" s="7">
        <v>63885</v>
      </c>
      <c r="F53" s="10">
        <f t="shared" si="0"/>
        <v>197345</v>
      </c>
    </row>
    <row r="54" spans="1:6" x14ac:dyDescent="0.25">
      <c r="A54" s="1" t="s">
        <v>51</v>
      </c>
      <c r="B54" s="7">
        <v>259675</v>
      </c>
      <c r="C54" s="7">
        <v>387743</v>
      </c>
      <c r="D54" s="7">
        <v>2770</v>
      </c>
      <c r="E54" s="7">
        <v>263822</v>
      </c>
      <c r="F54" s="10">
        <f t="shared" si="0"/>
        <v>914010</v>
      </c>
    </row>
    <row r="55" spans="1:6" x14ac:dyDescent="0.25">
      <c r="A55" s="1" t="s">
        <v>52</v>
      </c>
      <c r="B55" s="7">
        <v>130211</v>
      </c>
      <c r="C55" s="7">
        <v>105857</v>
      </c>
      <c r="D55" s="7">
        <v>1307</v>
      </c>
      <c r="E55" s="7">
        <v>96910</v>
      </c>
      <c r="F55" s="10">
        <f t="shared" si="0"/>
        <v>334285</v>
      </c>
    </row>
    <row r="56" spans="1:6" x14ac:dyDescent="0.25">
      <c r="A56" s="1" t="s">
        <v>53</v>
      </c>
      <c r="B56" s="7">
        <v>230315</v>
      </c>
      <c r="C56" s="7">
        <v>228990</v>
      </c>
      <c r="D56" s="7">
        <v>3194</v>
      </c>
      <c r="E56" s="7">
        <v>179635</v>
      </c>
      <c r="F56" s="10">
        <f t="shared" si="0"/>
        <v>642134</v>
      </c>
    </row>
    <row r="57" spans="1:6" x14ac:dyDescent="0.25">
      <c r="A57" s="1" t="s">
        <v>54</v>
      </c>
      <c r="B57" s="7">
        <v>144084</v>
      </c>
      <c r="C57" s="7">
        <v>144697</v>
      </c>
      <c r="D57" s="7">
        <v>1371</v>
      </c>
      <c r="E57" s="7">
        <v>109135</v>
      </c>
      <c r="F57" s="10">
        <f t="shared" si="0"/>
        <v>399287</v>
      </c>
    </row>
    <row r="58" spans="1:6" x14ac:dyDescent="0.25">
      <c r="A58" s="1" t="s">
        <v>55</v>
      </c>
      <c r="B58" s="7">
        <v>17931</v>
      </c>
      <c r="C58" s="7">
        <v>19514</v>
      </c>
      <c r="D58" s="7">
        <v>126</v>
      </c>
      <c r="E58" s="7">
        <v>8676</v>
      </c>
      <c r="F58" s="10">
        <f t="shared" si="0"/>
        <v>46247</v>
      </c>
    </row>
    <row r="59" spans="1:6" x14ac:dyDescent="0.25">
      <c r="A59" s="1" t="s">
        <v>56</v>
      </c>
      <c r="B59" s="7">
        <v>77965</v>
      </c>
      <c r="C59" s="7">
        <v>26639</v>
      </c>
      <c r="D59" s="7">
        <v>712</v>
      </c>
      <c r="E59" s="7">
        <v>28840</v>
      </c>
      <c r="F59" s="10">
        <f t="shared" si="0"/>
        <v>134156</v>
      </c>
    </row>
    <row r="60" spans="1:6" x14ac:dyDescent="0.25">
      <c r="A60" s="1" t="s">
        <v>57</v>
      </c>
      <c r="B60" s="7">
        <v>132196</v>
      </c>
      <c r="C60" s="7">
        <v>94076</v>
      </c>
      <c r="D60" s="7">
        <v>1177</v>
      </c>
      <c r="E60" s="7">
        <v>81116</v>
      </c>
      <c r="F60" s="10">
        <f t="shared" si="0"/>
        <v>308565</v>
      </c>
    </row>
    <row r="61" spans="1:6" x14ac:dyDescent="0.25">
      <c r="A61" s="1" t="s">
        <v>58</v>
      </c>
      <c r="B61" s="7">
        <v>109216</v>
      </c>
      <c r="C61" s="7">
        <v>96365</v>
      </c>
      <c r="D61" s="7">
        <v>1270</v>
      </c>
      <c r="E61" s="7">
        <v>79537</v>
      </c>
      <c r="F61" s="10">
        <f t="shared" si="0"/>
        <v>286388</v>
      </c>
    </row>
    <row r="62" spans="1:6" x14ac:dyDescent="0.25">
      <c r="A62" s="1" t="s">
        <v>59</v>
      </c>
      <c r="B62" s="7">
        <v>93323</v>
      </c>
      <c r="C62" s="7">
        <v>41201</v>
      </c>
      <c r="D62" s="7">
        <v>856</v>
      </c>
      <c r="E62" s="7">
        <v>40312</v>
      </c>
      <c r="F62" s="10">
        <f t="shared" si="0"/>
        <v>175692</v>
      </c>
    </row>
    <row r="63" spans="1:6" x14ac:dyDescent="0.25">
      <c r="A63" s="1" t="s">
        <v>60</v>
      </c>
      <c r="B63" s="7">
        <v>62862</v>
      </c>
      <c r="C63" s="7">
        <v>77712</v>
      </c>
      <c r="D63" s="7">
        <v>435</v>
      </c>
      <c r="E63" s="7">
        <v>52764</v>
      </c>
      <c r="F63" s="10">
        <f t="shared" si="0"/>
        <v>193773</v>
      </c>
    </row>
    <row r="64" spans="1:6" x14ac:dyDescent="0.25">
      <c r="A64" s="1" t="s">
        <v>61</v>
      </c>
      <c r="B64" s="7">
        <v>48344</v>
      </c>
      <c r="C64" s="7">
        <v>22609</v>
      </c>
      <c r="D64" s="7">
        <v>196</v>
      </c>
      <c r="E64" s="7">
        <v>18706</v>
      </c>
      <c r="F64" s="10">
        <f t="shared" si="0"/>
        <v>89855</v>
      </c>
    </row>
    <row r="65" spans="1:6" x14ac:dyDescent="0.25">
      <c r="A65" s="1" t="s">
        <v>62</v>
      </c>
      <c r="B65" s="7">
        <v>11469</v>
      </c>
      <c r="C65" s="7">
        <v>10587</v>
      </c>
      <c r="D65" s="7">
        <v>104</v>
      </c>
      <c r="E65" s="7">
        <v>3957</v>
      </c>
      <c r="F65" s="10">
        <f t="shared" si="0"/>
        <v>26117</v>
      </c>
    </row>
    <row r="66" spans="1:6" x14ac:dyDescent="0.25">
      <c r="A66" s="1" t="s">
        <v>63</v>
      </c>
      <c r="B66" s="7">
        <v>4355</v>
      </c>
      <c r="C66" s="7">
        <v>6773</v>
      </c>
      <c r="D66" s="7">
        <v>64</v>
      </c>
      <c r="E66" s="7">
        <v>1140</v>
      </c>
      <c r="F66" s="10">
        <f t="shared" si="0"/>
        <v>12332</v>
      </c>
    </row>
    <row r="67" spans="1:6" x14ac:dyDescent="0.25">
      <c r="A67" s="1" t="s">
        <v>64</v>
      </c>
      <c r="B67" s="7">
        <v>3046</v>
      </c>
      <c r="C67" s="7">
        <v>3442</v>
      </c>
      <c r="D67" s="7">
        <v>42</v>
      </c>
      <c r="E67" s="7">
        <v>720</v>
      </c>
      <c r="F67" s="10">
        <f t="shared" si="0"/>
        <v>7250</v>
      </c>
    </row>
    <row r="68" spans="1:6" x14ac:dyDescent="0.25">
      <c r="A68" s="1" t="s">
        <v>65</v>
      </c>
      <c r="B68" s="7">
        <v>130722</v>
      </c>
      <c r="C68" s="7">
        <v>129925</v>
      </c>
      <c r="D68" s="7">
        <v>1388</v>
      </c>
      <c r="E68" s="7">
        <v>109352</v>
      </c>
      <c r="F68" s="10">
        <f t="shared" si="0"/>
        <v>371387</v>
      </c>
    </row>
    <row r="69" spans="1:6" x14ac:dyDescent="0.25">
      <c r="A69" s="1" t="s">
        <v>66</v>
      </c>
      <c r="B69" s="7">
        <v>7911</v>
      </c>
      <c r="C69" s="7">
        <v>8543</v>
      </c>
      <c r="D69" s="7">
        <v>64</v>
      </c>
      <c r="E69" s="7">
        <v>3273</v>
      </c>
      <c r="F69" s="10">
        <f t="shared" si="0"/>
        <v>19791</v>
      </c>
    </row>
    <row r="70" spans="1:6" x14ac:dyDescent="0.25">
      <c r="A70" s="1" t="s">
        <v>67</v>
      </c>
      <c r="B70" s="7">
        <v>27811</v>
      </c>
      <c r="C70" s="7">
        <v>9748</v>
      </c>
      <c r="D70" s="7">
        <v>303</v>
      </c>
      <c r="E70" s="7">
        <v>9270</v>
      </c>
      <c r="F70" s="10">
        <f t="shared" ref="F70:F71" si="1">SUM(B70:E70)</f>
        <v>47132</v>
      </c>
    </row>
    <row r="71" spans="1:6" ht="15.75" thickBot="1" x14ac:dyDescent="0.3">
      <c r="A71" s="1" t="s">
        <v>68</v>
      </c>
      <c r="B71" s="7">
        <v>7782</v>
      </c>
      <c r="C71" s="7">
        <v>5540</v>
      </c>
      <c r="D71" s="7">
        <v>51</v>
      </c>
      <c r="E71" s="7">
        <v>2079</v>
      </c>
      <c r="F71" s="10">
        <f t="shared" si="1"/>
        <v>15452</v>
      </c>
    </row>
    <row r="72" spans="1:6" ht="16.5" thickTop="1" thickBot="1" x14ac:dyDescent="0.3">
      <c r="A72" s="3" t="s">
        <v>1</v>
      </c>
      <c r="B72" s="8">
        <f>SUM(B5:B71)</f>
        <v>4564470</v>
      </c>
      <c r="C72" s="8">
        <f>SUM(C5:C71)</f>
        <v>4852277</v>
      </c>
      <c r="D72" s="8">
        <f>SUM(D5:D71)</f>
        <v>45222</v>
      </c>
      <c r="E72" s="8">
        <f>SUM(E5:E71)</f>
        <v>3418998</v>
      </c>
      <c r="F72" s="8">
        <f>SUM(F5:F71)</f>
        <v>12880967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93</v>
      </c>
      <c r="B1" s="17"/>
      <c r="C1" s="17"/>
      <c r="D1" s="17"/>
      <c r="E1" s="17"/>
      <c r="F1" s="18"/>
    </row>
    <row r="2" spans="1:6" x14ac:dyDescent="0.25">
      <c r="A2" s="13" t="s">
        <v>79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48440</v>
      </c>
      <c r="C5" s="7">
        <v>81427</v>
      </c>
      <c r="D5" s="7">
        <v>1043</v>
      </c>
      <c r="E5" s="7">
        <v>39148</v>
      </c>
      <c r="F5" s="10">
        <f>SUM(B5:E5)</f>
        <v>170058</v>
      </c>
    </row>
    <row r="6" spans="1:6" x14ac:dyDescent="0.25">
      <c r="A6" s="1" t="s">
        <v>3</v>
      </c>
      <c r="B6" s="7">
        <v>7859</v>
      </c>
      <c r="C6" s="7">
        <v>5801</v>
      </c>
      <c r="D6" s="7">
        <v>44</v>
      </c>
      <c r="E6" s="7">
        <v>1589</v>
      </c>
      <c r="F6" s="10">
        <f t="shared" ref="F6:F69" si="0">SUM(B6:E6)</f>
        <v>15293</v>
      </c>
    </row>
    <row r="7" spans="1:6" x14ac:dyDescent="0.25">
      <c r="A7" s="1" t="s">
        <v>4</v>
      </c>
      <c r="B7" s="7">
        <v>59856</v>
      </c>
      <c r="C7" s="7">
        <v>30489</v>
      </c>
      <c r="D7" s="7">
        <v>661</v>
      </c>
      <c r="E7" s="7">
        <v>24085</v>
      </c>
      <c r="F7" s="10">
        <f t="shared" si="0"/>
        <v>115091</v>
      </c>
    </row>
    <row r="8" spans="1:6" x14ac:dyDescent="0.25">
      <c r="A8" s="1" t="s">
        <v>5</v>
      </c>
      <c r="B8" s="7">
        <v>7313</v>
      </c>
      <c r="C8" s="7">
        <v>6211</v>
      </c>
      <c r="D8" s="7">
        <v>58</v>
      </c>
      <c r="E8" s="7">
        <v>2300</v>
      </c>
      <c r="F8" s="10">
        <f t="shared" si="0"/>
        <v>15882</v>
      </c>
    </row>
    <row r="9" spans="1:6" x14ac:dyDescent="0.25">
      <c r="A9" s="1" t="s">
        <v>6</v>
      </c>
      <c r="B9" s="7">
        <v>172721</v>
      </c>
      <c r="C9" s="7">
        <v>128262</v>
      </c>
      <c r="D9" s="7">
        <v>2074</v>
      </c>
      <c r="E9" s="7">
        <v>105769</v>
      </c>
      <c r="F9" s="10">
        <f t="shared" si="0"/>
        <v>408826</v>
      </c>
    </row>
    <row r="10" spans="1:6" x14ac:dyDescent="0.25">
      <c r="A10" s="1" t="s">
        <v>7</v>
      </c>
      <c r="B10" s="7">
        <v>255173</v>
      </c>
      <c r="C10" s="7">
        <v>594835</v>
      </c>
      <c r="D10" s="7">
        <v>2874</v>
      </c>
      <c r="E10" s="7">
        <v>325556</v>
      </c>
      <c r="F10" s="10">
        <f t="shared" si="0"/>
        <v>1178438</v>
      </c>
    </row>
    <row r="11" spans="1:6" x14ac:dyDescent="0.25">
      <c r="A11" s="1" t="s">
        <v>8</v>
      </c>
      <c r="B11" s="7">
        <v>2334</v>
      </c>
      <c r="C11" s="7">
        <v>5313</v>
      </c>
      <c r="D11" s="7">
        <v>20</v>
      </c>
      <c r="E11" s="7">
        <v>928</v>
      </c>
      <c r="F11" s="10">
        <f t="shared" si="0"/>
        <v>8595</v>
      </c>
    </row>
    <row r="12" spans="1:6" x14ac:dyDescent="0.25">
      <c r="A12" s="1" t="s">
        <v>9</v>
      </c>
      <c r="B12" s="7">
        <v>58238</v>
      </c>
      <c r="C12" s="7">
        <v>36692</v>
      </c>
      <c r="D12" s="7">
        <v>461</v>
      </c>
      <c r="E12" s="7">
        <v>35644</v>
      </c>
      <c r="F12" s="10">
        <f t="shared" si="0"/>
        <v>131035</v>
      </c>
    </row>
    <row r="13" spans="1:6" x14ac:dyDescent="0.25">
      <c r="A13" s="1" t="s">
        <v>10</v>
      </c>
      <c r="B13" s="7">
        <v>49806</v>
      </c>
      <c r="C13" s="7">
        <v>29951</v>
      </c>
      <c r="D13" s="7">
        <v>397</v>
      </c>
      <c r="E13" s="7">
        <v>26073</v>
      </c>
      <c r="F13" s="10">
        <f t="shared" si="0"/>
        <v>106227</v>
      </c>
    </row>
    <row r="14" spans="1:6" x14ac:dyDescent="0.25">
      <c r="A14" s="1" t="s">
        <v>11</v>
      </c>
      <c r="B14" s="7">
        <v>80703</v>
      </c>
      <c r="C14" s="7">
        <v>32572</v>
      </c>
      <c r="D14" s="7">
        <v>645</v>
      </c>
      <c r="E14" s="7">
        <v>34795</v>
      </c>
      <c r="F14" s="10">
        <f t="shared" si="0"/>
        <v>148715</v>
      </c>
    </row>
    <row r="15" spans="1:6" x14ac:dyDescent="0.25">
      <c r="A15" s="1" t="s">
        <v>12</v>
      </c>
      <c r="B15" s="7">
        <v>103159</v>
      </c>
      <c r="C15" s="7">
        <v>46922</v>
      </c>
      <c r="D15" s="7">
        <v>591</v>
      </c>
      <c r="E15" s="7">
        <v>49312</v>
      </c>
      <c r="F15" s="10">
        <f t="shared" si="0"/>
        <v>199984</v>
      </c>
    </row>
    <row r="16" spans="1:6" x14ac:dyDescent="0.25">
      <c r="A16" s="1" t="s">
        <v>13</v>
      </c>
      <c r="B16" s="7">
        <v>17008</v>
      </c>
      <c r="C16" s="7">
        <v>14407</v>
      </c>
      <c r="D16" s="7">
        <v>174</v>
      </c>
      <c r="E16" s="7">
        <v>6654</v>
      </c>
      <c r="F16" s="10">
        <f t="shared" si="0"/>
        <v>38243</v>
      </c>
    </row>
    <row r="17" spans="1:6" x14ac:dyDescent="0.25">
      <c r="A17" s="1" t="s">
        <v>14</v>
      </c>
      <c r="B17" s="7">
        <v>5262</v>
      </c>
      <c r="C17" s="7">
        <v>7422</v>
      </c>
      <c r="D17" s="7">
        <v>26</v>
      </c>
      <c r="E17" s="7">
        <v>3488</v>
      </c>
      <c r="F17" s="10">
        <f t="shared" si="0"/>
        <v>16198</v>
      </c>
    </row>
    <row r="18" spans="1:6" x14ac:dyDescent="0.25">
      <c r="A18" s="1" t="s">
        <v>15</v>
      </c>
      <c r="B18" s="7">
        <v>3776</v>
      </c>
      <c r="C18" s="7">
        <v>4652</v>
      </c>
      <c r="D18" s="7">
        <v>21</v>
      </c>
      <c r="E18" s="7">
        <v>1550</v>
      </c>
      <c r="F18" s="10">
        <f t="shared" si="0"/>
        <v>9999</v>
      </c>
    </row>
    <row r="19" spans="1:6" x14ac:dyDescent="0.25">
      <c r="A19" s="1" t="s">
        <v>16</v>
      </c>
      <c r="B19" s="7">
        <v>217251</v>
      </c>
      <c r="C19" s="7">
        <v>236064</v>
      </c>
      <c r="D19" s="7">
        <v>2739</v>
      </c>
      <c r="E19" s="7">
        <v>122043</v>
      </c>
      <c r="F19" s="10">
        <f t="shared" si="0"/>
        <v>578097</v>
      </c>
    </row>
    <row r="20" spans="1:6" x14ac:dyDescent="0.25">
      <c r="A20" s="1" t="s">
        <v>17</v>
      </c>
      <c r="B20" s="7">
        <v>92273</v>
      </c>
      <c r="C20" s="7">
        <v>70339</v>
      </c>
      <c r="D20" s="7">
        <v>907</v>
      </c>
      <c r="E20" s="7">
        <v>40822</v>
      </c>
      <c r="F20" s="10">
        <f t="shared" si="0"/>
        <v>204341</v>
      </c>
    </row>
    <row r="21" spans="1:6" x14ac:dyDescent="0.25">
      <c r="A21" s="1" t="s">
        <v>18</v>
      </c>
      <c r="B21" s="7">
        <v>31656</v>
      </c>
      <c r="C21" s="7">
        <v>24609</v>
      </c>
      <c r="D21" s="7">
        <v>295</v>
      </c>
      <c r="E21" s="7">
        <v>21743</v>
      </c>
      <c r="F21" s="10">
        <f t="shared" si="0"/>
        <v>78303</v>
      </c>
    </row>
    <row r="22" spans="1:6" x14ac:dyDescent="0.25">
      <c r="A22" s="1" t="s">
        <v>19</v>
      </c>
      <c r="B22" s="7">
        <v>2370</v>
      </c>
      <c r="C22" s="7">
        <v>4136</v>
      </c>
      <c r="D22" s="7">
        <v>63</v>
      </c>
      <c r="E22" s="7">
        <v>938</v>
      </c>
      <c r="F22" s="10">
        <f t="shared" si="0"/>
        <v>7507</v>
      </c>
    </row>
    <row r="23" spans="1:6" x14ac:dyDescent="0.25">
      <c r="A23" s="1" t="s">
        <v>20</v>
      </c>
      <c r="B23" s="7">
        <v>4540</v>
      </c>
      <c r="C23" s="7">
        <v>22276</v>
      </c>
      <c r="D23" s="7">
        <v>45</v>
      </c>
      <c r="E23" s="7">
        <v>2654</v>
      </c>
      <c r="F23" s="10">
        <f t="shared" si="0"/>
        <v>29515</v>
      </c>
    </row>
    <row r="24" spans="1:6" x14ac:dyDescent="0.25">
      <c r="A24" s="1" t="s">
        <v>21</v>
      </c>
      <c r="B24" s="7">
        <v>6164</v>
      </c>
      <c r="C24" s="7">
        <v>3488</v>
      </c>
      <c r="D24" s="7">
        <v>138</v>
      </c>
      <c r="E24" s="7">
        <v>1618</v>
      </c>
      <c r="F24" s="10">
        <f t="shared" si="0"/>
        <v>11408</v>
      </c>
    </row>
    <row r="25" spans="1:6" x14ac:dyDescent="0.25">
      <c r="A25" s="1" t="s">
        <v>22</v>
      </c>
      <c r="B25" s="7">
        <v>2481</v>
      </c>
      <c r="C25" s="7">
        <v>3013</v>
      </c>
      <c r="D25" s="7">
        <v>16</v>
      </c>
      <c r="E25" s="7">
        <v>1191</v>
      </c>
      <c r="F25" s="10">
        <f t="shared" si="0"/>
        <v>6701</v>
      </c>
    </row>
    <row r="26" spans="1:6" x14ac:dyDescent="0.25">
      <c r="A26" s="1" t="s">
        <v>23</v>
      </c>
      <c r="B26" s="7">
        <v>4762</v>
      </c>
      <c r="C26" s="7">
        <v>4279</v>
      </c>
      <c r="D26" s="7">
        <v>32</v>
      </c>
      <c r="E26" s="7">
        <v>1263</v>
      </c>
      <c r="F26" s="10">
        <f t="shared" si="0"/>
        <v>10336</v>
      </c>
    </row>
    <row r="27" spans="1:6" x14ac:dyDescent="0.25">
      <c r="A27" s="1" t="s">
        <v>24</v>
      </c>
      <c r="B27" s="7">
        <v>2258</v>
      </c>
      <c r="C27" s="7">
        <v>4399</v>
      </c>
      <c r="D27" s="7">
        <v>17</v>
      </c>
      <c r="E27" s="7">
        <v>914</v>
      </c>
      <c r="F27" s="10">
        <f t="shared" si="0"/>
        <v>7588</v>
      </c>
    </row>
    <row r="28" spans="1:6" x14ac:dyDescent="0.25">
      <c r="A28" s="1" t="s">
        <v>25</v>
      </c>
      <c r="B28" s="7">
        <v>5089</v>
      </c>
      <c r="C28" s="7">
        <v>4671</v>
      </c>
      <c r="D28" s="7">
        <v>120</v>
      </c>
      <c r="E28" s="7">
        <v>2021</v>
      </c>
      <c r="F28" s="10">
        <f t="shared" si="0"/>
        <v>11901</v>
      </c>
    </row>
    <row r="29" spans="1:6" x14ac:dyDescent="0.25">
      <c r="A29" s="1" t="s">
        <v>26</v>
      </c>
      <c r="B29" s="7">
        <v>6054</v>
      </c>
      <c r="C29" s="7">
        <v>7898</v>
      </c>
      <c r="D29" s="7">
        <v>36</v>
      </c>
      <c r="E29" s="7">
        <v>3125</v>
      </c>
      <c r="F29" s="10">
        <f t="shared" si="0"/>
        <v>17113</v>
      </c>
    </row>
    <row r="30" spans="1:6" x14ac:dyDescent="0.25">
      <c r="A30" s="1" t="s">
        <v>27</v>
      </c>
      <c r="B30" s="7">
        <v>53252</v>
      </c>
      <c r="C30" s="7">
        <v>42112</v>
      </c>
      <c r="D30" s="7">
        <v>522</v>
      </c>
      <c r="E30" s="7">
        <v>34009</v>
      </c>
      <c r="F30" s="10">
        <f t="shared" si="0"/>
        <v>129895</v>
      </c>
    </row>
    <row r="31" spans="1:6" x14ac:dyDescent="0.25">
      <c r="A31" s="1" t="s">
        <v>28</v>
      </c>
      <c r="B31" s="7">
        <v>26942</v>
      </c>
      <c r="C31" s="7">
        <v>18639</v>
      </c>
      <c r="D31" s="7">
        <v>122</v>
      </c>
      <c r="E31" s="7">
        <v>12936</v>
      </c>
      <c r="F31" s="10">
        <f t="shared" si="0"/>
        <v>58639</v>
      </c>
    </row>
    <row r="32" spans="1:6" x14ac:dyDescent="0.25">
      <c r="A32" s="1" t="s">
        <v>29</v>
      </c>
      <c r="B32" s="7">
        <v>263785</v>
      </c>
      <c r="C32" s="7">
        <v>323538</v>
      </c>
      <c r="D32" s="7">
        <v>3556</v>
      </c>
      <c r="E32" s="7">
        <v>234957</v>
      </c>
      <c r="F32" s="10">
        <f t="shared" si="0"/>
        <v>825836</v>
      </c>
    </row>
    <row r="33" spans="1:6" x14ac:dyDescent="0.25">
      <c r="A33" s="1" t="s">
        <v>30</v>
      </c>
      <c r="B33" s="7">
        <v>5821</v>
      </c>
      <c r="C33" s="7">
        <v>3467</v>
      </c>
      <c r="D33" s="7">
        <v>13</v>
      </c>
      <c r="E33" s="7">
        <v>1062</v>
      </c>
      <c r="F33" s="10">
        <f t="shared" si="0"/>
        <v>10363</v>
      </c>
    </row>
    <row r="34" spans="1:6" x14ac:dyDescent="0.25">
      <c r="A34" s="1" t="s">
        <v>31</v>
      </c>
      <c r="B34" s="7">
        <v>50337</v>
      </c>
      <c r="C34" s="7">
        <v>29387</v>
      </c>
      <c r="D34" s="7">
        <v>365</v>
      </c>
      <c r="E34" s="7">
        <v>28205</v>
      </c>
      <c r="F34" s="10">
        <f t="shared" si="0"/>
        <v>108294</v>
      </c>
    </row>
    <row r="35" spans="1:6" x14ac:dyDescent="0.25">
      <c r="A35" s="1" t="s">
        <v>32</v>
      </c>
      <c r="B35" s="7">
        <v>10114</v>
      </c>
      <c r="C35" s="7">
        <v>15498</v>
      </c>
      <c r="D35" s="7">
        <v>56</v>
      </c>
      <c r="E35" s="7">
        <v>3024</v>
      </c>
      <c r="F35" s="10">
        <f t="shared" si="0"/>
        <v>28692</v>
      </c>
    </row>
    <row r="36" spans="1:6" x14ac:dyDescent="0.25">
      <c r="A36" s="1" t="s">
        <v>33</v>
      </c>
      <c r="B36" s="7">
        <v>2788</v>
      </c>
      <c r="C36" s="7">
        <v>5671</v>
      </c>
      <c r="D36" s="7">
        <v>19</v>
      </c>
      <c r="E36" s="7">
        <v>1027</v>
      </c>
      <c r="F36" s="10">
        <f t="shared" si="0"/>
        <v>9505</v>
      </c>
    </row>
    <row r="37" spans="1:6" x14ac:dyDescent="0.25">
      <c r="A37" s="1" t="s">
        <v>34</v>
      </c>
      <c r="B37" s="7">
        <v>1578</v>
      </c>
      <c r="C37" s="7">
        <v>2569</v>
      </c>
      <c r="D37" s="7">
        <v>8</v>
      </c>
      <c r="E37" s="7">
        <v>308</v>
      </c>
      <c r="F37" s="10">
        <f t="shared" si="0"/>
        <v>4463</v>
      </c>
    </row>
    <row r="38" spans="1:6" x14ac:dyDescent="0.25">
      <c r="A38" s="1" t="s">
        <v>35</v>
      </c>
      <c r="B38" s="7">
        <v>100236</v>
      </c>
      <c r="C38" s="7">
        <v>71136</v>
      </c>
      <c r="D38" s="7">
        <v>712</v>
      </c>
      <c r="E38" s="7">
        <v>56617</v>
      </c>
      <c r="F38" s="10">
        <f t="shared" si="0"/>
        <v>228701</v>
      </c>
    </row>
    <row r="39" spans="1:6" x14ac:dyDescent="0.25">
      <c r="A39" s="1" t="s">
        <v>36</v>
      </c>
      <c r="B39" s="7">
        <v>189616</v>
      </c>
      <c r="C39" s="7">
        <v>119417</v>
      </c>
      <c r="D39" s="7">
        <v>1287</v>
      </c>
      <c r="E39" s="7">
        <v>126953</v>
      </c>
      <c r="F39" s="10">
        <f t="shared" si="0"/>
        <v>437273</v>
      </c>
    </row>
    <row r="40" spans="1:6" x14ac:dyDescent="0.25">
      <c r="A40" s="1" t="s">
        <v>37</v>
      </c>
      <c r="B40" s="7">
        <v>56932</v>
      </c>
      <c r="C40" s="7">
        <v>107946</v>
      </c>
      <c r="D40" s="7">
        <v>852</v>
      </c>
      <c r="E40" s="7">
        <v>38783</v>
      </c>
      <c r="F40" s="10">
        <f t="shared" si="0"/>
        <v>204513</v>
      </c>
    </row>
    <row r="41" spans="1:6" x14ac:dyDescent="0.25">
      <c r="A41" s="1" t="s">
        <v>38</v>
      </c>
      <c r="B41" s="7">
        <v>12383</v>
      </c>
      <c r="C41" s="7">
        <v>9201</v>
      </c>
      <c r="D41" s="7">
        <v>384</v>
      </c>
      <c r="E41" s="7">
        <v>4687</v>
      </c>
      <c r="F41" s="10">
        <f t="shared" si="0"/>
        <v>26655</v>
      </c>
    </row>
    <row r="42" spans="1:6" x14ac:dyDescent="0.25">
      <c r="A42" s="1" t="s">
        <v>39</v>
      </c>
      <c r="B42" s="7">
        <v>722</v>
      </c>
      <c r="C42" s="7">
        <v>3233</v>
      </c>
      <c r="D42" s="7">
        <v>9</v>
      </c>
      <c r="E42" s="7">
        <v>340</v>
      </c>
      <c r="F42" s="10">
        <f t="shared" si="0"/>
        <v>4304</v>
      </c>
    </row>
    <row r="43" spans="1:6" x14ac:dyDescent="0.25">
      <c r="A43" s="1" t="s">
        <v>40</v>
      </c>
      <c r="B43" s="7">
        <v>3313</v>
      </c>
      <c r="C43" s="7">
        <v>7121</v>
      </c>
      <c r="D43" s="7">
        <v>23</v>
      </c>
      <c r="E43" s="7">
        <v>1255</v>
      </c>
      <c r="F43" s="10">
        <f t="shared" si="0"/>
        <v>11712</v>
      </c>
    </row>
    <row r="44" spans="1:6" x14ac:dyDescent="0.25">
      <c r="A44" s="1" t="s">
        <v>41</v>
      </c>
      <c r="B44" s="7">
        <v>101405</v>
      </c>
      <c r="C44" s="7">
        <v>71444</v>
      </c>
      <c r="D44" s="7">
        <v>801</v>
      </c>
      <c r="E44" s="7">
        <v>59589</v>
      </c>
      <c r="F44" s="10">
        <f t="shared" si="0"/>
        <v>233239</v>
      </c>
    </row>
    <row r="45" spans="1:6" x14ac:dyDescent="0.25">
      <c r="A45" s="1" t="s">
        <v>42</v>
      </c>
      <c r="B45" s="7">
        <v>101651</v>
      </c>
      <c r="C45" s="7">
        <v>76566</v>
      </c>
      <c r="D45" s="7">
        <v>873</v>
      </c>
      <c r="E45" s="7">
        <v>49869</v>
      </c>
      <c r="F45" s="10">
        <f t="shared" si="0"/>
        <v>228959</v>
      </c>
    </row>
    <row r="46" spans="1:6" x14ac:dyDescent="0.25">
      <c r="A46" s="1" t="s">
        <v>43</v>
      </c>
      <c r="B46" s="7">
        <v>55047</v>
      </c>
      <c r="C46" s="7">
        <v>27560</v>
      </c>
      <c r="D46" s="7">
        <v>334</v>
      </c>
      <c r="E46" s="7">
        <v>26491</v>
      </c>
      <c r="F46" s="10">
        <f t="shared" si="0"/>
        <v>109432</v>
      </c>
    </row>
    <row r="47" spans="1:6" x14ac:dyDescent="0.25">
      <c r="A47" s="1" t="s">
        <v>44</v>
      </c>
      <c r="B47" s="7">
        <v>371841</v>
      </c>
      <c r="C47" s="7">
        <v>587630</v>
      </c>
      <c r="D47" s="7">
        <v>2892</v>
      </c>
      <c r="E47" s="7">
        <v>426388</v>
      </c>
      <c r="F47" s="10">
        <f t="shared" si="0"/>
        <v>1388751</v>
      </c>
    </row>
    <row r="48" spans="1:6" x14ac:dyDescent="0.25">
      <c r="A48" s="1" t="s">
        <v>45</v>
      </c>
      <c r="B48" s="7">
        <v>21532</v>
      </c>
      <c r="C48" s="7">
        <v>17884</v>
      </c>
      <c r="D48" s="7">
        <v>311</v>
      </c>
      <c r="E48" s="7">
        <v>15552</v>
      </c>
      <c r="F48" s="10">
        <f t="shared" si="0"/>
        <v>55279</v>
      </c>
    </row>
    <row r="49" spans="1:6" x14ac:dyDescent="0.25">
      <c r="A49" s="1" t="s">
        <v>46</v>
      </c>
      <c r="B49" s="7">
        <v>36214</v>
      </c>
      <c r="C49" s="7">
        <v>14054</v>
      </c>
      <c r="D49" s="7">
        <v>309</v>
      </c>
      <c r="E49" s="7">
        <v>12388</v>
      </c>
      <c r="F49" s="10">
        <f t="shared" si="0"/>
        <v>62965</v>
      </c>
    </row>
    <row r="50" spans="1:6" x14ac:dyDescent="0.25">
      <c r="A50" s="1" t="s">
        <v>47</v>
      </c>
      <c r="B50" s="7">
        <v>77996</v>
      </c>
      <c r="C50" s="7">
        <v>25762</v>
      </c>
      <c r="D50" s="7">
        <v>747</v>
      </c>
      <c r="E50" s="7">
        <v>29969</v>
      </c>
      <c r="F50" s="10">
        <f t="shared" si="0"/>
        <v>134474</v>
      </c>
    </row>
    <row r="51" spans="1:6" x14ac:dyDescent="0.25">
      <c r="A51" s="1" t="s">
        <v>48</v>
      </c>
      <c r="B51" s="7">
        <v>8432</v>
      </c>
      <c r="C51" s="7">
        <v>7357</v>
      </c>
      <c r="D51" s="7">
        <v>56</v>
      </c>
      <c r="E51" s="7">
        <v>3792</v>
      </c>
      <c r="F51" s="10">
        <f t="shared" si="0"/>
        <v>19637</v>
      </c>
    </row>
    <row r="52" spans="1:6" x14ac:dyDescent="0.25">
      <c r="A52" s="1" t="s">
        <v>49</v>
      </c>
      <c r="B52" s="7">
        <v>216751</v>
      </c>
      <c r="C52" s="7">
        <v>339405</v>
      </c>
      <c r="D52" s="7">
        <v>3063</v>
      </c>
      <c r="E52" s="7">
        <v>240454</v>
      </c>
      <c r="F52" s="10">
        <f t="shared" si="0"/>
        <v>799673</v>
      </c>
    </row>
    <row r="53" spans="1:6" x14ac:dyDescent="0.25">
      <c r="A53" s="1" t="s">
        <v>50</v>
      </c>
      <c r="B53" s="7">
        <v>47052</v>
      </c>
      <c r="C53" s="7">
        <v>86257</v>
      </c>
      <c r="D53" s="7">
        <v>514</v>
      </c>
      <c r="E53" s="7">
        <v>64398</v>
      </c>
      <c r="F53" s="10">
        <f t="shared" si="0"/>
        <v>198221</v>
      </c>
    </row>
    <row r="54" spans="1:6" x14ac:dyDescent="0.25">
      <c r="A54" s="1" t="s">
        <v>51</v>
      </c>
      <c r="B54" s="7">
        <v>260430</v>
      </c>
      <c r="C54" s="7">
        <v>388911</v>
      </c>
      <c r="D54" s="7">
        <v>3074</v>
      </c>
      <c r="E54" s="7">
        <v>265237</v>
      </c>
      <c r="F54" s="10">
        <f t="shared" si="0"/>
        <v>917652</v>
      </c>
    </row>
    <row r="55" spans="1:6" x14ac:dyDescent="0.25">
      <c r="A55" s="1" t="s">
        <v>52</v>
      </c>
      <c r="B55" s="7">
        <v>130528</v>
      </c>
      <c r="C55" s="7">
        <v>105978</v>
      </c>
      <c r="D55" s="7">
        <v>1387</v>
      </c>
      <c r="E55" s="7">
        <v>96924</v>
      </c>
      <c r="F55" s="10">
        <f t="shared" si="0"/>
        <v>334817</v>
      </c>
    </row>
    <row r="56" spans="1:6" x14ac:dyDescent="0.25">
      <c r="A56" s="1" t="s">
        <v>53</v>
      </c>
      <c r="B56" s="7">
        <v>229860</v>
      </c>
      <c r="C56" s="7">
        <v>228649</v>
      </c>
      <c r="D56" s="7">
        <v>3333</v>
      </c>
      <c r="E56" s="7">
        <v>179688</v>
      </c>
      <c r="F56" s="10">
        <f t="shared" si="0"/>
        <v>641530</v>
      </c>
    </row>
    <row r="57" spans="1:6" x14ac:dyDescent="0.25">
      <c r="A57" s="1" t="s">
        <v>54</v>
      </c>
      <c r="B57" s="7">
        <v>143237</v>
      </c>
      <c r="C57" s="7">
        <v>143220</v>
      </c>
      <c r="D57" s="7">
        <v>1424</v>
      </c>
      <c r="E57" s="7">
        <v>108346</v>
      </c>
      <c r="F57" s="10">
        <f t="shared" si="0"/>
        <v>396227</v>
      </c>
    </row>
    <row r="58" spans="1:6" x14ac:dyDescent="0.25">
      <c r="A58" s="1" t="s">
        <v>55</v>
      </c>
      <c r="B58" s="7">
        <v>17954</v>
      </c>
      <c r="C58" s="7">
        <v>19507</v>
      </c>
      <c r="D58" s="7">
        <v>132</v>
      </c>
      <c r="E58" s="7">
        <v>8718</v>
      </c>
      <c r="F58" s="10">
        <f t="shared" si="0"/>
        <v>46311</v>
      </c>
    </row>
    <row r="59" spans="1:6" x14ac:dyDescent="0.25">
      <c r="A59" s="1" t="s">
        <v>56</v>
      </c>
      <c r="B59" s="7">
        <v>78171</v>
      </c>
      <c r="C59" s="7">
        <v>26653</v>
      </c>
      <c r="D59" s="7">
        <v>750</v>
      </c>
      <c r="E59" s="7">
        <v>28960</v>
      </c>
      <c r="F59" s="10">
        <f t="shared" si="0"/>
        <v>134534</v>
      </c>
    </row>
    <row r="60" spans="1:6" x14ac:dyDescent="0.25">
      <c r="A60" s="1" t="s">
        <v>57</v>
      </c>
      <c r="B60" s="7">
        <v>132217</v>
      </c>
      <c r="C60" s="7">
        <v>94040</v>
      </c>
      <c r="D60" s="7">
        <v>1241</v>
      </c>
      <c r="E60" s="7">
        <v>81347</v>
      </c>
      <c r="F60" s="10">
        <f t="shared" si="0"/>
        <v>308845</v>
      </c>
    </row>
    <row r="61" spans="1:6" x14ac:dyDescent="0.25">
      <c r="A61" s="1" t="s">
        <v>58</v>
      </c>
      <c r="B61" s="7">
        <v>109221</v>
      </c>
      <c r="C61" s="7">
        <v>96493</v>
      </c>
      <c r="D61" s="7">
        <v>1316</v>
      </c>
      <c r="E61" s="7">
        <v>79649</v>
      </c>
      <c r="F61" s="10">
        <f t="shared" si="0"/>
        <v>286679</v>
      </c>
    </row>
    <row r="62" spans="1:6" x14ac:dyDescent="0.25">
      <c r="A62" s="1" t="s">
        <v>59</v>
      </c>
      <c r="B62" s="7">
        <v>93121</v>
      </c>
      <c r="C62" s="7">
        <v>40899</v>
      </c>
      <c r="D62" s="7">
        <v>912</v>
      </c>
      <c r="E62" s="7">
        <v>39936</v>
      </c>
      <c r="F62" s="10">
        <f t="shared" si="0"/>
        <v>174868</v>
      </c>
    </row>
    <row r="63" spans="1:6" x14ac:dyDescent="0.25">
      <c r="A63" s="1" t="s">
        <v>60</v>
      </c>
      <c r="B63" s="7">
        <v>62669</v>
      </c>
      <c r="C63" s="7">
        <v>77518</v>
      </c>
      <c r="D63" s="7">
        <v>476</v>
      </c>
      <c r="E63" s="7">
        <v>52689</v>
      </c>
      <c r="F63" s="10">
        <f t="shared" si="0"/>
        <v>193352</v>
      </c>
    </row>
    <row r="64" spans="1:6" x14ac:dyDescent="0.25">
      <c r="A64" s="1" t="s">
        <v>61</v>
      </c>
      <c r="B64" s="7">
        <v>48529</v>
      </c>
      <c r="C64" s="7">
        <v>22605</v>
      </c>
      <c r="D64" s="7">
        <v>216</v>
      </c>
      <c r="E64" s="7">
        <v>18746</v>
      </c>
      <c r="F64" s="10">
        <f t="shared" si="0"/>
        <v>90096</v>
      </c>
    </row>
    <row r="65" spans="1:6" x14ac:dyDescent="0.25">
      <c r="A65" s="1" t="s">
        <v>62</v>
      </c>
      <c r="B65" s="7">
        <v>11474</v>
      </c>
      <c r="C65" s="7">
        <v>10580</v>
      </c>
      <c r="D65" s="7">
        <v>109</v>
      </c>
      <c r="E65" s="7">
        <v>3973</v>
      </c>
      <c r="F65" s="10">
        <f t="shared" si="0"/>
        <v>26136</v>
      </c>
    </row>
    <row r="66" spans="1:6" x14ac:dyDescent="0.25">
      <c r="A66" s="1" t="s">
        <v>63</v>
      </c>
      <c r="B66" s="7">
        <v>4354</v>
      </c>
      <c r="C66" s="7">
        <v>6734</v>
      </c>
      <c r="D66" s="7">
        <v>67</v>
      </c>
      <c r="E66" s="7">
        <v>1139</v>
      </c>
      <c r="F66" s="10">
        <f t="shared" si="0"/>
        <v>12294</v>
      </c>
    </row>
    <row r="67" spans="1:6" x14ac:dyDescent="0.25">
      <c r="A67" s="1" t="s">
        <v>64</v>
      </c>
      <c r="B67" s="7">
        <v>3052</v>
      </c>
      <c r="C67" s="7">
        <v>3438</v>
      </c>
      <c r="D67" s="7">
        <v>42</v>
      </c>
      <c r="E67" s="7">
        <v>727</v>
      </c>
      <c r="F67" s="10">
        <f t="shared" si="0"/>
        <v>7259</v>
      </c>
    </row>
    <row r="68" spans="1:6" x14ac:dyDescent="0.25">
      <c r="A68" s="1" t="s">
        <v>65</v>
      </c>
      <c r="B68" s="7">
        <v>131009</v>
      </c>
      <c r="C68" s="7">
        <v>130022</v>
      </c>
      <c r="D68" s="7">
        <v>1487</v>
      </c>
      <c r="E68" s="7">
        <v>109831</v>
      </c>
      <c r="F68" s="10">
        <f t="shared" si="0"/>
        <v>372349</v>
      </c>
    </row>
    <row r="69" spans="1:6" x14ac:dyDescent="0.25">
      <c r="A69" s="1" t="s">
        <v>66</v>
      </c>
      <c r="B69" s="7">
        <v>7929</v>
      </c>
      <c r="C69" s="7">
        <v>8531</v>
      </c>
      <c r="D69" s="7">
        <v>65</v>
      </c>
      <c r="E69" s="7">
        <v>3290</v>
      </c>
      <c r="F69" s="10">
        <f t="shared" si="0"/>
        <v>19815</v>
      </c>
    </row>
    <row r="70" spans="1:6" x14ac:dyDescent="0.25">
      <c r="A70" s="1" t="s">
        <v>67</v>
      </c>
      <c r="B70" s="7">
        <v>27947</v>
      </c>
      <c r="C70" s="7">
        <v>9763</v>
      </c>
      <c r="D70" s="7">
        <v>189</v>
      </c>
      <c r="E70" s="7">
        <v>9484</v>
      </c>
      <c r="F70" s="10">
        <f t="shared" ref="F70:F71" si="1">SUM(B70:E70)</f>
        <v>47383</v>
      </c>
    </row>
    <row r="71" spans="1:6" ht="15.75" thickBot="1" x14ac:dyDescent="0.3">
      <c r="A71" s="1" t="s">
        <v>68</v>
      </c>
      <c r="B71" s="7">
        <v>7799</v>
      </c>
      <c r="C71" s="7">
        <v>5541</v>
      </c>
      <c r="D71" s="7">
        <v>52</v>
      </c>
      <c r="E71" s="7">
        <v>2095</v>
      </c>
      <c r="F71" s="10">
        <f t="shared" si="1"/>
        <v>15487</v>
      </c>
    </row>
    <row r="72" spans="1:6" ht="16.5" thickTop="1" thickBot="1" x14ac:dyDescent="0.3">
      <c r="A72" s="3" t="s">
        <v>1</v>
      </c>
      <c r="B72" s="8">
        <f>SUM(B5:B71)</f>
        <v>4561787</v>
      </c>
      <c r="C72" s="8">
        <f>SUM(C5:C71)</f>
        <v>4842064</v>
      </c>
      <c r="D72" s="8">
        <f>SUM(D5:D71)</f>
        <v>47597</v>
      </c>
      <c r="E72" s="8">
        <f>SUM(E5:E71)</f>
        <v>3419055</v>
      </c>
      <c r="F72" s="8">
        <f>SUM(F5:F71)</f>
        <v>12870503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1" workbookViewId="0">
      <selection activeCell="R53" sqref="R53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94</v>
      </c>
      <c r="B1" s="17"/>
      <c r="C1" s="17"/>
      <c r="D1" s="17"/>
      <c r="E1" s="17"/>
      <c r="F1" s="18"/>
    </row>
    <row r="2" spans="1:6" x14ac:dyDescent="0.25">
      <c r="A2" s="13" t="s">
        <v>85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48491</v>
      </c>
      <c r="C5" s="7">
        <v>81491</v>
      </c>
      <c r="D5" s="7">
        <v>1080</v>
      </c>
      <c r="E5" s="7">
        <v>39337</v>
      </c>
      <c r="F5" s="10">
        <f>SUM(B5:E5)</f>
        <v>170399</v>
      </c>
    </row>
    <row r="6" spans="1:6" x14ac:dyDescent="0.25">
      <c r="A6" s="1" t="s">
        <v>3</v>
      </c>
      <c r="B6" s="7">
        <v>7851</v>
      </c>
      <c r="C6" s="7">
        <v>5767</v>
      </c>
      <c r="D6" s="7">
        <v>46</v>
      </c>
      <c r="E6" s="7">
        <v>1583</v>
      </c>
      <c r="F6" s="10">
        <f t="shared" ref="F6:F69" si="0">SUM(B6:E6)</f>
        <v>15247</v>
      </c>
    </row>
    <row r="7" spans="1:6" x14ac:dyDescent="0.25">
      <c r="A7" s="1" t="s">
        <v>4</v>
      </c>
      <c r="B7" s="7">
        <v>60036</v>
      </c>
      <c r="C7" s="7">
        <v>30496</v>
      </c>
      <c r="D7" s="7">
        <v>680</v>
      </c>
      <c r="E7" s="7">
        <v>24251</v>
      </c>
      <c r="F7" s="10">
        <f t="shared" si="0"/>
        <v>115463</v>
      </c>
    </row>
    <row r="8" spans="1:6" x14ac:dyDescent="0.25">
      <c r="A8" s="1" t="s">
        <v>5</v>
      </c>
      <c r="B8" s="7">
        <v>7343</v>
      </c>
      <c r="C8" s="7">
        <v>6193</v>
      </c>
      <c r="D8" s="7">
        <v>59</v>
      </c>
      <c r="E8" s="7">
        <v>2312</v>
      </c>
      <c r="F8" s="10">
        <f t="shared" si="0"/>
        <v>15907</v>
      </c>
    </row>
    <row r="9" spans="1:6" x14ac:dyDescent="0.25">
      <c r="A9" s="1" t="s">
        <v>6</v>
      </c>
      <c r="B9" s="7">
        <v>172736</v>
      </c>
      <c r="C9" s="7">
        <v>128057</v>
      </c>
      <c r="D9" s="7">
        <v>2248</v>
      </c>
      <c r="E9" s="7">
        <v>106126</v>
      </c>
      <c r="F9" s="10">
        <f t="shared" si="0"/>
        <v>409167</v>
      </c>
    </row>
    <row r="10" spans="1:6" x14ac:dyDescent="0.25">
      <c r="A10" s="1" t="s">
        <v>7</v>
      </c>
      <c r="B10" s="7">
        <v>255012</v>
      </c>
      <c r="C10" s="7">
        <v>595533</v>
      </c>
      <c r="D10" s="7">
        <v>3116</v>
      </c>
      <c r="E10" s="7">
        <v>326284</v>
      </c>
      <c r="F10" s="10">
        <f t="shared" si="0"/>
        <v>1179945</v>
      </c>
    </row>
    <row r="11" spans="1:6" x14ac:dyDescent="0.25">
      <c r="A11" s="1" t="s">
        <v>8</v>
      </c>
      <c r="B11" s="7">
        <v>2334</v>
      </c>
      <c r="C11" s="7">
        <v>5302</v>
      </c>
      <c r="D11" s="7">
        <v>21</v>
      </c>
      <c r="E11" s="7">
        <v>928</v>
      </c>
      <c r="F11" s="10">
        <f t="shared" si="0"/>
        <v>8585</v>
      </c>
    </row>
    <row r="12" spans="1:6" x14ac:dyDescent="0.25">
      <c r="A12" s="1" t="s">
        <v>9</v>
      </c>
      <c r="B12" s="7">
        <v>58372</v>
      </c>
      <c r="C12" s="7">
        <v>36739</v>
      </c>
      <c r="D12" s="7">
        <v>501</v>
      </c>
      <c r="E12" s="7">
        <v>35776</v>
      </c>
      <c r="F12" s="10">
        <f t="shared" si="0"/>
        <v>131388</v>
      </c>
    </row>
    <row r="13" spans="1:6" x14ac:dyDescent="0.25">
      <c r="A13" s="1" t="s">
        <v>10</v>
      </c>
      <c r="B13" s="7">
        <v>49993</v>
      </c>
      <c r="C13" s="7">
        <v>29923</v>
      </c>
      <c r="D13" s="7">
        <v>418</v>
      </c>
      <c r="E13" s="7">
        <v>26179</v>
      </c>
      <c r="F13" s="10">
        <f t="shared" si="0"/>
        <v>106513</v>
      </c>
    </row>
    <row r="14" spans="1:6" x14ac:dyDescent="0.25">
      <c r="A14" s="1" t="s">
        <v>11</v>
      </c>
      <c r="B14" s="7">
        <v>80572</v>
      </c>
      <c r="C14" s="7">
        <v>32473</v>
      </c>
      <c r="D14" s="7">
        <v>689</v>
      </c>
      <c r="E14" s="7">
        <v>34763</v>
      </c>
      <c r="F14" s="10">
        <f t="shared" si="0"/>
        <v>148497</v>
      </c>
    </row>
    <row r="15" spans="1:6" x14ac:dyDescent="0.25">
      <c r="A15" s="1" t="s">
        <v>12</v>
      </c>
      <c r="B15" s="7">
        <v>103511</v>
      </c>
      <c r="C15" s="7">
        <v>47102</v>
      </c>
      <c r="D15" s="7">
        <v>620</v>
      </c>
      <c r="E15" s="7">
        <v>49711</v>
      </c>
      <c r="F15" s="10">
        <f t="shared" si="0"/>
        <v>200944</v>
      </c>
    </row>
    <row r="16" spans="1:6" x14ac:dyDescent="0.25">
      <c r="A16" s="1" t="s">
        <v>13</v>
      </c>
      <c r="B16" s="7">
        <v>17065</v>
      </c>
      <c r="C16" s="7">
        <v>14408</v>
      </c>
      <c r="D16" s="7">
        <v>184</v>
      </c>
      <c r="E16" s="7">
        <v>6694</v>
      </c>
      <c r="F16" s="10">
        <f t="shared" si="0"/>
        <v>38351</v>
      </c>
    </row>
    <row r="17" spans="1:6" x14ac:dyDescent="0.25">
      <c r="A17" s="1" t="s">
        <v>14</v>
      </c>
      <c r="B17" s="7">
        <v>5282</v>
      </c>
      <c r="C17" s="7">
        <v>7409</v>
      </c>
      <c r="D17" s="7">
        <v>27</v>
      </c>
      <c r="E17" s="7">
        <v>3508</v>
      </c>
      <c r="F17" s="10">
        <f t="shared" si="0"/>
        <v>16226</v>
      </c>
    </row>
    <row r="18" spans="1:6" x14ac:dyDescent="0.25">
      <c r="A18" s="1" t="s">
        <v>15</v>
      </c>
      <c r="B18" s="7">
        <v>3775</v>
      </c>
      <c r="C18" s="7">
        <v>4641</v>
      </c>
      <c r="D18" s="7">
        <v>24</v>
      </c>
      <c r="E18" s="7">
        <v>1553</v>
      </c>
      <c r="F18" s="10">
        <f t="shared" si="0"/>
        <v>9993</v>
      </c>
    </row>
    <row r="19" spans="1:6" x14ac:dyDescent="0.25">
      <c r="A19" s="1" t="s">
        <v>16</v>
      </c>
      <c r="B19" s="7">
        <v>216769</v>
      </c>
      <c r="C19" s="7">
        <v>235188</v>
      </c>
      <c r="D19" s="7">
        <v>2872</v>
      </c>
      <c r="E19" s="7">
        <v>121961</v>
      </c>
      <c r="F19" s="10">
        <f t="shared" si="0"/>
        <v>576790</v>
      </c>
    </row>
    <row r="20" spans="1:6" x14ac:dyDescent="0.25">
      <c r="A20" s="1" t="s">
        <v>17</v>
      </c>
      <c r="B20" s="7">
        <v>92388</v>
      </c>
      <c r="C20" s="7">
        <v>70313</v>
      </c>
      <c r="D20" s="7">
        <v>968</v>
      </c>
      <c r="E20" s="7">
        <v>41016</v>
      </c>
      <c r="F20" s="10">
        <f t="shared" si="0"/>
        <v>204685</v>
      </c>
    </row>
    <row r="21" spans="1:6" x14ac:dyDescent="0.25">
      <c r="A21" s="1" t="s">
        <v>18</v>
      </c>
      <c r="B21" s="7">
        <v>31672</v>
      </c>
      <c r="C21" s="7">
        <v>24556</v>
      </c>
      <c r="D21" s="7">
        <v>304</v>
      </c>
      <c r="E21" s="7">
        <v>21700</v>
      </c>
      <c r="F21" s="10">
        <f t="shared" si="0"/>
        <v>78232</v>
      </c>
    </row>
    <row r="22" spans="1:6" x14ac:dyDescent="0.25">
      <c r="A22" s="1" t="s">
        <v>19</v>
      </c>
      <c r="B22" s="7">
        <v>2390</v>
      </c>
      <c r="C22" s="7">
        <v>4144</v>
      </c>
      <c r="D22" s="7">
        <v>65</v>
      </c>
      <c r="E22" s="7">
        <v>948</v>
      </c>
      <c r="F22" s="10">
        <f t="shared" si="0"/>
        <v>7547</v>
      </c>
    </row>
    <row r="23" spans="1:6" x14ac:dyDescent="0.25">
      <c r="A23" s="1" t="s">
        <v>20</v>
      </c>
      <c r="B23" s="7">
        <v>4554</v>
      </c>
      <c r="C23" s="7">
        <v>22259</v>
      </c>
      <c r="D23" s="7">
        <v>48</v>
      </c>
      <c r="E23" s="7">
        <v>2650</v>
      </c>
      <c r="F23" s="10">
        <f t="shared" si="0"/>
        <v>29511</v>
      </c>
    </row>
    <row r="24" spans="1:6" x14ac:dyDescent="0.25">
      <c r="A24" s="1" t="s">
        <v>21</v>
      </c>
      <c r="B24" s="7">
        <v>6137</v>
      </c>
      <c r="C24" s="7">
        <v>3443</v>
      </c>
      <c r="D24" s="7">
        <v>136</v>
      </c>
      <c r="E24" s="7">
        <v>1603</v>
      </c>
      <c r="F24" s="10">
        <f t="shared" si="0"/>
        <v>11319</v>
      </c>
    </row>
    <row r="25" spans="1:6" x14ac:dyDescent="0.25">
      <c r="A25" s="1" t="s">
        <v>22</v>
      </c>
      <c r="B25" s="7">
        <v>2486</v>
      </c>
      <c r="C25" s="7">
        <v>3006</v>
      </c>
      <c r="D25" s="7">
        <v>15</v>
      </c>
      <c r="E25" s="7">
        <v>1191</v>
      </c>
      <c r="F25" s="10">
        <f t="shared" si="0"/>
        <v>6698</v>
      </c>
    </row>
    <row r="26" spans="1:6" x14ac:dyDescent="0.25">
      <c r="A26" s="1" t="s">
        <v>23</v>
      </c>
      <c r="B26" s="7">
        <v>4565</v>
      </c>
      <c r="C26" s="7">
        <v>3999</v>
      </c>
      <c r="D26" s="7">
        <v>35</v>
      </c>
      <c r="E26" s="7">
        <v>1131</v>
      </c>
      <c r="F26" s="10">
        <f t="shared" si="0"/>
        <v>9730</v>
      </c>
    </row>
    <row r="27" spans="1:6" x14ac:dyDescent="0.25">
      <c r="A27" s="1" t="s">
        <v>24</v>
      </c>
      <c r="B27" s="7">
        <v>2273</v>
      </c>
      <c r="C27" s="7">
        <v>4399</v>
      </c>
      <c r="D27" s="7">
        <v>21</v>
      </c>
      <c r="E27" s="7">
        <v>922</v>
      </c>
      <c r="F27" s="10">
        <f t="shared" si="0"/>
        <v>7615</v>
      </c>
    </row>
    <row r="28" spans="1:6" x14ac:dyDescent="0.25">
      <c r="A28" s="1" t="s">
        <v>25</v>
      </c>
      <c r="B28" s="7">
        <v>5097</v>
      </c>
      <c r="C28" s="7">
        <v>4669</v>
      </c>
      <c r="D28" s="7">
        <v>122</v>
      </c>
      <c r="E28" s="7">
        <v>2031</v>
      </c>
      <c r="F28" s="10">
        <f t="shared" si="0"/>
        <v>11919</v>
      </c>
    </row>
    <row r="29" spans="1:6" x14ac:dyDescent="0.25">
      <c r="A29" s="1" t="s">
        <v>26</v>
      </c>
      <c r="B29" s="7">
        <v>6085</v>
      </c>
      <c r="C29" s="7">
        <v>7894</v>
      </c>
      <c r="D29" s="7">
        <v>41</v>
      </c>
      <c r="E29" s="7">
        <v>3150</v>
      </c>
      <c r="F29" s="10">
        <f t="shared" si="0"/>
        <v>17170</v>
      </c>
    </row>
    <row r="30" spans="1:6" x14ac:dyDescent="0.25">
      <c r="A30" s="1" t="s">
        <v>27</v>
      </c>
      <c r="B30" s="7">
        <v>53213</v>
      </c>
      <c r="C30" s="7">
        <v>42113</v>
      </c>
      <c r="D30" s="7">
        <v>575</v>
      </c>
      <c r="E30" s="7">
        <v>34078</v>
      </c>
      <c r="F30" s="10">
        <f t="shared" si="0"/>
        <v>129979</v>
      </c>
    </row>
    <row r="31" spans="1:6" x14ac:dyDescent="0.25">
      <c r="A31" s="1" t="s">
        <v>28</v>
      </c>
      <c r="B31" s="7">
        <v>26953</v>
      </c>
      <c r="C31" s="7">
        <v>18631</v>
      </c>
      <c r="D31" s="7">
        <v>135</v>
      </c>
      <c r="E31" s="7">
        <v>12997</v>
      </c>
      <c r="F31" s="10">
        <f t="shared" si="0"/>
        <v>58716</v>
      </c>
    </row>
    <row r="32" spans="1:6" x14ac:dyDescent="0.25">
      <c r="A32" s="1" t="s">
        <v>29</v>
      </c>
      <c r="B32" s="7">
        <v>263393</v>
      </c>
      <c r="C32" s="7">
        <v>323090</v>
      </c>
      <c r="D32" s="7">
        <v>3787</v>
      </c>
      <c r="E32" s="7">
        <v>235221</v>
      </c>
      <c r="F32" s="10">
        <f t="shared" si="0"/>
        <v>825491</v>
      </c>
    </row>
    <row r="33" spans="1:6" x14ac:dyDescent="0.25">
      <c r="A33" s="1" t="s">
        <v>30</v>
      </c>
      <c r="B33" s="7">
        <v>5847</v>
      </c>
      <c r="C33" s="7">
        <v>3458</v>
      </c>
      <c r="D33" s="7">
        <v>15</v>
      </c>
      <c r="E33" s="7">
        <v>1069</v>
      </c>
      <c r="F33" s="10">
        <f t="shared" si="0"/>
        <v>10389</v>
      </c>
    </row>
    <row r="34" spans="1:6" x14ac:dyDescent="0.25">
      <c r="A34" s="1" t="s">
        <v>31</v>
      </c>
      <c r="B34" s="7">
        <v>50511</v>
      </c>
      <c r="C34" s="7">
        <v>29434</v>
      </c>
      <c r="D34" s="7">
        <v>406</v>
      </c>
      <c r="E34" s="7">
        <v>28386</v>
      </c>
      <c r="F34" s="10">
        <f t="shared" si="0"/>
        <v>108737</v>
      </c>
    </row>
    <row r="35" spans="1:6" x14ac:dyDescent="0.25">
      <c r="A35" s="1" t="s">
        <v>32</v>
      </c>
      <c r="B35" s="7">
        <v>10125</v>
      </c>
      <c r="C35" s="7">
        <v>15461</v>
      </c>
      <c r="D35" s="7">
        <v>59</v>
      </c>
      <c r="E35" s="7">
        <v>3026</v>
      </c>
      <c r="F35" s="10">
        <f t="shared" si="0"/>
        <v>28671</v>
      </c>
    </row>
    <row r="36" spans="1:6" x14ac:dyDescent="0.25">
      <c r="A36" s="1" t="s">
        <v>33</v>
      </c>
      <c r="B36" s="7">
        <v>2789</v>
      </c>
      <c r="C36" s="7">
        <v>5637</v>
      </c>
      <c r="D36" s="7">
        <v>19</v>
      </c>
      <c r="E36" s="7">
        <v>1022</v>
      </c>
      <c r="F36" s="10">
        <f t="shared" si="0"/>
        <v>9467</v>
      </c>
    </row>
    <row r="37" spans="1:6" x14ac:dyDescent="0.25">
      <c r="A37" s="1" t="s">
        <v>34</v>
      </c>
      <c r="B37" s="7">
        <v>1579</v>
      </c>
      <c r="C37" s="7">
        <v>2560</v>
      </c>
      <c r="D37" s="7">
        <v>8</v>
      </c>
      <c r="E37" s="7">
        <v>306</v>
      </c>
      <c r="F37" s="10">
        <f t="shared" si="0"/>
        <v>4453</v>
      </c>
    </row>
    <row r="38" spans="1:6" x14ac:dyDescent="0.25">
      <c r="A38" s="1" t="s">
        <v>35</v>
      </c>
      <c r="B38" s="7">
        <v>97353</v>
      </c>
      <c r="C38" s="7">
        <v>67996</v>
      </c>
      <c r="D38" s="7">
        <v>726</v>
      </c>
      <c r="E38" s="7">
        <v>53712</v>
      </c>
      <c r="F38" s="10">
        <f t="shared" si="0"/>
        <v>219787</v>
      </c>
    </row>
    <row r="39" spans="1:6" x14ac:dyDescent="0.25">
      <c r="A39" s="1" t="s">
        <v>36</v>
      </c>
      <c r="B39" s="7">
        <v>188287</v>
      </c>
      <c r="C39" s="7">
        <v>118130</v>
      </c>
      <c r="D39" s="7">
        <v>1365</v>
      </c>
      <c r="E39" s="7">
        <v>125616</v>
      </c>
      <c r="F39" s="10">
        <f t="shared" si="0"/>
        <v>433398</v>
      </c>
    </row>
    <row r="40" spans="1:6" x14ac:dyDescent="0.25">
      <c r="A40" s="1" t="s">
        <v>37</v>
      </c>
      <c r="B40" s="7">
        <v>56962</v>
      </c>
      <c r="C40" s="7">
        <v>107970</v>
      </c>
      <c r="D40" s="7">
        <v>890</v>
      </c>
      <c r="E40" s="7">
        <v>38903</v>
      </c>
      <c r="F40" s="10">
        <f t="shared" si="0"/>
        <v>204725</v>
      </c>
    </row>
    <row r="41" spans="1:6" x14ac:dyDescent="0.25">
      <c r="A41" s="1" t="s">
        <v>38</v>
      </c>
      <c r="B41" s="7">
        <v>12414</v>
      </c>
      <c r="C41" s="7">
        <v>9196</v>
      </c>
      <c r="D41" s="7">
        <v>387</v>
      </c>
      <c r="E41" s="7">
        <v>4725</v>
      </c>
      <c r="F41" s="10">
        <f t="shared" si="0"/>
        <v>26722</v>
      </c>
    </row>
    <row r="42" spans="1:6" x14ac:dyDescent="0.25">
      <c r="A42" s="1" t="s">
        <v>39</v>
      </c>
      <c r="B42" s="7">
        <v>732</v>
      </c>
      <c r="C42" s="7">
        <v>3234</v>
      </c>
      <c r="D42" s="7">
        <v>9</v>
      </c>
      <c r="E42" s="7">
        <v>342</v>
      </c>
      <c r="F42" s="10">
        <f t="shared" si="0"/>
        <v>4317</v>
      </c>
    </row>
    <row r="43" spans="1:6" x14ac:dyDescent="0.25">
      <c r="A43" s="1" t="s">
        <v>40</v>
      </c>
      <c r="B43" s="7">
        <v>3310</v>
      </c>
      <c r="C43" s="7">
        <v>7127</v>
      </c>
      <c r="D43" s="7">
        <v>27</v>
      </c>
      <c r="E43" s="7">
        <v>1254</v>
      </c>
      <c r="F43" s="10">
        <f t="shared" si="0"/>
        <v>11718</v>
      </c>
    </row>
    <row r="44" spans="1:6" x14ac:dyDescent="0.25">
      <c r="A44" s="1" t="s">
        <v>41</v>
      </c>
      <c r="B44" s="7">
        <v>101200</v>
      </c>
      <c r="C44" s="7">
        <v>71168</v>
      </c>
      <c r="D44" s="7">
        <v>845</v>
      </c>
      <c r="E44" s="7">
        <v>59264</v>
      </c>
      <c r="F44" s="10">
        <f t="shared" si="0"/>
        <v>232477</v>
      </c>
    </row>
    <row r="45" spans="1:6" x14ac:dyDescent="0.25">
      <c r="A45" s="1" t="s">
        <v>42</v>
      </c>
      <c r="B45" s="7">
        <v>101858</v>
      </c>
      <c r="C45" s="7">
        <v>76696</v>
      </c>
      <c r="D45" s="7">
        <v>909</v>
      </c>
      <c r="E45" s="7">
        <v>50195</v>
      </c>
      <c r="F45" s="10">
        <f t="shared" si="0"/>
        <v>229658</v>
      </c>
    </row>
    <row r="46" spans="1:6" x14ac:dyDescent="0.25">
      <c r="A46" s="1" t="s">
        <v>43</v>
      </c>
      <c r="B46" s="7">
        <v>55149</v>
      </c>
      <c r="C46" s="7">
        <v>27625</v>
      </c>
      <c r="D46" s="7">
        <v>374</v>
      </c>
      <c r="E46" s="7">
        <v>26642</v>
      </c>
      <c r="F46" s="10">
        <f t="shared" si="0"/>
        <v>109790</v>
      </c>
    </row>
    <row r="47" spans="1:6" x14ac:dyDescent="0.25">
      <c r="A47" s="1" t="s">
        <v>44</v>
      </c>
      <c r="B47" s="7">
        <v>370863</v>
      </c>
      <c r="C47" s="7">
        <v>584930</v>
      </c>
      <c r="D47" s="7">
        <v>3170</v>
      </c>
      <c r="E47" s="7">
        <v>425447</v>
      </c>
      <c r="F47" s="10">
        <f t="shared" si="0"/>
        <v>1384410</v>
      </c>
    </row>
    <row r="48" spans="1:6" x14ac:dyDescent="0.25">
      <c r="A48" s="1" t="s">
        <v>45</v>
      </c>
      <c r="B48" s="7">
        <v>21496</v>
      </c>
      <c r="C48" s="7">
        <v>17838</v>
      </c>
      <c r="D48" s="7">
        <v>348</v>
      </c>
      <c r="E48" s="7">
        <v>15587</v>
      </c>
      <c r="F48" s="10">
        <f t="shared" si="0"/>
        <v>55269</v>
      </c>
    </row>
    <row r="49" spans="1:6" x14ac:dyDescent="0.25">
      <c r="A49" s="1" t="s">
        <v>46</v>
      </c>
      <c r="B49" s="7">
        <v>36365</v>
      </c>
      <c r="C49" s="7">
        <v>14077</v>
      </c>
      <c r="D49" s="7">
        <v>325</v>
      </c>
      <c r="E49" s="7">
        <v>12479</v>
      </c>
      <c r="F49" s="10">
        <f t="shared" si="0"/>
        <v>63246</v>
      </c>
    </row>
    <row r="50" spans="1:6" x14ac:dyDescent="0.25">
      <c r="A50" s="1" t="s">
        <v>47</v>
      </c>
      <c r="B50" s="7">
        <v>74401</v>
      </c>
      <c r="C50" s="7">
        <v>23972</v>
      </c>
      <c r="D50" s="7">
        <v>757</v>
      </c>
      <c r="E50" s="7">
        <v>27524</v>
      </c>
      <c r="F50" s="10">
        <f t="shared" si="0"/>
        <v>126654</v>
      </c>
    </row>
    <row r="51" spans="1:6" x14ac:dyDescent="0.25">
      <c r="A51" s="1" t="s">
        <v>48</v>
      </c>
      <c r="B51" s="7">
        <v>8458</v>
      </c>
      <c r="C51" s="7">
        <v>7361</v>
      </c>
      <c r="D51" s="7">
        <v>66</v>
      </c>
      <c r="E51" s="7">
        <v>3799</v>
      </c>
      <c r="F51" s="10">
        <f t="shared" si="0"/>
        <v>19684</v>
      </c>
    </row>
    <row r="52" spans="1:6" x14ac:dyDescent="0.25">
      <c r="A52" s="1" t="s">
        <v>49</v>
      </c>
      <c r="B52" s="7">
        <v>215458</v>
      </c>
      <c r="C52" s="7">
        <v>335592</v>
      </c>
      <c r="D52" s="7">
        <v>3221</v>
      </c>
      <c r="E52" s="7">
        <v>237446</v>
      </c>
      <c r="F52" s="10">
        <f t="shared" si="0"/>
        <v>791717</v>
      </c>
    </row>
    <row r="53" spans="1:6" x14ac:dyDescent="0.25">
      <c r="A53" s="1" t="s">
        <v>50</v>
      </c>
      <c r="B53" s="7">
        <v>46977</v>
      </c>
      <c r="C53" s="7">
        <v>86144</v>
      </c>
      <c r="D53" s="7">
        <v>533</v>
      </c>
      <c r="E53" s="7">
        <v>64782</v>
      </c>
      <c r="F53" s="10">
        <f t="shared" si="0"/>
        <v>198436</v>
      </c>
    </row>
    <row r="54" spans="1:6" x14ac:dyDescent="0.25">
      <c r="A54" s="1" t="s">
        <v>51</v>
      </c>
      <c r="B54" s="7">
        <v>260715</v>
      </c>
      <c r="C54" s="7">
        <v>389058</v>
      </c>
      <c r="D54" s="7">
        <v>3435</v>
      </c>
      <c r="E54" s="7">
        <v>265873</v>
      </c>
      <c r="F54" s="10">
        <f t="shared" si="0"/>
        <v>919081</v>
      </c>
    </row>
    <row r="55" spans="1:6" x14ac:dyDescent="0.25">
      <c r="A55" s="1" t="s">
        <v>52</v>
      </c>
      <c r="B55" s="7">
        <v>130881</v>
      </c>
      <c r="C55" s="7">
        <v>106312</v>
      </c>
      <c r="D55" s="7">
        <v>1494</v>
      </c>
      <c r="E55" s="7">
        <v>97505</v>
      </c>
      <c r="F55" s="10">
        <f t="shared" si="0"/>
        <v>336192</v>
      </c>
    </row>
    <row r="56" spans="1:6" x14ac:dyDescent="0.25">
      <c r="A56" s="1" t="s">
        <v>53</v>
      </c>
      <c r="B56" s="7">
        <v>229980</v>
      </c>
      <c r="C56" s="7">
        <v>229017</v>
      </c>
      <c r="D56" s="7">
        <v>3538</v>
      </c>
      <c r="E56" s="7">
        <v>180436</v>
      </c>
      <c r="F56" s="10">
        <f t="shared" si="0"/>
        <v>642971</v>
      </c>
    </row>
    <row r="57" spans="1:6" x14ac:dyDescent="0.25">
      <c r="A57" s="1" t="s">
        <v>54</v>
      </c>
      <c r="B57" s="7">
        <v>142491</v>
      </c>
      <c r="C57" s="7">
        <v>142152</v>
      </c>
      <c r="D57" s="7">
        <v>1518</v>
      </c>
      <c r="E57" s="7">
        <v>107924</v>
      </c>
      <c r="F57" s="10">
        <f t="shared" si="0"/>
        <v>394085</v>
      </c>
    </row>
    <row r="58" spans="1:6" x14ac:dyDescent="0.25">
      <c r="A58" s="1" t="s">
        <v>55</v>
      </c>
      <c r="B58" s="7">
        <v>17984</v>
      </c>
      <c r="C58" s="7">
        <v>19462</v>
      </c>
      <c r="D58" s="7">
        <v>139</v>
      </c>
      <c r="E58" s="7">
        <v>8754</v>
      </c>
      <c r="F58" s="10">
        <f t="shared" si="0"/>
        <v>46339</v>
      </c>
    </row>
    <row r="59" spans="1:6" x14ac:dyDescent="0.25">
      <c r="A59" s="1" t="s">
        <v>56</v>
      </c>
      <c r="B59" s="7">
        <v>73525</v>
      </c>
      <c r="C59" s="7">
        <v>24606</v>
      </c>
      <c r="D59" s="7">
        <v>732</v>
      </c>
      <c r="E59" s="7">
        <v>25963</v>
      </c>
      <c r="F59" s="10">
        <f t="shared" si="0"/>
        <v>124826</v>
      </c>
    </row>
    <row r="60" spans="1:6" x14ac:dyDescent="0.25">
      <c r="A60" s="1" t="s">
        <v>57</v>
      </c>
      <c r="B60" s="7">
        <v>132498</v>
      </c>
      <c r="C60" s="7">
        <v>94195</v>
      </c>
      <c r="D60" s="7">
        <v>1327</v>
      </c>
      <c r="E60" s="7">
        <v>81662</v>
      </c>
      <c r="F60" s="10">
        <f t="shared" si="0"/>
        <v>309682</v>
      </c>
    </row>
    <row r="61" spans="1:6" x14ac:dyDescent="0.25">
      <c r="A61" s="1" t="s">
        <v>58</v>
      </c>
      <c r="B61" s="7">
        <v>109146</v>
      </c>
      <c r="C61" s="7">
        <v>96503</v>
      </c>
      <c r="D61" s="7">
        <v>1375</v>
      </c>
      <c r="E61" s="7">
        <v>79871</v>
      </c>
      <c r="F61" s="10">
        <f t="shared" si="0"/>
        <v>286895</v>
      </c>
    </row>
    <row r="62" spans="1:6" x14ac:dyDescent="0.25">
      <c r="A62" s="1" t="s">
        <v>59</v>
      </c>
      <c r="B62" s="7">
        <v>93458</v>
      </c>
      <c r="C62" s="7">
        <v>41083</v>
      </c>
      <c r="D62" s="7">
        <v>984</v>
      </c>
      <c r="E62" s="7">
        <v>40187</v>
      </c>
      <c r="F62" s="10">
        <f t="shared" si="0"/>
        <v>175712</v>
      </c>
    </row>
    <row r="63" spans="1:6" x14ac:dyDescent="0.25">
      <c r="A63" s="1" t="s">
        <v>60</v>
      </c>
      <c r="B63" s="7">
        <v>62693</v>
      </c>
      <c r="C63" s="7">
        <v>77511</v>
      </c>
      <c r="D63" s="7">
        <v>537</v>
      </c>
      <c r="E63" s="7">
        <v>52840</v>
      </c>
      <c r="F63" s="10">
        <f t="shared" si="0"/>
        <v>193581</v>
      </c>
    </row>
    <row r="64" spans="1:6" x14ac:dyDescent="0.25">
      <c r="A64" s="1" t="s">
        <v>61</v>
      </c>
      <c r="B64" s="7">
        <v>48648</v>
      </c>
      <c r="C64" s="7">
        <v>22602</v>
      </c>
      <c r="D64" s="7">
        <v>229</v>
      </c>
      <c r="E64" s="7">
        <v>18812</v>
      </c>
      <c r="F64" s="10">
        <f t="shared" si="0"/>
        <v>90291</v>
      </c>
    </row>
    <row r="65" spans="1:6" x14ac:dyDescent="0.25">
      <c r="A65" s="1" t="s">
        <v>62</v>
      </c>
      <c r="B65" s="7">
        <v>11489</v>
      </c>
      <c r="C65" s="7">
        <v>10545</v>
      </c>
      <c r="D65" s="7">
        <v>123</v>
      </c>
      <c r="E65" s="7">
        <v>3981</v>
      </c>
      <c r="F65" s="10">
        <f t="shared" si="0"/>
        <v>26138</v>
      </c>
    </row>
    <row r="66" spans="1:6" x14ac:dyDescent="0.25">
      <c r="A66" s="1" t="s">
        <v>63</v>
      </c>
      <c r="B66" s="7">
        <v>4348</v>
      </c>
      <c r="C66" s="7">
        <v>6692</v>
      </c>
      <c r="D66" s="7">
        <v>68</v>
      </c>
      <c r="E66" s="7">
        <v>1139</v>
      </c>
      <c r="F66" s="10">
        <f t="shared" si="0"/>
        <v>12247</v>
      </c>
    </row>
    <row r="67" spans="1:6" x14ac:dyDescent="0.25">
      <c r="A67" s="1" t="s">
        <v>64</v>
      </c>
      <c r="B67" s="7">
        <v>3057</v>
      </c>
      <c r="C67" s="7">
        <v>3427</v>
      </c>
      <c r="D67" s="7">
        <v>37</v>
      </c>
      <c r="E67" s="7">
        <v>727</v>
      </c>
      <c r="F67" s="10">
        <f t="shared" si="0"/>
        <v>7248</v>
      </c>
    </row>
    <row r="68" spans="1:6" x14ac:dyDescent="0.25">
      <c r="A68" s="1" t="s">
        <v>65</v>
      </c>
      <c r="B68" s="7">
        <v>131143</v>
      </c>
      <c r="C68" s="7">
        <v>130001</v>
      </c>
      <c r="D68" s="7">
        <v>1584</v>
      </c>
      <c r="E68" s="7">
        <v>110138</v>
      </c>
      <c r="F68" s="10">
        <f t="shared" si="0"/>
        <v>372866</v>
      </c>
    </row>
    <row r="69" spans="1:6" x14ac:dyDescent="0.25">
      <c r="A69" s="1" t="s">
        <v>66</v>
      </c>
      <c r="B69" s="7">
        <v>7951</v>
      </c>
      <c r="C69" s="7">
        <v>8539</v>
      </c>
      <c r="D69" s="7">
        <v>67</v>
      </c>
      <c r="E69" s="7">
        <v>3301</v>
      </c>
      <c r="F69" s="10">
        <f t="shared" si="0"/>
        <v>19858</v>
      </c>
    </row>
    <row r="70" spans="1:6" x14ac:dyDescent="0.25">
      <c r="A70" s="1" t="s">
        <v>67</v>
      </c>
      <c r="B70" s="7">
        <v>28041</v>
      </c>
      <c r="C70" s="7">
        <v>9770</v>
      </c>
      <c r="D70" s="7">
        <v>212</v>
      </c>
      <c r="E70" s="7">
        <v>9518</v>
      </c>
      <c r="F70" s="10">
        <f t="shared" ref="F70:F71" si="1">SUM(B70:E70)</f>
        <v>47541</v>
      </c>
    </row>
    <row r="71" spans="1:6" ht="15.75" thickBot="1" x14ac:dyDescent="0.3">
      <c r="A71" s="1" t="s">
        <v>68</v>
      </c>
      <c r="B71" s="7">
        <v>7824</v>
      </c>
      <c r="C71" s="7">
        <v>5540</v>
      </c>
      <c r="D71" s="7">
        <v>52</v>
      </c>
      <c r="E71" s="7">
        <v>2108</v>
      </c>
      <c r="F71" s="10">
        <f t="shared" si="1"/>
        <v>15524</v>
      </c>
    </row>
    <row r="72" spans="1:6" ht="16.5" thickTop="1" thickBot="1" x14ac:dyDescent="0.3">
      <c r="A72" s="3" t="s">
        <v>1</v>
      </c>
      <c r="B72" s="8">
        <f>SUM(B5:B71)</f>
        <v>4548354</v>
      </c>
      <c r="C72" s="8">
        <f>SUM(C5:C71)</f>
        <v>4825859</v>
      </c>
      <c r="D72" s="8">
        <f>SUM(D5:D71)</f>
        <v>50747</v>
      </c>
      <c r="E72" s="8">
        <f>SUM(E5:E71)</f>
        <v>3411869</v>
      </c>
      <c r="F72" s="8">
        <f>SUM(F5:F71)</f>
        <v>12836829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F72" sqref="F7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95</v>
      </c>
      <c r="B1" s="17"/>
      <c r="C1" s="17"/>
      <c r="D1" s="17"/>
      <c r="E1" s="17"/>
      <c r="F1" s="18"/>
    </row>
    <row r="2" spans="1:6" x14ac:dyDescent="0.25">
      <c r="A2" s="13" t="s">
        <v>111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48645</v>
      </c>
      <c r="C5" s="7">
        <v>81698</v>
      </c>
      <c r="D5" s="7">
        <v>1109</v>
      </c>
      <c r="E5" s="7">
        <v>39630</v>
      </c>
      <c r="F5" s="10">
        <f>SUM(B5:E5)</f>
        <v>171082</v>
      </c>
    </row>
    <row r="6" spans="1:6" x14ac:dyDescent="0.25">
      <c r="A6" s="1" t="s">
        <v>3</v>
      </c>
      <c r="B6" s="7">
        <v>7862</v>
      </c>
      <c r="C6" s="7">
        <v>5750</v>
      </c>
      <c r="D6" s="7">
        <v>47</v>
      </c>
      <c r="E6" s="7">
        <v>1582</v>
      </c>
      <c r="F6" s="10">
        <f>SUM(B6:E6)</f>
        <v>15241</v>
      </c>
    </row>
    <row r="7" spans="1:6" x14ac:dyDescent="0.25">
      <c r="A7" s="1" t="s">
        <v>4</v>
      </c>
      <c r="B7" s="7">
        <v>60008</v>
      </c>
      <c r="C7" s="7">
        <v>30391</v>
      </c>
      <c r="D7" s="7">
        <v>704</v>
      </c>
      <c r="E7" s="7">
        <v>24244</v>
      </c>
      <c r="F7" s="10">
        <f t="shared" ref="F7:F70" si="0">SUM(B7:E7)</f>
        <v>115347</v>
      </c>
    </row>
    <row r="8" spans="1:6" x14ac:dyDescent="0.25">
      <c r="A8" s="1" t="s">
        <v>5</v>
      </c>
      <c r="B8" s="7">
        <v>7372</v>
      </c>
      <c r="C8" s="7">
        <v>6191</v>
      </c>
      <c r="D8" s="7">
        <v>61</v>
      </c>
      <c r="E8" s="7">
        <v>2331</v>
      </c>
      <c r="F8" s="10">
        <f t="shared" si="0"/>
        <v>15955</v>
      </c>
    </row>
    <row r="9" spans="1:6" x14ac:dyDescent="0.25">
      <c r="A9" s="1" t="s">
        <v>6</v>
      </c>
      <c r="B9" s="7">
        <v>172217</v>
      </c>
      <c r="C9" s="7">
        <v>127612</v>
      </c>
      <c r="D9" s="7">
        <v>2410</v>
      </c>
      <c r="E9" s="7">
        <v>106159</v>
      </c>
      <c r="F9" s="10">
        <f t="shared" si="0"/>
        <v>408398</v>
      </c>
    </row>
    <row r="10" spans="1:6" x14ac:dyDescent="0.25">
      <c r="A10" s="1" t="s">
        <v>7</v>
      </c>
      <c r="B10" s="7">
        <v>254773</v>
      </c>
      <c r="C10" s="7">
        <v>595323</v>
      </c>
      <c r="D10" s="7">
        <v>3269</v>
      </c>
      <c r="E10" s="7">
        <v>327004</v>
      </c>
      <c r="F10" s="10">
        <f t="shared" si="0"/>
        <v>1180369</v>
      </c>
    </row>
    <row r="11" spans="1:6" x14ac:dyDescent="0.25">
      <c r="A11" s="1" t="s">
        <v>8</v>
      </c>
      <c r="B11" s="7">
        <v>2343</v>
      </c>
      <c r="C11" s="7">
        <v>5296</v>
      </c>
      <c r="D11" s="7">
        <v>21</v>
      </c>
      <c r="E11" s="7">
        <v>929</v>
      </c>
      <c r="F11" s="10">
        <f t="shared" si="0"/>
        <v>8589</v>
      </c>
    </row>
    <row r="12" spans="1:6" x14ac:dyDescent="0.25">
      <c r="A12" s="1" t="s">
        <v>9</v>
      </c>
      <c r="B12" s="7">
        <v>58599</v>
      </c>
      <c r="C12" s="7">
        <v>36774</v>
      </c>
      <c r="D12" s="7">
        <v>539</v>
      </c>
      <c r="E12" s="7">
        <v>35955</v>
      </c>
      <c r="F12" s="10">
        <f t="shared" si="0"/>
        <v>131867</v>
      </c>
    </row>
    <row r="13" spans="1:6" x14ac:dyDescent="0.25">
      <c r="A13" s="1" t="s">
        <v>10</v>
      </c>
      <c r="B13" s="7">
        <v>50156</v>
      </c>
      <c r="C13" s="7">
        <v>29944</v>
      </c>
      <c r="D13" s="7">
        <v>463</v>
      </c>
      <c r="E13" s="7">
        <v>26259</v>
      </c>
      <c r="F13" s="10">
        <f t="shared" si="0"/>
        <v>106822</v>
      </c>
    </row>
    <row r="14" spans="1:6" x14ac:dyDescent="0.25">
      <c r="A14" s="1" t="s">
        <v>11</v>
      </c>
      <c r="B14" s="7">
        <v>80531</v>
      </c>
      <c r="C14" s="7">
        <v>32516</v>
      </c>
      <c r="D14" s="7">
        <v>738</v>
      </c>
      <c r="E14" s="7">
        <v>34835</v>
      </c>
      <c r="F14" s="10">
        <f t="shared" si="0"/>
        <v>148620</v>
      </c>
    </row>
    <row r="15" spans="1:6" x14ac:dyDescent="0.25">
      <c r="A15" s="1" t="s">
        <v>12</v>
      </c>
      <c r="B15" s="7">
        <v>103477</v>
      </c>
      <c r="C15" s="7">
        <v>47176</v>
      </c>
      <c r="D15" s="7">
        <v>646</v>
      </c>
      <c r="E15" s="7">
        <v>49916</v>
      </c>
      <c r="F15" s="10">
        <f t="shared" si="0"/>
        <v>201215</v>
      </c>
    </row>
    <row r="16" spans="1:6" x14ac:dyDescent="0.25">
      <c r="A16" s="1" t="s">
        <v>13</v>
      </c>
      <c r="B16" s="7">
        <v>17119</v>
      </c>
      <c r="C16" s="7">
        <v>14422</v>
      </c>
      <c r="D16" s="7">
        <v>190</v>
      </c>
      <c r="E16" s="7">
        <v>6720</v>
      </c>
      <c r="F16" s="10">
        <f t="shared" si="0"/>
        <v>38451</v>
      </c>
    </row>
    <row r="17" spans="1:6" x14ac:dyDescent="0.25">
      <c r="A17" s="1" t="s">
        <v>14</v>
      </c>
      <c r="B17" s="7">
        <v>5298</v>
      </c>
      <c r="C17" s="7">
        <v>7405</v>
      </c>
      <c r="D17" s="7">
        <v>30</v>
      </c>
      <c r="E17" s="7">
        <v>3543</v>
      </c>
      <c r="F17" s="10">
        <f t="shared" si="0"/>
        <v>16276</v>
      </c>
    </row>
    <row r="18" spans="1:6" x14ac:dyDescent="0.25">
      <c r="A18" s="1" t="s">
        <v>15</v>
      </c>
      <c r="B18" s="7">
        <v>3771</v>
      </c>
      <c r="C18" s="7">
        <v>4634</v>
      </c>
      <c r="D18" s="7">
        <v>25</v>
      </c>
      <c r="E18" s="7">
        <v>1557</v>
      </c>
      <c r="F18" s="10">
        <f t="shared" si="0"/>
        <v>9987</v>
      </c>
    </row>
    <row r="19" spans="1:6" x14ac:dyDescent="0.25">
      <c r="A19" s="1" t="s">
        <v>16</v>
      </c>
      <c r="B19" s="7">
        <v>216768</v>
      </c>
      <c r="C19" s="7">
        <v>235528</v>
      </c>
      <c r="D19" s="7">
        <v>3039</v>
      </c>
      <c r="E19" s="7">
        <v>122536</v>
      </c>
      <c r="F19" s="10">
        <f t="shared" si="0"/>
        <v>577871</v>
      </c>
    </row>
    <row r="20" spans="1:6" x14ac:dyDescent="0.25">
      <c r="A20" s="1" t="s">
        <v>17</v>
      </c>
      <c r="B20" s="7">
        <v>92591</v>
      </c>
      <c r="C20" s="7">
        <v>70369</v>
      </c>
      <c r="D20" s="7">
        <v>1038</v>
      </c>
      <c r="E20" s="7">
        <v>41294</v>
      </c>
      <c r="F20" s="10">
        <f t="shared" si="0"/>
        <v>205292</v>
      </c>
    </row>
    <row r="21" spans="1:6" x14ac:dyDescent="0.25">
      <c r="A21" s="1" t="s">
        <v>18</v>
      </c>
      <c r="B21" s="7">
        <v>31769</v>
      </c>
      <c r="C21" s="7">
        <v>24613</v>
      </c>
      <c r="D21" s="7">
        <v>312</v>
      </c>
      <c r="E21" s="7">
        <v>21830</v>
      </c>
      <c r="F21" s="10">
        <f t="shared" si="0"/>
        <v>78524</v>
      </c>
    </row>
    <row r="22" spans="1:6" x14ac:dyDescent="0.25">
      <c r="A22" s="1" t="s">
        <v>19</v>
      </c>
      <c r="B22" s="7">
        <v>2407</v>
      </c>
      <c r="C22" s="7">
        <v>4153</v>
      </c>
      <c r="D22" s="7">
        <v>64</v>
      </c>
      <c r="E22" s="7">
        <v>954</v>
      </c>
      <c r="F22" s="10">
        <f t="shared" si="0"/>
        <v>7578</v>
      </c>
    </row>
    <row r="23" spans="1:6" x14ac:dyDescent="0.25">
      <c r="A23" s="1" t="s">
        <v>20</v>
      </c>
      <c r="B23" s="7">
        <v>4568</v>
      </c>
      <c r="C23" s="7">
        <v>22261</v>
      </c>
      <c r="D23" s="7">
        <v>53</v>
      </c>
      <c r="E23" s="7">
        <v>2662</v>
      </c>
      <c r="F23" s="10">
        <f t="shared" si="0"/>
        <v>29544</v>
      </c>
    </row>
    <row r="24" spans="1:6" x14ac:dyDescent="0.25">
      <c r="A24" s="1" t="s">
        <v>21</v>
      </c>
      <c r="B24" s="7">
        <v>6154</v>
      </c>
      <c r="C24" s="7">
        <v>3427</v>
      </c>
      <c r="D24" s="7">
        <v>138</v>
      </c>
      <c r="E24" s="7">
        <v>1611</v>
      </c>
      <c r="F24" s="10">
        <f t="shared" si="0"/>
        <v>11330</v>
      </c>
    </row>
    <row r="25" spans="1:6" x14ac:dyDescent="0.25">
      <c r="A25" s="1" t="s">
        <v>22</v>
      </c>
      <c r="B25" s="7">
        <v>2476</v>
      </c>
      <c r="C25" s="7">
        <v>2983</v>
      </c>
      <c r="D25" s="7">
        <v>18</v>
      </c>
      <c r="E25" s="7">
        <v>1186</v>
      </c>
      <c r="F25" s="10">
        <f t="shared" si="0"/>
        <v>6663</v>
      </c>
    </row>
    <row r="26" spans="1:6" x14ac:dyDescent="0.25">
      <c r="A26" s="1" t="s">
        <v>23</v>
      </c>
      <c r="B26" s="7">
        <v>4578</v>
      </c>
      <c r="C26" s="7">
        <v>3996</v>
      </c>
      <c r="D26" s="7">
        <v>38</v>
      </c>
      <c r="E26" s="7">
        <v>1131</v>
      </c>
      <c r="F26" s="10">
        <f t="shared" si="0"/>
        <v>9743</v>
      </c>
    </row>
    <row r="27" spans="1:6" x14ac:dyDescent="0.25">
      <c r="A27" s="1" t="s">
        <v>24</v>
      </c>
      <c r="B27" s="7">
        <v>2276</v>
      </c>
      <c r="C27" s="7">
        <v>4390</v>
      </c>
      <c r="D27" s="7">
        <v>22</v>
      </c>
      <c r="E27" s="7">
        <v>924</v>
      </c>
      <c r="F27" s="10">
        <f t="shared" si="0"/>
        <v>7612</v>
      </c>
    </row>
    <row r="28" spans="1:6" x14ac:dyDescent="0.25">
      <c r="A28" s="1" t="s">
        <v>25</v>
      </c>
      <c r="B28" s="7">
        <v>5105</v>
      </c>
      <c r="C28" s="7">
        <v>4668</v>
      </c>
      <c r="D28" s="7">
        <v>123</v>
      </c>
      <c r="E28" s="7">
        <v>2042</v>
      </c>
      <c r="F28" s="10">
        <f t="shared" si="0"/>
        <v>11938</v>
      </c>
    </row>
    <row r="29" spans="1:6" x14ac:dyDescent="0.25">
      <c r="A29" s="1" t="s">
        <v>26</v>
      </c>
      <c r="B29" s="7">
        <v>6104</v>
      </c>
      <c r="C29" s="7">
        <v>7901</v>
      </c>
      <c r="D29" s="7">
        <v>43</v>
      </c>
      <c r="E29" s="7">
        <v>3170</v>
      </c>
      <c r="F29" s="10">
        <f t="shared" si="0"/>
        <v>17218</v>
      </c>
    </row>
    <row r="30" spans="1:6" x14ac:dyDescent="0.25">
      <c r="A30" s="1" t="s">
        <v>27</v>
      </c>
      <c r="B30" s="7">
        <v>52943</v>
      </c>
      <c r="C30" s="7">
        <v>41806</v>
      </c>
      <c r="D30" s="7">
        <v>610</v>
      </c>
      <c r="E30" s="7">
        <v>33886</v>
      </c>
      <c r="F30" s="10">
        <f t="shared" si="0"/>
        <v>129245</v>
      </c>
    </row>
    <row r="31" spans="1:6" x14ac:dyDescent="0.25">
      <c r="A31" s="1" t="s">
        <v>28</v>
      </c>
      <c r="B31" s="7">
        <v>27029</v>
      </c>
      <c r="C31" s="7">
        <v>18662</v>
      </c>
      <c r="D31" s="7">
        <v>143</v>
      </c>
      <c r="E31" s="7">
        <v>13098</v>
      </c>
      <c r="F31" s="10">
        <f t="shared" si="0"/>
        <v>58932</v>
      </c>
    </row>
    <row r="32" spans="1:6" x14ac:dyDescent="0.25">
      <c r="A32" s="1" t="s">
        <v>29</v>
      </c>
      <c r="B32" s="7">
        <v>264124</v>
      </c>
      <c r="C32" s="7">
        <v>323993</v>
      </c>
      <c r="D32" s="7">
        <v>3998</v>
      </c>
      <c r="E32" s="7">
        <v>236807</v>
      </c>
      <c r="F32" s="10">
        <f t="shared" si="0"/>
        <v>828922</v>
      </c>
    </row>
    <row r="33" spans="1:6" x14ac:dyDescent="0.25">
      <c r="A33" s="1" t="s">
        <v>30</v>
      </c>
      <c r="B33" s="7">
        <v>5857</v>
      </c>
      <c r="C33" s="7">
        <v>3443</v>
      </c>
      <c r="D33" s="7">
        <v>18</v>
      </c>
      <c r="E33" s="7">
        <v>1075</v>
      </c>
      <c r="F33" s="10">
        <f t="shared" si="0"/>
        <v>10393</v>
      </c>
    </row>
    <row r="34" spans="1:6" x14ac:dyDescent="0.25">
      <c r="A34" s="1" t="s">
        <v>31</v>
      </c>
      <c r="B34" s="7">
        <v>50612</v>
      </c>
      <c r="C34" s="7">
        <v>29503</v>
      </c>
      <c r="D34" s="7">
        <v>439</v>
      </c>
      <c r="E34" s="7">
        <v>28543</v>
      </c>
      <c r="F34" s="10">
        <f t="shared" si="0"/>
        <v>109097</v>
      </c>
    </row>
    <row r="35" spans="1:6" x14ac:dyDescent="0.25">
      <c r="A35" s="1" t="s">
        <v>32</v>
      </c>
      <c r="B35" s="7">
        <v>10152</v>
      </c>
      <c r="C35" s="7">
        <v>15429</v>
      </c>
      <c r="D35" s="7">
        <v>60</v>
      </c>
      <c r="E35" s="7">
        <v>3038</v>
      </c>
      <c r="F35" s="10">
        <f t="shared" si="0"/>
        <v>28679</v>
      </c>
    </row>
    <row r="36" spans="1:6" x14ac:dyDescent="0.25">
      <c r="A36" s="1" t="s">
        <v>33</v>
      </c>
      <c r="B36" s="7">
        <v>2788</v>
      </c>
      <c r="C36" s="7">
        <v>5622</v>
      </c>
      <c r="D36" s="7">
        <v>20</v>
      </c>
      <c r="E36" s="7">
        <v>1031</v>
      </c>
      <c r="F36" s="10">
        <f t="shared" si="0"/>
        <v>9461</v>
      </c>
    </row>
    <row r="37" spans="1:6" x14ac:dyDescent="0.25">
      <c r="A37" s="1" t="s">
        <v>34</v>
      </c>
      <c r="B37" s="7">
        <v>1583</v>
      </c>
      <c r="C37" s="7">
        <v>2551</v>
      </c>
      <c r="D37" s="7">
        <v>9</v>
      </c>
      <c r="E37" s="7">
        <v>308</v>
      </c>
      <c r="F37" s="10">
        <f t="shared" si="0"/>
        <v>4451</v>
      </c>
    </row>
    <row r="38" spans="1:6" x14ac:dyDescent="0.25">
      <c r="A38" s="1" t="s">
        <v>35</v>
      </c>
      <c r="B38" s="7">
        <v>97725</v>
      </c>
      <c r="C38" s="7">
        <v>68204</v>
      </c>
      <c r="D38" s="7">
        <v>764</v>
      </c>
      <c r="E38" s="7">
        <v>54153</v>
      </c>
      <c r="F38" s="10">
        <f t="shared" si="0"/>
        <v>220846</v>
      </c>
    </row>
    <row r="39" spans="1:6" x14ac:dyDescent="0.25">
      <c r="A39" s="1" t="s">
        <v>36</v>
      </c>
      <c r="B39" s="7">
        <v>187038</v>
      </c>
      <c r="C39" s="7">
        <v>116907</v>
      </c>
      <c r="D39" s="7">
        <v>1450</v>
      </c>
      <c r="E39" s="7">
        <v>124530</v>
      </c>
      <c r="F39" s="10">
        <f t="shared" si="0"/>
        <v>429925</v>
      </c>
    </row>
    <row r="40" spans="1:6" x14ac:dyDescent="0.25">
      <c r="A40" s="1" t="s">
        <v>37</v>
      </c>
      <c r="B40" s="7">
        <v>57046</v>
      </c>
      <c r="C40" s="7">
        <v>108147</v>
      </c>
      <c r="D40" s="7">
        <v>951</v>
      </c>
      <c r="E40" s="7">
        <v>39167</v>
      </c>
      <c r="F40" s="10">
        <f t="shared" si="0"/>
        <v>205311</v>
      </c>
    </row>
    <row r="41" spans="1:6" x14ac:dyDescent="0.25">
      <c r="A41" s="1" t="s">
        <v>38</v>
      </c>
      <c r="B41" s="7">
        <v>12444</v>
      </c>
      <c r="C41" s="7">
        <v>9196</v>
      </c>
      <c r="D41" s="7">
        <v>391</v>
      </c>
      <c r="E41" s="7">
        <v>4743</v>
      </c>
      <c r="F41" s="10">
        <f t="shared" si="0"/>
        <v>26774</v>
      </c>
    </row>
    <row r="42" spans="1:6" x14ac:dyDescent="0.25">
      <c r="A42" s="1" t="s">
        <v>39</v>
      </c>
      <c r="B42" s="7">
        <v>729</v>
      </c>
      <c r="C42" s="7">
        <v>3236</v>
      </c>
      <c r="D42" s="7">
        <v>10</v>
      </c>
      <c r="E42" s="7">
        <v>343</v>
      </c>
      <c r="F42" s="10">
        <f t="shared" si="0"/>
        <v>4318</v>
      </c>
    </row>
    <row r="43" spans="1:6" x14ac:dyDescent="0.25">
      <c r="A43" s="1" t="s">
        <v>40</v>
      </c>
      <c r="B43" s="7">
        <v>3324</v>
      </c>
      <c r="C43" s="7">
        <v>7119</v>
      </c>
      <c r="D43" s="7">
        <v>29</v>
      </c>
      <c r="E43" s="7">
        <v>1262</v>
      </c>
      <c r="F43" s="10">
        <f t="shared" si="0"/>
        <v>11734</v>
      </c>
    </row>
    <row r="44" spans="1:6" x14ac:dyDescent="0.25">
      <c r="A44" s="1" t="s">
        <v>41</v>
      </c>
      <c r="B44" s="7">
        <v>100134</v>
      </c>
      <c r="C44" s="7">
        <v>70384</v>
      </c>
      <c r="D44" s="7">
        <v>874</v>
      </c>
      <c r="E44" s="7">
        <v>58638</v>
      </c>
      <c r="F44" s="10">
        <f t="shared" si="0"/>
        <v>230030</v>
      </c>
    </row>
    <row r="45" spans="1:6" x14ac:dyDescent="0.25">
      <c r="A45" s="1" t="s">
        <v>42</v>
      </c>
      <c r="B45" s="7">
        <v>102191</v>
      </c>
      <c r="C45" s="7">
        <v>76856</v>
      </c>
      <c r="D45" s="7">
        <v>950</v>
      </c>
      <c r="E45" s="7">
        <v>50515</v>
      </c>
      <c r="F45" s="10">
        <f t="shared" si="0"/>
        <v>230512</v>
      </c>
    </row>
    <row r="46" spans="1:6" x14ac:dyDescent="0.25">
      <c r="A46" s="1" t="s">
        <v>43</v>
      </c>
      <c r="B46" s="7">
        <v>55198</v>
      </c>
      <c r="C46" s="7">
        <v>27665</v>
      </c>
      <c r="D46" s="7">
        <v>417</v>
      </c>
      <c r="E46" s="7">
        <v>26741</v>
      </c>
      <c r="F46" s="10">
        <f t="shared" si="0"/>
        <v>110021</v>
      </c>
    </row>
    <row r="47" spans="1:6" x14ac:dyDescent="0.25">
      <c r="A47" s="1" t="s">
        <v>44</v>
      </c>
      <c r="B47" s="7">
        <v>371008</v>
      </c>
      <c r="C47" s="7">
        <v>585526</v>
      </c>
      <c r="D47" s="7">
        <v>3355</v>
      </c>
      <c r="E47" s="7">
        <v>426961</v>
      </c>
      <c r="F47" s="10">
        <f t="shared" si="0"/>
        <v>1386850</v>
      </c>
    </row>
    <row r="48" spans="1:6" x14ac:dyDescent="0.25">
      <c r="A48" s="1" t="s">
        <v>45</v>
      </c>
      <c r="B48" s="7">
        <v>21558</v>
      </c>
      <c r="C48" s="7">
        <v>17860</v>
      </c>
      <c r="D48" s="7">
        <v>373</v>
      </c>
      <c r="E48" s="7">
        <v>15671</v>
      </c>
      <c r="F48" s="10">
        <f t="shared" si="0"/>
        <v>55462</v>
      </c>
    </row>
    <row r="49" spans="1:6" x14ac:dyDescent="0.25">
      <c r="A49" s="1" t="s">
        <v>46</v>
      </c>
      <c r="B49" s="7">
        <v>36540</v>
      </c>
      <c r="C49" s="7">
        <v>14129</v>
      </c>
      <c r="D49" s="7">
        <v>342</v>
      </c>
      <c r="E49" s="7">
        <v>12574</v>
      </c>
      <c r="F49" s="10">
        <f t="shared" si="0"/>
        <v>63585</v>
      </c>
    </row>
    <row r="50" spans="1:6" x14ac:dyDescent="0.25">
      <c r="A50" s="1" t="s">
        <v>47</v>
      </c>
      <c r="B50" s="7">
        <v>74642</v>
      </c>
      <c r="C50" s="7">
        <v>24080</v>
      </c>
      <c r="D50" s="7">
        <v>815</v>
      </c>
      <c r="E50" s="7">
        <v>27790</v>
      </c>
      <c r="F50" s="10">
        <f t="shared" si="0"/>
        <v>127327</v>
      </c>
    </row>
    <row r="51" spans="1:6" x14ac:dyDescent="0.25">
      <c r="A51" s="1" t="s">
        <v>48</v>
      </c>
      <c r="B51" s="7">
        <v>8464</v>
      </c>
      <c r="C51" s="7">
        <v>7352</v>
      </c>
      <c r="D51" s="7">
        <v>74</v>
      </c>
      <c r="E51" s="7">
        <v>3802</v>
      </c>
      <c r="F51" s="10">
        <f t="shared" si="0"/>
        <v>19692</v>
      </c>
    </row>
    <row r="52" spans="1:6" x14ac:dyDescent="0.25">
      <c r="A52" s="1" t="s">
        <v>49</v>
      </c>
      <c r="B52" s="7">
        <v>216038</v>
      </c>
      <c r="C52" s="7">
        <v>336789</v>
      </c>
      <c r="D52" s="7">
        <v>3422</v>
      </c>
      <c r="E52" s="7">
        <v>239352</v>
      </c>
      <c r="F52" s="10">
        <f t="shared" si="0"/>
        <v>795601</v>
      </c>
    </row>
    <row r="53" spans="1:6" x14ac:dyDescent="0.25">
      <c r="A53" s="1" t="s">
        <v>50</v>
      </c>
      <c r="B53" s="7">
        <v>46979</v>
      </c>
      <c r="C53" s="7">
        <v>86176</v>
      </c>
      <c r="D53" s="7">
        <v>564</v>
      </c>
      <c r="E53" s="7">
        <v>65308</v>
      </c>
      <c r="F53" s="10">
        <f t="shared" si="0"/>
        <v>199027</v>
      </c>
    </row>
    <row r="54" spans="1:6" x14ac:dyDescent="0.25">
      <c r="A54" s="1" t="s">
        <v>51</v>
      </c>
      <c r="B54" s="7">
        <v>261211</v>
      </c>
      <c r="C54" s="7">
        <v>389538</v>
      </c>
      <c r="D54" s="7">
        <v>3725</v>
      </c>
      <c r="E54" s="7">
        <v>266925</v>
      </c>
      <c r="F54" s="10">
        <f t="shared" si="0"/>
        <v>921399</v>
      </c>
    </row>
    <row r="55" spans="1:6" x14ac:dyDescent="0.25">
      <c r="A55" s="1" t="s">
        <v>52</v>
      </c>
      <c r="B55" s="7">
        <v>130895</v>
      </c>
      <c r="C55" s="7">
        <v>105946</v>
      </c>
      <c r="D55" s="7">
        <v>1585</v>
      </c>
      <c r="E55" s="7">
        <v>97625</v>
      </c>
      <c r="F55" s="10">
        <f t="shared" si="0"/>
        <v>336051</v>
      </c>
    </row>
    <row r="56" spans="1:6" x14ac:dyDescent="0.25">
      <c r="A56" s="1" t="s">
        <v>53</v>
      </c>
      <c r="B56" s="7">
        <v>227958</v>
      </c>
      <c r="C56" s="7">
        <v>226864</v>
      </c>
      <c r="D56" s="7">
        <v>3667</v>
      </c>
      <c r="E56" s="7">
        <v>179013</v>
      </c>
      <c r="F56" s="10">
        <f t="shared" si="0"/>
        <v>637502</v>
      </c>
    </row>
    <row r="57" spans="1:6" x14ac:dyDescent="0.25">
      <c r="A57" s="1" t="s">
        <v>54</v>
      </c>
      <c r="B57" s="7">
        <v>142827</v>
      </c>
      <c r="C57" s="7">
        <v>142418</v>
      </c>
      <c r="D57" s="7">
        <v>1617</v>
      </c>
      <c r="E57" s="7">
        <v>108648</v>
      </c>
      <c r="F57" s="10">
        <f t="shared" si="0"/>
        <v>395510</v>
      </c>
    </row>
    <row r="58" spans="1:6" x14ac:dyDescent="0.25">
      <c r="A58" s="1" t="s">
        <v>55</v>
      </c>
      <c r="B58" s="7">
        <v>18028</v>
      </c>
      <c r="C58" s="7">
        <v>19463</v>
      </c>
      <c r="D58" s="7">
        <v>147</v>
      </c>
      <c r="E58" s="7">
        <v>8820</v>
      </c>
      <c r="F58" s="10">
        <f t="shared" si="0"/>
        <v>46458</v>
      </c>
    </row>
    <row r="59" spans="1:6" x14ac:dyDescent="0.25">
      <c r="A59" s="1" t="s">
        <v>56</v>
      </c>
      <c r="B59" s="7">
        <v>73873</v>
      </c>
      <c r="C59" s="7">
        <v>24655</v>
      </c>
      <c r="D59" s="7">
        <v>795</v>
      </c>
      <c r="E59" s="7">
        <v>26170</v>
      </c>
      <c r="F59" s="10">
        <f t="shared" si="0"/>
        <v>125493</v>
      </c>
    </row>
    <row r="60" spans="1:6" x14ac:dyDescent="0.25">
      <c r="A60" s="1" t="s">
        <v>57</v>
      </c>
      <c r="B60" s="7">
        <v>132780</v>
      </c>
      <c r="C60" s="7">
        <v>94458</v>
      </c>
      <c r="D60" s="7">
        <v>1402</v>
      </c>
      <c r="E60" s="7">
        <v>82087</v>
      </c>
      <c r="F60" s="10">
        <f t="shared" si="0"/>
        <v>310727</v>
      </c>
    </row>
    <row r="61" spans="1:6" x14ac:dyDescent="0.25">
      <c r="A61" s="1" t="s">
        <v>58</v>
      </c>
      <c r="B61" s="7">
        <v>108394</v>
      </c>
      <c r="C61" s="7">
        <v>95729</v>
      </c>
      <c r="D61" s="7">
        <v>1396</v>
      </c>
      <c r="E61" s="7">
        <v>79317</v>
      </c>
      <c r="F61" s="10">
        <f t="shared" si="0"/>
        <v>284836</v>
      </c>
    </row>
    <row r="62" spans="1:6" x14ac:dyDescent="0.25">
      <c r="A62" s="1" t="s">
        <v>59</v>
      </c>
      <c r="B62" s="7">
        <v>94011</v>
      </c>
      <c r="C62" s="7">
        <v>41328</v>
      </c>
      <c r="D62" s="7">
        <v>1057</v>
      </c>
      <c r="E62" s="7">
        <v>40541</v>
      </c>
      <c r="F62" s="10">
        <f t="shared" si="0"/>
        <v>176937</v>
      </c>
    </row>
    <row r="63" spans="1:6" x14ac:dyDescent="0.25">
      <c r="A63" s="1" t="s">
        <v>60</v>
      </c>
      <c r="B63" s="7">
        <v>62874</v>
      </c>
      <c r="C63" s="7">
        <v>77701</v>
      </c>
      <c r="D63" s="7">
        <v>597</v>
      </c>
      <c r="E63" s="7">
        <v>53171</v>
      </c>
      <c r="F63" s="10">
        <f t="shared" si="0"/>
        <v>194343</v>
      </c>
    </row>
    <row r="64" spans="1:6" x14ac:dyDescent="0.25">
      <c r="A64" s="1" t="s">
        <v>61</v>
      </c>
      <c r="B64" s="7">
        <v>48864</v>
      </c>
      <c r="C64" s="7">
        <v>22669</v>
      </c>
      <c r="D64" s="7">
        <v>241</v>
      </c>
      <c r="E64" s="7">
        <v>18865</v>
      </c>
      <c r="F64" s="10">
        <f t="shared" si="0"/>
        <v>90639</v>
      </c>
    </row>
    <row r="65" spans="1:6" x14ac:dyDescent="0.25">
      <c r="A65" s="1" t="s">
        <v>62</v>
      </c>
      <c r="B65" s="7">
        <v>11195</v>
      </c>
      <c r="C65" s="7">
        <v>10079</v>
      </c>
      <c r="D65" s="7">
        <v>120</v>
      </c>
      <c r="E65" s="7">
        <v>3768</v>
      </c>
      <c r="F65" s="10">
        <f t="shared" si="0"/>
        <v>25162</v>
      </c>
    </row>
    <row r="66" spans="1:6" x14ac:dyDescent="0.25">
      <c r="A66" s="1" t="s">
        <v>63</v>
      </c>
      <c r="B66" s="7">
        <v>4351</v>
      </c>
      <c r="C66" s="7">
        <v>6653</v>
      </c>
      <c r="D66" s="7">
        <v>69</v>
      </c>
      <c r="E66" s="7">
        <v>1132</v>
      </c>
      <c r="F66" s="10">
        <f t="shared" si="0"/>
        <v>12205</v>
      </c>
    </row>
    <row r="67" spans="1:6" x14ac:dyDescent="0.25">
      <c r="A67" s="1" t="s">
        <v>64</v>
      </c>
      <c r="B67" s="7">
        <v>3050</v>
      </c>
      <c r="C67" s="7">
        <v>3421</v>
      </c>
      <c r="D67" s="7">
        <v>20</v>
      </c>
      <c r="E67" s="7">
        <v>744</v>
      </c>
      <c r="F67" s="10">
        <f t="shared" si="0"/>
        <v>7235</v>
      </c>
    </row>
    <row r="68" spans="1:6" x14ac:dyDescent="0.25">
      <c r="A68" s="1" t="s">
        <v>65</v>
      </c>
      <c r="B68" s="7">
        <v>130542</v>
      </c>
      <c r="C68" s="7">
        <v>128440</v>
      </c>
      <c r="D68" s="7">
        <v>1661</v>
      </c>
      <c r="E68" s="7">
        <v>109032</v>
      </c>
      <c r="F68" s="10">
        <f t="shared" si="0"/>
        <v>369675</v>
      </c>
    </row>
    <row r="69" spans="1:6" x14ac:dyDescent="0.25">
      <c r="A69" s="1" t="s">
        <v>66</v>
      </c>
      <c r="B69" s="7">
        <v>7955</v>
      </c>
      <c r="C69" s="7">
        <v>8533</v>
      </c>
      <c r="D69" s="7">
        <v>72</v>
      </c>
      <c r="E69" s="7">
        <v>3317</v>
      </c>
      <c r="F69" s="10">
        <f t="shared" si="0"/>
        <v>19877</v>
      </c>
    </row>
    <row r="70" spans="1:6" x14ac:dyDescent="0.25">
      <c r="A70" s="1" t="s">
        <v>67</v>
      </c>
      <c r="B70" s="7">
        <v>28170</v>
      </c>
      <c r="C70" s="7">
        <v>9789</v>
      </c>
      <c r="D70" s="7">
        <v>236</v>
      </c>
      <c r="E70" s="7">
        <v>9579</v>
      </c>
      <c r="F70" s="10">
        <f t="shared" si="0"/>
        <v>47774</v>
      </c>
    </row>
    <row r="71" spans="1:6" ht="15.75" thickBot="1" x14ac:dyDescent="0.3">
      <c r="A71" s="1" t="s">
        <v>68</v>
      </c>
      <c r="B71" s="7">
        <v>7842</v>
      </c>
      <c r="C71" s="7">
        <v>5523</v>
      </c>
      <c r="D71" s="7">
        <v>55</v>
      </c>
      <c r="E71" s="7">
        <v>2116</v>
      </c>
      <c r="F71" s="10">
        <f t="shared" ref="F71" si="1">SUM(B71:E71)</f>
        <v>15536</v>
      </c>
    </row>
    <row r="72" spans="1:6" ht="16.5" thickTop="1" thickBot="1" x14ac:dyDescent="0.3">
      <c r="A72" s="3" t="s">
        <v>1</v>
      </c>
      <c r="B72" s="8">
        <f>SUM(B5:B71)</f>
        <v>4547933</v>
      </c>
      <c r="C72" s="8">
        <f>SUM(C5:C71)</f>
        <v>4823263</v>
      </c>
      <c r="D72" s="8">
        <f>SUM(D5:D71)</f>
        <v>53680</v>
      </c>
      <c r="E72" s="8">
        <f>SUM(E5:E71)</f>
        <v>3420210</v>
      </c>
      <c r="F72" s="8">
        <f>SUM(F5:F71)</f>
        <v>12845086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K71" sqref="K7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96</v>
      </c>
      <c r="B1" s="17"/>
      <c r="C1" s="17"/>
      <c r="D1" s="17"/>
      <c r="E1" s="17"/>
      <c r="F1" s="18"/>
    </row>
    <row r="2" spans="1:6" x14ac:dyDescent="0.25">
      <c r="A2" s="13" t="s">
        <v>113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48717</v>
      </c>
      <c r="C5" s="7">
        <v>81782</v>
      </c>
      <c r="D5" s="7">
        <v>1142</v>
      </c>
      <c r="E5" s="7">
        <v>39812</v>
      </c>
      <c r="F5" s="10">
        <f>SUM(B5:E5)</f>
        <v>171453</v>
      </c>
    </row>
    <row r="6" spans="1:6" x14ac:dyDescent="0.25">
      <c r="A6" s="1" t="s">
        <v>3</v>
      </c>
      <c r="B6" s="7">
        <v>7877</v>
      </c>
      <c r="C6" s="7">
        <v>5745</v>
      </c>
      <c r="D6" s="7">
        <v>47</v>
      </c>
      <c r="E6" s="7">
        <v>1590</v>
      </c>
      <c r="F6" s="10">
        <f t="shared" ref="F6:F69" si="0">SUM(B6:E6)</f>
        <v>15259</v>
      </c>
    </row>
    <row r="7" spans="1:6" x14ac:dyDescent="0.25">
      <c r="A7" s="1" t="s">
        <v>4</v>
      </c>
      <c r="B7" s="7">
        <v>60139</v>
      </c>
      <c r="C7" s="7">
        <v>30404</v>
      </c>
      <c r="D7" s="7">
        <v>728</v>
      </c>
      <c r="E7" s="7">
        <v>24392</v>
      </c>
      <c r="F7" s="10">
        <f t="shared" si="0"/>
        <v>115663</v>
      </c>
    </row>
    <row r="8" spans="1:6" x14ac:dyDescent="0.25">
      <c r="A8" s="1" t="s">
        <v>5</v>
      </c>
      <c r="B8" s="7">
        <v>7399</v>
      </c>
      <c r="C8" s="7">
        <v>6182</v>
      </c>
      <c r="D8" s="7">
        <v>64</v>
      </c>
      <c r="E8" s="7">
        <v>2346</v>
      </c>
      <c r="F8" s="10">
        <f t="shared" si="0"/>
        <v>15991</v>
      </c>
    </row>
    <row r="9" spans="1:6" x14ac:dyDescent="0.25">
      <c r="A9" s="1" t="s">
        <v>6</v>
      </c>
      <c r="B9" s="7">
        <v>172403</v>
      </c>
      <c r="C9" s="7">
        <v>127702</v>
      </c>
      <c r="D9" s="7">
        <v>2573</v>
      </c>
      <c r="E9" s="7">
        <v>106623</v>
      </c>
      <c r="F9" s="10">
        <f t="shared" si="0"/>
        <v>409301</v>
      </c>
    </row>
    <row r="10" spans="1:6" x14ac:dyDescent="0.25">
      <c r="A10" s="1" t="s">
        <v>7</v>
      </c>
      <c r="B10" s="7">
        <v>253270</v>
      </c>
      <c r="C10" s="7">
        <v>592271</v>
      </c>
      <c r="D10" s="7">
        <v>3622</v>
      </c>
      <c r="E10" s="7">
        <v>326411</v>
      </c>
      <c r="F10" s="10">
        <f t="shared" si="0"/>
        <v>1175574</v>
      </c>
    </row>
    <row r="11" spans="1:6" x14ac:dyDescent="0.25">
      <c r="A11" s="1" t="s">
        <v>8</v>
      </c>
      <c r="B11" s="7">
        <v>2369</v>
      </c>
      <c r="C11" s="7">
        <v>5286</v>
      </c>
      <c r="D11" s="7">
        <v>21</v>
      </c>
      <c r="E11" s="7">
        <v>932</v>
      </c>
      <c r="F11" s="10">
        <f t="shared" si="0"/>
        <v>8608</v>
      </c>
    </row>
    <row r="12" spans="1:6" x14ac:dyDescent="0.25">
      <c r="A12" s="1" t="s">
        <v>9</v>
      </c>
      <c r="B12" s="7">
        <v>58727</v>
      </c>
      <c r="C12" s="7">
        <v>36823</v>
      </c>
      <c r="D12" s="7">
        <v>578</v>
      </c>
      <c r="E12" s="7">
        <v>36073</v>
      </c>
      <c r="F12" s="10">
        <f t="shared" si="0"/>
        <v>132201</v>
      </c>
    </row>
    <row r="13" spans="1:6" x14ac:dyDescent="0.25">
      <c r="A13" s="1" t="s">
        <v>10</v>
      </c>
      <c r="B13" s="7">
        <v>50282</v>
      </c>
      <c r="C13" s="7">
        <v>29944</v>
      </c>
      <c r="D13" s="7">
        <v>513</v>
      </c>
      <c r="E13" s="7">
        <v>26348</v>
      </c>
      <c r="F13" s="10">
        <f t="shared" si="0"/>
        <v>107087</v>
      </c>
    </row>
    <row r="14" spans="1:6" x14ac:dyDescent="0.25">
      <c r="A14" s="1" t="s">
        <v>11</v>
      </c>
      <c r="B14" s="7">
        <v>80425</v>
      </c>
      <c r="C14" s="7">
        <v>32477</v>
      </c>
      <c r="D14" s="7">
        <v>771</v>
      </c>
      <c r="E14" s="7">
        <v>34821</v>
      </c>
      <c r="F14" s="10">
        <f t="shared" si="0"/>
        <v>148494</v>
      </c>
    </row>
    <row r="15" spans="1:6" x14ac:dyDescent="0.25">
      <c r="A15" s="1" t="s">
        <v>12</v>
      </c>
      <c r="B15" s="7">
        <v>102631</v>
      </c>
      <c r="C15" s="7">
        <v>46814</v>
      </c>
      <c r="D15" s="7">
        <v>678</v>
      </c>
      <c r="E15" s="7">
        <v>49639</v>
      </c>
      <c r="F15" s="10">
        <f t="shared" si="0"/>
        <v>199762</v>
      </c>
    </row>
    <row r="16" spans="1:6" x14ac:dyDescent="0.25">
      <c r="A16" s="1" t="s">
        <v>13</v>
      </c>
      <c r="B16" s="7">
        <v>17184</v>
      </c>
      <c r="C16" s="7">
        <v>14405</v>
      </c>
      <c r="D16" s="7">
        <v>196</v>
      </c>
      <c r="E16" s="7">
        <v>6774</v>
      </c>
      <c r="F16" s="10">
        <f t="shared" si="0"/>
        <v>38559</v>
      </c>
    </row>
    <row r="17" spans="1:6" x14ac:dyDescent="0.25">
      <c r="A17" s="1" t="s">
        <v>14</v>
      </c>
      <c r="B17" s="7">
        <v>5295</v>
      </c>
      <c r="C17" s="7">
        <v>7385</v>
      </c>
      <c r="D17" s="7">
        <v>35</v>
      </c>
      <c r="E17" s="7">
        <v>3571</v>
      </c>
      <c r="F17" s="10">
        <f t="shared" si="0"/>
        <v>16286</v>
      </c>
    </row>
    <row r="18" spans="1:6" x14ac:dyDescent="0.25">
      <c r="A18" s="1" t="s">
        <v>15</v>
      </c>
      <c r="B18" s="7">
        <v>3770</v>
      </c>
      <c r="C18" s="7">
        <v>4621</v>
      </c>
      <c r="D18" s="7">
        <v>26</v>
      </c>
      <c r="E18" s="7">
        <v>1558</v>
      </c>
      <c r="F18" s="10">
        <f t="shared" si="0"/>
        <v>9975</v>
      </c>
    </row>
    <row r="19" spans="1:6" x14ac:dyDescent="0.25">
      <c r="A19" s="1" t="s">
        <v>16</v>
      </c>
      <c r="B19" s="7">
        <v>216941</v>
      </c>
      <c r="C19" s="7">
        <v>235495</v>
      </c>
      <c r="D19" s="7">
        <v>3206</v>
      </c>
      <c r="E19" s="7">
        <v>122994</v>
      </c>
      <c r="F19" s="10">
        <f t="shared" si="0"/>
        <v>578636</v>
      </c>
    </row>
    <row r="20" spans="1:6" x14ac:dyDescent="0.25">
      <c r="A20" s="1" t="s">
        <v>17</v>
      </c>
      <c r="B20" s="7">
        <v>92419</v>
      </c>
      <c r="C20" s="7">
        <v>70247</v>
      </c>
      <c r="D20" s="7">
        <v>1101</v>
      </c>
      <c r="E20" s="7">
        <v>41321</v>
      </c>
      <c r="F20" s="10">
        <f t="shared" si="0"/>
        <v>205088</v>
      </c>
    </row>
    <row r="21" spans="1:6" x14ac:dyDescent="0.25">
      <c r="A21" s="1" t="s">
        <v>18</v>
      </c>
      <c r="B21" s="7">
        <v>31708</v>
      </c>
      <c r="C21" s="7">
        <v>24405</v>
      </c>
      <c r="D21" s="7">
        <v>326</v>
      </c>
      <c r="E21" s="7">
        <v>21727</v>
      </c>
      <c r="F21" s="10">
        <f t="shared" si="0"/>
        <v>78166</v>
      </c>
    </row>
    <row r="22" spans="1:6" x14ac:dyDescent="0.25">
      <c r="A22" s="1" t="s">
        <v>19</v>
      </c>
      <c r="B22" s="7">
        <v>2422</v>
      </c>
      <c r="C22" s="7">
        <v>4139</v>
      </c>
      <c r="D22" s="7">
        <v>64</v>
      </c>
      <c r="E22" s="7">
        <v>957</v>
      </c>
      <c r="F22" s="10">
        <f t="shared" si="0"/>
        <v>7582</v>
      </c>
    </row>
    <row r="23" spans="1:6" x14ac:dyDescent="0.25">
      <c r="A23" s="1" t="s">
        <v>20</v>
      </c>
      <c r="B23" s="7">
        <v>4567</v>
      </c>
      <c r="C23" s="7">
        <v>22276</v>
      </c>
      <c r="D23" s="7">
        <v>57</v>
      </c>
      <c r="E23" s="7">
        <v>2675</v>
      </c>
      <c r="F23" s="10">
        <f t="shared" si="0"/>
        <v>29575</v>
      </c>
    </row>
    <row r="24" spans="1:6" x14ac:dyDescent="0.25">
      <c r="A24" s="1" t="s">
        <v>21</v>
      </c>
      <c r="B24" s="7">
        <v>6166</v>
      </c>
      <c r="C24" s="7">
        <v>3419</v>
      </c>
      <c r="D24" s="7">
        <v>49</v>
      </c>
      <c r="E24" s="7">
        <v>1697</v>
      </c>
      <c r="F24" s="10">
        <f t="shared" si="0"/>
        <v>11331</v>
      </c>
    </row>
    <row r="25" spans="1:6" x14ac:dyDescent="0.25">
      <c r="A25" s="1" t="s">
        <v>22</v>
      </c>
      <c r="B25" s="7">
        <v>2481</v>
      </c>
      <c r="C25" s="7">
        <v>2969</v>
      </c>
      <c r="D25" s="7">
        <v>18</v>
      </c>
      <c r="E25" s="7">
        <v>1187</v>
      </c>
      <c r="F25" s="10">
        <f t="shared" si="0"/>
        <v>6655</v>
      </c>
    </row>
    <row r="26" spans="1:6" x14ac:dyDescent="0.25">
      <c r="A26" s="1" t="s">
        <v>23</v>
      </c>
      <c r="B26" s="7">
        <v>4600</v>
      </c>
      <c r="C26" s="7">
        <v>3984</v>
      </c>
      <c r="D26" s="7">
        <v>46</v>
      </c>
      <c r="E26" s="7">
        <v>1147</v>
      </c>
      <c r="F26" s="10">
        <f t="shared" si="0"/>
        <v>9777</v>
      </c>
    </row>
    <row r="27" spans="1:6" x14ac:dyDescent="0.25">
      <c r="A27" s="1" t="s">
        <v>24</v>
      </c>
      <c r="B27" s="7">
        <v>2276</v>
      </c>
      <c r="C27" s="7">
        <v>4368</v>
      </c>
      <c r="D27" s="7">
        <v>22</v>
      </c>
      <c r="E27" s="7">
        <v>916</v>
      </c>
      <c r="F27" s="10">
        <f t="shared" si="0"/>
        <v>7582</v>
      </c>
    </row>
    <row r="28" spans="1:6" x14ac:dyDescent="0.25">
      <c r="A28" s="1" t="s">
        <v>25</v>
      </c>
      <c r="B28" s="7">
        <v>5100</v>
      </c>
      <c r="C28" s="7">
        <v>4637</v>
      </c>
      <c r="D28" s="7">
        <v>125</v>
      </c>
      <c r="E28" s="7">
        <v>2044</v>
      </c>
      <c r="F28" s="10">
        <f t="shared" si="0"/>
        <v>11906</v>
      </c>
    </row>
    <row r="29" spans="1:6" x14ac:dyDescent="0.25">
      <c r="A29" s="1" t="s">
        <v>26</v>
      </c>
      <c r="B29" s="7">
        <v>6125</v>
      </c>
      <c r="C29" s="7">
        <v>7906</v>
      </c>
      <c r="D29" s="7">
        <v>48</v>
      </c>
      <c r="E29" s="7">
        <v>3187</v>
      </c>
      <c r="F29" s="10">
        <f t="shared" si="0"/>
        <v>17266</v>
      </c>
    </row>
    <row r="30" spans="1:6" x14ac:dyDescent="0.25">
      <c r="A30" s="1" t="s">
        <v>27</v>
      </c>
      <c r="B30" s="7">
        <v>53154</v>
      </c>
      <c r="C30" s="7">
        <v>41873</v>
      </c>
      <c r="D30" s="7">
        <v>659</v>
      </c>
      <c r="E30" s="7">
        <v>34073</v>
      </c>
      <c r="F30" s="10">
        <f t="shared" si="0"/>
        <v>129759</v>
      </c>
    </row>
    <row r="31" spans="1:6" x14ac:dyDescent="0.25">
      <c r="A31" s="1" t="s">
        <v>28</v>
      </c>
      <c r="B31" s="7">
        <v>27050</v>
      </c>
      <c r="C31" s="7">
        <v>18682</v>
      </c>
      <c r="D31" s="7">
        <v>158</v>
      </c>
      <c r="E31" s="7">
        <v>13189</v>
      </c>
      <c r="F31" s="10">
        <f t="shared" si="0"/>
        <v>59079</v>
      </c>
    </row>
    <row r="32" spans="1:6" x14ac:dyDescent="0.25">
      <c r="A32" s="1" t="s">
        <v>29</v>
      </c>
      <c r="B32" s="7">
        <v>262467</v>
      </c>
      <c r="C32" s="7">
        <v>320947</v>
      </c>
      <c r="D32" s="7">
        <v>4187</v>
      </c>
      <c r="E32" s="7">
        <v>234087</v>
      </c>
      <c r="F32" s="10">
        <f t="shared" si="0"/>
        <v>821688</v>
      </c>
    </row>
    <row r="33" spans="1:6" x14ac:dyDescent="0.25">
      <c r="A33" s="1" t="s">
        <v>30</v>
      </c>
      <c r="B33" s="7">
        <v>5877</v>
      </c>
      <c r="C33" s="7">
        <v>3434</v>
      </c>
      <c r="D33" s="7">
        <v>19</v>
      </c>
      <c r="E33" s="7">
        <v>1086</v>
      </c>
      <c r="F33" s="10">
        <f t="shared" si="0"/>
        <v>10416</v>
      </c>
    </row>
    <row r="34" spans="1:6" x14ac:dyDescent="0.25">
      <c r="A34" s="1" t="s">
        <v>31</v>
      </c>
      <c r="B34" s="7">
        <v>50668</v>
      </c>
      <c r="C34" s="7">
        <v>29560</v>
      </c>
      <c r="D34" s="7">
        <v>482</v>
      </c>
      <c r="E34" s="7">
        <v>28675</v>
      </c>
      <c r="F34" s="10">
        <f t="shared" si="0"/>
        <v>109385</v>
      </c>
    </row>
    <row r="35" spans="1:6" x14ac:dyDescent="0.25">
      <c r="A35" s="1" t="s">
        <v>32</v>
      </c>
      <c r="B35" s="7">
        <v>10115</v>
      </c>
      <c r="C35" s="7">
        <v>15347</v>
      </c>
      <c r="D35" s="7">
        <v>62</v>
      </c>
      <c r="E35" s="7">
        <v>3019</v>
      </c>
      <c r="F35" s="10">
        <f t="shared" si="0"/>
        <v>28543</v>
      </c>
    </row>
    <row r="36" spans="1:6" x14ac:dyDescent="0.25">
      <c r="A36" s="1" t="s">
        <v>33</v>
      </c>
      <c r="B36" s="7">
        <v>2802</v>
      </c>
      <c r="C36" s="7">
        <v>5615</v>
      </c>
      <c r="D36" s="7">
        <v>22</v>
      </c>
      <c r="E36" s="7">
        <v>1039</v>
      </c>
      <c r="F36" s="10">
        <f t="shared" si="0"/>
        <v>9478</v>
      </c>
    </row>
    <row r="37" spans="1:6" x14ac:dyDescent="0.25">
      <c r="A37" s="1" t="s">
        <v>34</v>
      </c>
      <c r="B37" s="7">
        <v>1583</v>
      </c>
      <c r="C37" s="7">
        <v>2537</v>
      </c>
      <c r="D37" s="7">
        <v>10</v>
      </c>
      <c r="E37" s="7">
        <v>311</v>
      </c>
      <c r="F37" s="10">
        <f t="shared" si="0"/>
        <v>4441</v>
      </c>
    </row>
    <row r="38" spans="1:6" x14ac:dyDescent="0.25">
      <c r="A38" s="1" t="s">
        <v>35</v>
      </c>
      <c r="B38" s="7">
        <v>97965</v>
      </c>
      <c r="C38" s="7">
        <v>68377</v>
      </c>
      <c r="D38" s="7">
        <v>806</v>
      </c>
      <c r="E38" s="7">
        <v>54554</v>
      </c>
      <c r="F38" s="10">
        <f t="shared" si="0"/>
        <v>221702</v>
      </c>
    </row>
    <row r="39" spans="1:6" x14ac:dyDescent="0.25">
      <c r="A39" s="1" t="s">
        <v>36</v>
      </c>
      <c r="B39" s="7">
        <v>186082</v>
      </c>
      <c r="C39" s="7">
        <v>116237</v>
      </c>
      <c r="D39" s="7">
        <v>1529</v>
      </c>
      <c r="E39" s="7">
        <v>124294</v>
      </c>
      <c r="F39" s="10">
        <f t="shared" si="0"/>
        <v>428142</v>
      </c>
    </row>
    <row r="40" spans="1:6" x14ac:dyDescent="0.25">
      <c r="A40" s="1" t="s">
        <v>37</v>
      </c>
      <c r="B40" s="7">
        <v>57093</v>
      </c>
      <c r="C40" s="7">
        <v>108104</v>
      </c>
      <c r="D40" s="7">
        <v>1013</v>
      </c>
      <c r="E40" s="7">
        <v>39298</v>
      </c>
      <c r="F40" s="10">
        <f t="shared" si="0"/>
        <v>205508</v>
      </c>
    </row>
    <row r="41" spans="1:6" x14ac:dyDescent="0.25">
      <c r="A41" s="1" t="s">
        <v>38</v>
      </c>
      <c r="B41" s="7">
        <v>12460</v>
      </c>
      <c r="C41" s="7">
        <v>9199</v>
      </c>
      <c r="D41" s="7">
        <v>393</v>
      </c>
      <c r="E41" s="7">
        <v>4760</v>
      </c>
      <c r="F41" s="10">
        <f t="shared" si="0"/>
        <v>26812</v>
      </c>
    </row>
    <row r="42" spans="1:6" x14ac:dyDescent="0.25">
      <c r="A42" s="1" t="s">
        <v>39</v>
      </c>
      <c r="B42" s="7">
        <v>752</v>
      </c>
      <c r="C42" s="7">
        <v>3221</v>
      </c>
      <c r="D42" s="7">
        <v>9</v>
      </c>
      <c r="E42" s="7">
        <v>342</v>
      </c>
      <c r="F42" s="10">
        <f t="shared" si="0"/>
        <v>4324</v>
      </c>
    </row>
    <row r="43" spans="1:6" x14ac:dyDescent="0.25">
      <c r="A43" s="1" t="s">
        <v>40</v>
      </c>
      <c r="B43" s="7">
        <v>3335</v>
      </c>
      <c r="C43" s="7">
        <v>7105</v>
      </c>
      <c r="D43" s="7">
        <v>30</v>
      </c>
      <c r="E43" s="7">
        <v>1267</v>
      </c>
      <c r="F43" s="10">
        <f t="shared" si="0"/>
        <v>11737</v>
      </c>
    </row>
    <row r="44" spans="1:6" x14ac:dyDescent="0.25">
      <c r="A44" s="1" t="s">
        <v>41</v>
      </c>
      <c r="B44" s="7">
        <v>100533</v>
      </c>
      <c r="C44" s="7">
        <v>70608</v>
      </c>
      <c r="D44" s="7">
        <v>957</v>
      </c>
      <c r="E44" s="7">
        <v>59031</v>
      </c>
      <c r="F44" s="10">
        <f t="shared" si="0"/>
        <v>231129</v>
      </c>
    </row>
    <row r="45" spans="1:6" x14ac:dyDescent="0.25">
      <c r="A45" s="1" t="s">
        <v>42</v>
      </c>
      <c r="B45" s="7">
        <v>102345</v>
      </c>
      <c r="C45" s="7">
        <v>76821</v>
      </c>
      <c r="D45" s="7">
        <v>989</v>
      </c>
      <c r="E45" s="7">
        <v>50702</v>
      </c>
      <c r="F45" s="10">
        <f t="shared" si="0"/>
        <v>230857</v>
      </c>
    </row>
    <row r="46" spans="1:6" x14ac:dyDescent="0.25">
      <c r="A46" s="1" t="s">
        <v>43</v>
      </c>
      <c r="B46" s="7">
        <v>55332</v>
      </c>
      <c r="C46" s="7">
        <v>27817</v>
      </c>
      <c r="D46" s="7">
        <v>477</v>
      </c>
      <c r="E46" s="7">
        <v>27037</v>
      </c>
      <c r="F46" s="10">
        <f t="shared" si="0"/>
        <v>110663</v>
      </c>
    </row>
    <row r="47" spans="1:6" x14ac:dyDescent="0.25">
      <c r="A47" s="1" t="s">
        <v>44</v>
      </c>
      <c r="B47" s="7">
        <v>368758</v>
      </c>
      <c r="C47" s="7">
        <v>580928</v>
      </c>
      <c r="D47" s="7">
        <v>3542</v>
      </c>
      <c r="E47" s="7">
        <v>424573</v>
      </c>
      <c r="F47" s="10">
        <f t="shared" si="0"/>
        <v>1377801</v>
      </c>
    </row>
    <row r="48" spans="1:6" x14ac:dyDescent="0.25">
      <c r="A48" s="1" t="s">
        <v>45</v>
      </c>
      <c r="B48" s="7">
        <v>21536</v>
      </c>
      <c r="C48" s="7">
        <v>17835</v>
      </c>
      <c r="D48" s="7">
        <v>398</v>
      </c>
      <c r="E48" s="7">
        <v>15721</v>
      </c>
      <c r="F48" s="10">
        <f t="shared" si="0"/>
        <v>55490</v>
      </c>
    </row>
    <row r="49" spans="1:6" x14ac:dyDescent="0.25">
      <c r="A49" s="1" t="s">
        <v>46</v>
      </c>
      <c r="B49" s="7">
        <v>36675</v>
      </c>
      <c r="C49" s="7">
        <v>14135</v>
      </c>
      <c r="D49" s="7">
        <v>354</v>
      </c>
      <c r="E49" s="7">
        <v>12666</v>
      </c>
      <c r="F49" s="10">
        <f t="shared" si="0"/>
        <v>63830</v>
      </c>
    </row>
    <row r="50" spans="1:6" x14ac:dyDescent="0.25">
      <c r="A50" s="1" t="s">
        <v>47</v>
      </c>
      <c r="B50" s="7">
        <v>74808</v>
      </c>
      <c r="C50" s="7">
        <v>24169</v>
      </c>
      <c r="D50" s="7">
        <v>874</v>
      </c>
      <c r="E50" s="7">
        <v>27978</v>
      </c>
      <c r="F50" s="10">
        <f t="shared" si="0"/>
        <v>127829</v>
      </c>
    </row>
    <row r="51" spans="1:6" x14ac:dyDescent="0.25">
      <c r="A51" s="1" t="s">
        <v>48</v>
      </c>
      <c r="B51" s="7">
        <v>8507</v>
      </c>
      <c r="C51" s="7">
        <v>7351</v>
      </c>
      <c r="D51" s="7">
        <v>77</v>
      </c>
      <c r="E51" s="7">
        <v>3826</v>
      </c>
      <c r="F51" s="10">
        <f t="shared" si="0"/>
        <v>19761</v>
      </c>
    </row>
    <row r="52" spans="1:6" x14ac:dyDescent="0.25">
      <c r="A52" s="1" t="s">
        <v>49</v>
      </c>
      <c r="B52" s="7">
        <v>216084</v>
      </c>
      <c r="C52" s="7">
        <v>337086</v>
      </c>
      <c r="D52" s="7">
        <v>3633</v>
      </c>
      <c r="E52" s="7">
        <v>240315</v>
      </c>
      <c r="F52" s="10">
        <f t="shared" si="0"/>
        <v>797118</v>
      </c>
    </row>
    <row r="53" spans="1:6" x14ac:dyDescent="0.25">
      <c r="A53" s="1" t="s">
        <v>50</v>
      </c>
      <c r="B53" s="7">
        <v>46825</v>
      </c>
      <c r="C53" s="7">
        <v>86113</v>
      </c>
      <c r="D53" s="7">
        <v>591</v>
      </c>
      <c r="E53" s="7">
        <v>65525</v>
      </c>
      <c r="F53" s="10">
        <f t="shared" si="0"/>
        <v>199054</v>
      </c>
    </row>
    <row r="54" spans="1:6" x14ac:dyDescent="0.25">
      <c r="A54" s="1" t="s">
        <v>51</v>
      </c>
      <c r="B54" s="7">
        <v>259181</v>
      </c>
      <c r="C54" s="7">
        <v>386277</v>
      </c>
      <c r="D54" s="7">
        <v>4034</v>
      </c>
      <c r="E54" s="7">
        <v>264829</v>
      </c>
      <c r="F54" s="10">
        <f t="shared" si="0"/>
        <v>914321</v>
      </c>
    </row>
    <row r="55" spans="1:6" x14ac:dyDescent="0.25">
      <c r="A55" s="1" t="s">
        <v>52</v>
      </c>
      <c r="B55" s="7">
        <v>130908</v>
      </c>
      <c r="C55" s="7">
        <v>105894</v>
      </c>
      <c r="D55" s="7">
        <v>1696</v>
      </c>
      <c r="E55" s="7">
        <v>97844</v>
      </c>
      <c r="F55" s="10">
        <f t="shared" si="0"/>
        <v>336342</v>
      </c>
    </row>
    <row r="56" spans="1:6" x14ac:dyDescent="0.25">
      <c r="A56" s="1" t="s">
        <v>53</v>
      </c>
      <c r="B56" s="7">
        <v>227817</v>
      </c>
      <c r="C56" s="7">
        <v>226602</v>
      </c>
      <c r="D56" s="7">
        <v>3832</v>
      </c>
      <c r="E56" s="7">
        <v>179452</v>
      </c>
      <c r="F56" s="10">
        <f t="shared" si="0"/>
        <v>637703</v>
      </c>
    </row>
    <row r="57" spans="1:6" x14ac:dyDescent="0.25">
      <c r="A57" s="1" t="s">
        <v>54</v>
      </c>
      <c r="B57" s="7">
        <v>143300</v>
      </c>
      <c r="C57" s="7">
        <v>142750</v>
      </c>
      <c r="D57" s="7">
        <v>1728</v>
      </c>
      <c r="E57" s="7">
        <v>109487</v>
      </c>
      <c r="F57" s="10">
        <f t="shared" si="0"/>
        <v>397265</v>
      </c>
    </row>
    <row r="58" spans="1:6" x14ac:dyDescent="0.25">
      <c r="A58" s="1" t="s">
        <v>55</v>
      </c>
      <c r="B58" s="7">
        <v>17903</v>
      </c>
      <c r="C58" s="7">
        <v>19199</v>
      </c>
      <c r="D58" s="7">
        <v>152</v>
      </c>
      <c r="E58" s="7">
        <v>8668</v>
      </c>
      <c r="F58" s="10">
        <f t="shared" si="0"/>
        <v>45922</v>
      </c>
    </row>
    <row r="59" spans="1:6" x14ac:dyDescent="0.25">
      <c r="A59" s="1" t="s">
        <v>56</v>
      </c>
      <c r="B59" s="7">
        <v>74276</v>
      </c>
      <c r="C59" s="7">
        <v>24767</v>
      </c>
      <c r="D59" s="7">
        <v>833</v>
      </c>
      <c r="E59" s="7">
        <v>26439</v>
      </c>
      <c r="F59" s="10">
        <f t="shared" si="0"/>
        <v>126315</v>
      </c>
    </row>
    <row r="60" spans="1:6" x14ac:dyDescent="0.25">
      <c r="A60" s="1" t="s">
        <v>57</v>
      </c>
      <c r="B60" s="7">
        <v>132504</v>
      </c>
      <c r="C60" s="7">
        <v>94304</v>
      </c>
      <c r="D60" s="7">
        <v>1495</v>
      </c>
      <c r="E60" s="7">
        <v>82017</v>
      </c>
      <c r="F60" s="10">
        <f t="shared" si="0"/>
        <v>310320</v>
      </c>
    </row>
    <row r="61" spans="1:6" x14ac:dyDescent="0.25">
      <c r="A61" s="1" t="s">
        <v>58</v>
      </c>
      <c r="B61" s="7">
        <v>108344</v>
      </c>
      <c r="C61" s="7">
        <v>95877</v>
      </c>
      <c r="D61" s="7">
        <v>1466</v>
      </c>
      <c r="E61" s="7">
        <v>79637</v>
      </c>
      <c r="F61" s="10">
        <f t="shared" si="0"/>
        <v>285324</v>
      </c>
    </row>
    <row r="62" spans="1:6" x14ac:dyDescent="0.25">
      <c r="A62" s="1" t="s">
        <v>59</v>
      </c>
      <c r="B62" s="7">
        <v>93602</v>
      </c>
      <c r="C62" s="7">
        <v>41189</v>
      </c>
      <c r="D62" s="7">
        <v>1119</v>
      </c>
      <c r="E62" s="7">
        <v>40483</v>
      </c>
      <c r="F62" s="10">
        <f t="shared" si="0"/>
        <v>176393</v>
      </c>
    </row>
    <row r="63" spans="1:6" x14ac:dyDescent="0.25">
      <c r="A63" s="1" t="s">
        <v>60</v>
      </c>
      <c r="B63" s="7">
        <v>63170</v>
      </c>
      <c r="C63" s="7">
        <v>78120</v>
      </c>
      <c r="D63" s="7">
        <v>655</v>
      </c>
      <c r="E63" s="7">
        <v>53760</v>
      </c>
      <c r="F63" s="10">
        <f t="shared" si="0"/>
        <v>195705</v>
      </c>
    </row>
    <row r="64" spans="1:6" x14ac:dyDescent="0.25">
      <c r="A64" s="1" t="s">
        <v>61</v>
      </c>
      <c r="B64" s="7">
        <v>49008</v>
      </c>
      <c r="C64" s="7">
        <v>22730</v>
      </c>
      <c r="D64" s="7">
        <v>253</v>
      </c>
      <c r="E64" s="7">
        <v>18922</v>
      </c>
      <c r="F64" s="10">
        <f t="shared" si="0"/>
        <v>90913</v>
      </c>
    </row>
    <row r="65" spans="1:6" x14ac:dyDescent="0.25">
      <c r="A65" s="1" t="s">
        <v>62</v>
      </c>
      <c r="B65" s="7">
        <v>11212</v>
      </c>
      <c r="C65" s="7">
        <v>10059</v>
      </c>
      <c r="D65" s="7">
        <v>123</v>
      </c>
      <c r="E65" s="7">
        <v>3788</v>
      </c>
      <c r="F65" s="10">
        <f t="shared" si="0"/>
        <v>25182</v>
      </c>
    </row>
    <row r="66" spans="1:6" x14ac:dyDescent="0.25">
      <c r="A66" s="1" t="s">
        <v>63</v>
      </c>
      <c r="B66" s="7">
        <v>4369</v>
      </c>
      <c r="C66" s="7">
        <v>6642</v>
      </c>
      <c r="D66" s="7">
        <v>69</v>
      </c>
      <c r="E66" s="7">
        <v>1141</v>
      </c>
      <c r="F66" s="10">
        <f t="shared" si="0"/>
        <v>12221</v>
      </c>
    </row>
    <row r="67" spans="1:6" x14ac:dyDescent="0.25">
      <c r="A67" s="1" t="s">
        <v>64</v>
      </c>
      <c r="B67" s="7">
        <v>3053</v>
      </c>
      <c r="C67" s="7">
        <v>3410</v>
      </c>
      <c r="D67" s="7">
        <v>20</v>
      </c>
      <c r="E67" s="7">
        <v>750</v>
      </c>
      <c r="F67" s="10">
        <f t="shared" si="0"/>
        <v>7233</v>
      </c>
    </row>
    <row r="68" spans="1:6" x14ac:dyDescent="0.25">
      <c r="A68" s="1" t="s">
        <v>65</v>
      </c>
      <c r="B68" s="7">
        <v>129314</v>
      </c>
      <c r="C68" s="7">
        <v>125737</v>
      </c>
      <c r="D68" s="7">
        <v>1737</v>
      </c>
      <c r="E68" s="7">
        <v>106867</v>
      </c>
      <c r="F68" s="10">
        <f t="shared" si="0"/>
        <v>363655</v>
      </c>
    </row>
    <row r="69" spans="1:6" x14ac:dyDescent="0.25">
      <c r="A69" s="1" t="s">
        <v>66</v>
      </c>
      <c r="B69" s="7">
        <v>7979</v>
      </c>
      <c r="C69" s="7">
        <v>8508</v>
      </c>
      <c r="D69" s="7">
        <v>77</v>
      </c>
      <c r="E69" s="7">
        <v>3333</v>
      </c>
      <c r="F69" s="10">
        <f t="shared" si="0"/>
        <v>19897</v>
      </c>
    </row>
    <row r="70" spans="1:6" x14ac:dyDescent="0.25">
      <c r="A70" s="1" t="s">
        <v>67</v>
      </c>
      <c r="B70" s="7">
        <v>28124</v>
      </c>
      <c r="C70" s="7">
        <v>9716</v>
      </c>
      <c r="D70" s="7">
        <v>254</v>
      </c>
      <c r="E70" s="7">
        <v>9537</v>
      </c>
      <c r="F70" s="10">
        <f t="shared" ref="F70:F71" si="1">SUM(B70:E70)</f>
        <v>47631</v>
      </c>
    </row>
    <row r="71" spans="1:6" ht="15.75" thickBot="1" x14ac:dyDescent="0.3">
      <c r="A71" s="1" t="s">
        <v>68</v>
      </c>
      <c r="B71" s="7">
        <v>7871</v>
      </c>
      <c r="C71" s="7">
        <v>5503</v>
      </c>
      <c r="D71" s="7">
        <v>56</v>
      </c>
      <c r="E71" s="7">
        <v>2129</v>
      </c>
      <c r="F71" s="10">
        <f t="shared" si="1"/>
        <v>15559</v>
      </c>
    </row>
    <row r="72" spans="1:6" ht="16.5" thickTop="1" thickBot="1" x14ac:dyDescent="0.3">
      <c r="A72" s="3" t="s">
        <v>1</v>
      </c>
      <c r="B72" s="8">
        <f>SUM(B5:B71)</f>
        <v>4540034</v>
      </c>
      <c r="C72" s="8">
        <f>SUM(C5:C71)</f>
        <v>4806071</v>
      </c>
      <c r="D72" s="8">
        <f>SUM(D5:D71)</f>
        <v>56926</v>
      </c>
      <c r="E72" s="8">
        <f>SUM(E5:E71)</f>
        <v>3417193</v>
      </c>
      <c r="F72" s="8">
        <f>SUM(F5:F71)</f>
        <v>12820224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D77" sqref="D77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97</v>
      </c>
      <c r="B1" s="17"/>
      <c r="C1" s="17"/>
      <c r="D1" s="17"/>
      <c r="E1" s="17"/>
      <c r="F1" s="18"/>
    </row>
    <row r="2" spans="1:6" x14ac:dyDescent="0.25">
      <c r="A2" s="13" t="s">
        <v>115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48809</v>
      </c>
      <c r="C5" s="7">
        <v>81997</v>
      </c>
      <c r="D5" s="7">
        <v>1156</v>
      </c>
      <c r="E5" s="7">
        <v>40036</v>
      </c>
      <c r="F5" s="10">
        <f>SUM(B5:E5)</f>
        <v>171998</v>
      </c>
    </row>
    <row r="6" spans="1:6" x14ac:dyDescent="0.25">
      <c r="A6" s="1" t="s">
        <v>3</v>
      </c>
      <c r="B6" s="7">
        <v>7882</v>
      </c>
      <c r="C6" s="7">
        <v>5748</v>
      </c>
      <c r="D6" s="7">
        <v>49</v>
      </c>
      <c r="E6" s="7">
        <v>1597</v>
      </c>
      <c r="F6" s="10">
        <f t="shared" ref="F6:F69" si="0">SUM(B6:E6)</f>
        <v>15276</v>
      </c>
    </row>
    <row r="7" spans="1:6" x14ac:dyDescent="0.25">
      <c r="A7" s="1" t="s">
        <v>4</v>
      </c>
      <c r="B7" s="7">
        <v>60292</v>
      </c>
      <c r="C7" s="7">
        <v>30445</v>
      </c>
      <c r="D7" s="7">
        <v>746</v>
      </c>
      <c r="E7" s="7">
        <v>24496</v>
      </c>
      <c r="F7" s="10">
        <f t="shared" si="0"/>
        <v>115979</v>
      </c>
    </row>
    <row r="8" spans="1:6" x14ac:dyDescent="0.25">
      <c r="A8" s="1" t="s">
        <v>5</v>
      </c>
      <c r="B8" s="7">
        <v>7413</v>
      </c>
      <c r="C8" s="7">
        <v>6184</v>
      </c>
      <c r="D8" s="7">
        <v>65</v>
      </c>
      <c r="E8" s="7">
        <v>2359</v>
      </c>
      <c r="F8" s="10">
        <f t="shared" si="0"/>
        <v>16021</v>
      </c>
    </row>
    <row r="9" spans="1:6" x14ac:dyDescent="0.25">
      <c r="A9" s="1" t="s">
        <v>6</v>
      </c>
      <c r="B9" s="7">
        <v>172599</v>
      </c>
      <c r="C9" s="7">
        <v>127764</v>
      </c>
      <c r="D9" s="7">
        <v>2694</v>
      </c>
      <c r="E9" s="7">
        <v>107018</v>
      </c>
      <c r="F9" s="10">
        <f t="shared" si="0"/>
        <v>410075</v>
      </c>
    </row>
    <row r="10" spans="1:6" x14ac:dyDescent="0.25">
      <c r="A10" s="1" t="s">
        <v>7</v>
      </c>
      <c r="B10" s="7">
        <v>253430</v>
      </c>
      <c r="C10" s="7">
        <v>592932</v>
      </c>
      <c r="D10" s="7">
        <v>3873</v>
      </c>
      <c r="E10" s="7">
        <v>327793</v>
      </c>
      <c r="F10" s="10">
        <f t="shared" si="0"/>
        <v>1178028</v>
      </c>
    </row>
    <row r="11" spans="1:6" x14ac:dyDescent="0.25">
      <c r="A11" s="1" t="s">
        <v>8</v>
      </c>
      <c r="B11" s="7">
        <v>2379</v>
      </c>
      <c r="C11" s="7">
        <v>5285</v>
      </c>
      <c r="D11" s="7">
        <v>22</v>
      </c>
      <c r="E11" s="7">
        <v>941</v>
      </c>
      <c r="F11" s="10">
        <f t="shared" si="0"/>
        <v>8627</v>
      </c>
    </row>
    <row r="12" spans="1:6" x14ac:dyDescent="0.25">
      <c r="A12" s="1" t="s">
        <v>9</v>
      </c>
      <c r="B12" s="7">
        <v>59002</v>
      </c>
      <c r="C12" s="7">
        <v>36958</v>
      </c>
      <c r="D12" s="7">
        <v>624</v>
      </c>
      <c r="E12" s="7">
        <v>36291</v>
      </c>
      <c r="F12" s="10">
        <f t="shared" si="0"/>
        <v>132875</v>
      </c>
    </row>
    <row r="13" spans="1:6" x14ac:dyDescent="0.25">
      <c r="A13" s="1" t="s">
        <v>10</v>
      </c>
      <c r="B13" s="7">
        <v>50458</v>
      </c>
      <c r="C13" s="7">
        <v>29974</v>
      </c>
      <c r="D13" s="7">
        <v>537</v>
      </c>
      <c r="E13" s="7">
        <v>26479</v>
      </c>
      <c r="F13" s="10">
        <f t="shared" si="0"/>
        <v>107448</v>
      </c>
    </row>
    <row r="14" spans="1:6" x14ac:dyDescent="0.25">
      <c r="A14" s="1" t="s">
        <v>11</v>
      </c>
      <c r="B14" s="7">
        <v>80534</v>
      </c>
      <c r="C14" s="7">
        <v>32571</v>
      </c>
      <c r="D14" s="7">
        <v>805</v>
      </c>
      <c r="E14" s="7">
        <v>35016</v>
      </c>
      <c r="F14" s="10">
        <f t="shared" si="0"/>
        <v>148926</v>
      </c>
    </row>
    <row r="15" spans="1:6" x14ac:dyDescent="0.25">
      <c r="A15" s="1" t="s">
        <v>12</v>
      </c>
      <c r="B15" s="7">
        <v>102859</v>
      </c>
      <c r="C15" s="7">
        <v>46932</v>
      </c>
      <c r="D15" s="7">
        <v>723</v>
      </c>
      <c r="E15" s="7">
        <v>49929</v>
      </c>
      <c r="F15" s="10">
        <f t="shared" si="0"/>
        <v>200443</v>
      </c>
    </row>
    <row r="16" spans="1:6" x14ac:dyDescent="0.25">
      <c r="A16" s="1" t="s">
        <v>13</v>
      </c>
      <c r="B16" s="7">
        <v>17238</v>
      </c>
      <c r="C16" s="7">
        <v>14406</v>
      </c>
      <c r="D16" s="7">
        <v>203</v>
      </c>
      <c r="E16" s="7">
        <v>6817</v>
      </c>
      <c r="F16" s="10">
        <f t="shared" si="0"/>
        <v>38664</v>
      </c>
    </row>
    <row r="17" spans="1:6" x14ac:dyDescent="0.25">
      <c r="A17" s="1" t="s">
        <v>14</v>
      </c>
      <c r="B17" s="7">
        <v>5306</v>
      </c>
      <c r="C17" s="7">
        <v>7382</v>
      </c>
      <c r="D17" s="7">
        <v>36</v>
      </c>
      <c r="E17" s="7">
        <v>3581</v>
      </c>
      <c r="F17" s="10">
        <f t="shared" si="0"/>
        <v>16305</v>
      </c>
    </row>
    <row r="18" spans="1:6" x14ac:dyDescent="0.25">
      <c r="A18" s="1" t="s">
        <v>15</v>
      </c>
      <c r="B18" s="7">
        <v>3777</v>
      </c>
      <c r="C18" s="7">
        <v>4604</v>
      </c>
      <c r="D18" s="7">
        <v>26</v>
      </c>
      <c r="E18" s="7">
        <v>1543</v>
      </c>
      <c r="F18" s="10">
        <f t="shared" si="0"/>
        <v>9950</v>
      </c>
    </row>
    <row r="19" spans="1:6" x14ac:dyDescent="0.25">
      <c r="A19" s="1" t="s">
        <v>16</v>
      </c>
      <c r="B19" s="7">
        <v>216964</v>
      </c>
      <c r="C19" s="7">
        <v>235825</v>
      </c>
      <c r="D19" s="7">
        <v>3340</v>
      </c>
      <c r="E19" s="7">
        <v>123555</v>
      </c>
      <c r="F19" s="10">
        <f t="shared" si="0"/>
        <v>579684</v>
      </c>
    </row>
    <row r="20" spans="1:6" x14ac:dyDescent="0.25">
      <c r="A20" s="1" t="s">
        <v>17</v>
      </c>
      <c r="B20" s="7">
        <v>92562</v>
      </c>
      <c r="C20" s="7">
        <v>70319</v>
      </c>
      <c r="D20" s="7">
        <v>1151</v>
      </c>
      <c r="E20" s="7">
        <v>41457</v>
      </c>
      <c r="F20" s="10">
        <f t="shared" si="0"/>
        <v>205489</v>
      </c>
    </row>
    <row r="21" spans="1:6" x14ac:dyDescent="0.25">
      <c r="A21" s="1" t="s">
        <v>18</v>
      </c>
      <c r="B21" s="7">
        <v>31827</v>
      </c>
      <c r="C21" s="7">
        <v>24458</v>
      </c>
      <c r="D21" s="7">
        <v>335</v>
      </c>
      <c r="E21" s="7">
        <v>21809</v>
      </c>
      <c r="F21" s="10">
        <f t="shared" si="0"/>
        <v>78429</v>
      </c>
    </row>
    <row r="22" spans="1:6" x14ac:dyDescent="0.25">
      <c r="A22" s="1" t="s">
        <v>19</v>
      </c>
      <c r="B22" s="7">
        <v>2430</v>
      </c>
      <c r="C22" s="7">
        <v>4132</v>
      </c>
      <c r="D22" s="7">
        <v>68</v>
      </c>
      <c r="E22" s="7">
        <v>964</v>
      </c>
      <c r="F22" s="10">
        <f t="shared" si="0"/>
        <v>7594</v>
      </c>
    </row>
    <row r="23" spans="1:6" x14ac:dyDescent="0.25">
      <c r="A23" s="1" t="s">
        <v>20</v>
      </c>
      <c r="B23" s="7">
        <v>4582</v>
      </c>
      <c r="C23" s="7">
        <v>22277</v>
      </c>
      <c r="D23" s="7">
        <v>58</v>
      </c>
      <c r="E23" s="7">
        <v>2669</v>
      </c>
      <c r="F23" s="10">
        <f t="shared" si="0"/>
        <v>29586</v>
      </c>
    </row>
    <row r="24" spans="1:6" x14ac:dyDescent="0.25">
      <c r="A24" s="1" t="s">
        <v>21</v>
      </c>
      <c r="B24" s="7">
        <v>6179</v>
      </c>
      <c r="C24" s="7">
        <v>3413</v>
      </c>
      <c r="D24" s="7">
        <v>52</v>
      </c>
      <c r="E24" s="7">
        <v>1698</v>
      </c>
      <c r="F24" s="10">
        <f t="shared" si="0"/>
        <v>11342</v>
      </c>
    </row>
    <row r="25" spans="1:6" x14ac:dyDescent="0.25">
      <c r="A25" s="1" t="s">
        <v>22</v>
      </c>
      <c r="B25" s="7">
        <v>2486</v>
      </c>
      <c r="C25" s="7">
        <v>2956</v>
      </c>
      <c r="D25" s="7">
        <v>18</v>
      </c>
      <c r="E25" s="7">
        <v>1197</v>
      </c>
      <c r="F25" s="10">
        <f t="shared" si="0"/>
        <v>6657</v>
      </c>
    </row>
    <row r="26" spans="1:6" x14ac:dyDescent="0.25">
      <c r="A26" s="1" t="s">
        <v>23</v>
      </c>
      <c r="B26" s="7">
        <v>4615</v>
      </c>
      <c r="C26" s="7">
        <v>3997</v>
      </c>
      <c r="D26" s="7">
        <v>51</v>
      </c>
      <c r="E26" s="7">
        <v>1150</v>
      </c>
      <c r="F26" s="10">
        <f t="shared" si="0"/>
        <v>9813</v>
      </c>
    </row>
    <row r="27" spans="1:6" x14ac:dyDescent="0.25">
      <c r="A27" s="1" t="s">
        <v>24</v>
      </c>
      <c r="B27" s="7">
        <v>2277</v>
      </c>
      <c r="C27" s="7">
        <v>4362</v>
      </c>
      <c r="D27" s="7">
        <v>22</v>
      </c>
      <c r="E27" s="7">
        <v>917</v>
      </c>
      <c r="F27" s="10">
        <f t="shared" si="0"/>
        <v>7578</v>
      </c>
    </row>
    <row r="28" spans="1:6" x14ac:dyDescent="0.25">
      <c r="A28" s="1" t="s">
        <v>25</v>
      </c>
      <c r="B28" s="7">
        <v>5104</v>
      </c>
      <c r="C28" s="7">
        <v>4630</v>
      </c>
      <c r="D28" s="7">
        <v>125</v>
      </c>
      <c r="E28" s="7">
        <v>2051</v>
      </c>
      <c r="F28" s="10">
        <f t="shared" si="0"/>
        <v>11910</v>
      </c>
    </row>
    <row r="29" spans="1:6" x14ac:dyDescent="0.25">
      <c r="A29" s="1" t="s">
        <v>26</v>
      </c>
      <c r="B29" s="7">
        <v>6134</v>
      </c>
      <c r="C29" s="7">
        <v>7908</v>
      </c>
      <c r="D29" s="7">
        <v>53</v>
      </c>
      <c r="E29" s="7">
        <v>3198</v>
      </c>
      <c r="F29" s="10">
        <f t="shared" si="0"/>
        <v>17293</v>
      </c>
    </row>
    <row r="30" spans="1:6" x14ac:dyDescent="0.25">
      <c r="A30" s="1" t="s">
        <v>27</v>
      </c>
      <c r="B30" s="7">
        <v>53328</v>
      </c>
      <c r="C30" s="7">
        <v>41980</v>
      </c>
      <c r="D30" s="7">
        <v>697</v>
      </c>
      <c r="E30" s="7">
        <v>34236</v>
      </c>
      <c r="F30" s="10">
        <f t="shared" si="0"/>
        <v>130241</v>
      </c>
    </row>
    <row r="31" spans="1:6" x14ac:dyDescent="0.25">
      <c r="A31" s="1" t="s">
        <v>28</v>
      </c>
      <c r="B31" s="7">
        <v>27134</v>
      </c>
      <c r="C31" s="7">
        <v>18675</v>
      </c>
      <c r="D31" s="7">
        <v>166</v>
      </c>
      <c r="E31" s="7">
        <v>13320</v>
      </c>
      <c r="F31" s="10">
        <f t="shared" si="0"/>
        <v>59295</v>
      </c>
    </row>
    <row r="32" spans="1:6" x14ac:dyDescent="0.25">
      <c r="A32" s="1" t="s">
        <v>29</v>
      </c>
      <c r="B32" s="7">
        <v>263041</v>
      </c>
      <c r="C32" s="7">
        <v>321984</v>
      </c>
      <c r="D32" s="7">
        <v>4393</v>
      </c>
      <c r="E32" s="7">
        <v>235701</v>
      </c>
      <c r="F32" s="10">
        <f t="shared" si="0"/>
        <v>825119</v>
      </c>
    </row>
    <row r="33" spans="1:6" x14ac:dyDescent="0.25">
      <c r="A33" s="1" t="s">
        <v>30</v>
      </c>
      <c r="B33" s="7">
        <v>5894</v>
      </c>
      <c r="C33" s="7">
        <v>3430</v>
      </c>
      <c r="D33" s="7">
        <v>19</v>
      </c>
      <c r="E33" s="7">
        <v>1099</v>
      </c>
      <c r="F33" s="10">
        <f t="shared" si="0"/>
        <v>10442</v>
      </c>
    </row>
    <row r="34" spans="1:6" x14ac:dyDescent="0.25">
      <c r="A34" s="1" t="s">
        <v>31</v>
      </c>
      <c r="B34" s="7">
        <v>50692</v>
      </c>
      <c r="C34" s="7">
        <v>29550</v>
      </c>
      <c r="D34" s="7">
        <v>511</v>
      </c>
      <c r="E34" s="7">
        <v>28702</v>
      </c>
      <c r="F34" s="10">
        <f t="shared" si="0"/>
        <v>109455</v>
      </c>
    </row>
    <row r="35" spans="1:6" x14ac:dyDescent="0.25">
      <c r="A35" s="1" t="s">
        <v>32</v>
      </c>
      <c r="B35" s="7">
        <v>10126</v>
      </c>
      <c r="C35" s="7">
        <v>15309</v>
      </c>
      <c r="D35" s="7">
        <v>63</v>
      </c>
      <c r="E35" s="7">
        <v>3037</v>
      </c>
      <c r="F35" s="10">
        <f t="shared" si="0"/>
        <v>28535</v>
      </c>
    </row>
    <row r="36" spans="1:6" x14ac:dyDescent="0.25">
      <c r="A36" s="1" t="s">
        <v>33</v>
      </c>
      <c r="B36" s="7">
        <v>2807</v>
      </c>
      <c r="C36" s="7">
        <v>5615</v>
      </c>
      <c r="D36" s="7">
        <v>23</v>
      </c>
      <c r="E36" s="7">
        <v>1053</v>
      </c>
      <c r="F36" s="10">
        <f t="shared" si="0"/>
        <v>9498</v>
      </c>
    </row>
    <row r="37" spans="1:6" x14ac:dyDescent="0.25">
      <c r="A37" s="1" t="s">
        <v>34</v>
      </c>
      <c r="B37" s="7">
        <v>1536</v>
      </c>
      <c r="C37" s="7">
        <v>2459</v>
      </c>
      <c r="D37" s="7">
        <v>10</v>
      </c>
      <c r="E37" s="7">
        <v>292</v>
      </c>
      <c r="F37" s="10">
        <f t="shared" si="0"/>
        <v>4297</v>
      </c>
    </row>
    <row r="38" spans="1:6" x14ac:dyDescent="0.25">
      <c r="A38" s="1" t="s">
        <v>35</v>
      </c>
      <c r="B38" s="7">
        <v>98218</v>
      </c>
      <c r="C38" s="7">
        <v>68515</v>
      </c>
      <c r="D38" s="7">
        <v>832</v>
      </c>
      <c r="E38" s="7">
        <v>55015</v>
      </c>
      <c r="F38" s="10">
        <f t="shared" si="0"/>
        <v>222580</v>
      </c>
    </row>
    <row r="39" spans="1:6" x14ac:dyDescent="0.25">
      <c r="A39" s="1" t="s">
        <v>36</v>
      </c>
      <c r="B39" s="7">
        <v>186694</v>
      </c>
      <c r="C39" s="7">
        <v>116652</v>
      </c>
      <c r="D39" s="7">
        <v>1615</v>
      </c>
      <c r="E39" s="7">
        <v>125213</v>
      </c>
      <c r="F39" s="10">
        <f t="shared" si="0"/>
        <v>430174</v>
      </c>
    </row>
    <row r="40" spans="1:6" x14ac:dyDescent="0.25">
      <c r="A40" s="1" t="s">
        <v>37</v>
      </c>
      <c r="B40" s="7">
        <v>57132</v>
      </c>
      <c r="C40" s="7">
        <v>108135</v>
      </c>
      <c r="D40" s="7">
        <v>1051</v>
      </c>
      <c r="E40" s="7">
        <v>39406</v>
      </c>
      <c r="F40" s="10">
        <f t="shared" si="0"/>
        <v>205724</v>
      </c>
    </row>
    <row r="41" spans="1:6" x14ac:dyDescent="0.25">
      <c r="A41" s="1" t="s">
        <v>38</v>
      </c>
      <c r="B41" s="7">
        <v>12471</v>
      </c>
      <c r="C41" s="7">
        <v>9209</v>
      </c>
      <c r="D41" s="7">
        <v>400</v>
      </c>
      <c r="E41" s="7">
        <v>4786</v>
      </c>
      <c r="F41" s="10">
        <f t="shared" si="0"/>
        <v>26866</v>
      </c>
    </row>
    <row r="42" spans="1:6" x14ac:dyDescent="0.25">
      <c r="A42" s="1" t="s">
        <v>39</v>
      </c>
      <c r="B42" s="7">
        <v>753</v>
      </c>
      <c r="C42" s="7">
        <v>3219</v>
      </c>
      <c r="D42" s="7">
        <v>5</v>
      </c>
      <c r="E42" s="7">
        <v>345</v>
      </c>
      <c r="F42" s="10">
        <f t="shared" si="0"/>
        <v>4322</v>
      </c>
    </row>
    <row r="43" spans="1:6" x14ac:dyDescent="0.25">
      <c r="A43" s="1" t="s">
        <v>40</v>
      </c>
      <c r="B43" s="7">
        <v>3342</v>
      </c>
      <c r="C43" s="7">
        <v>7108</v>
      </c>
      <c r="D43" s="7">
        <v>31</v>
      </c>
      <c r="E43" s="7">
        <v>1271</v>
      </c>
      <c r="F43" s="10">
        <f t="shared" si="0"/>
        <v>11752</v>
      </c>
    </row>
    <row r="44" spans="1:6" x14ac:dyDescent="0.25">
      <c r="A44" s="1" t="s">
        <v>41</v>
      </c>
      <c r="B44" s="7">
        <v>100959</v>
      </c>
      <c r="C44" s="7">
        <v>70916</v>
      </c>
      <c r="D44" s="7">
        <v>996</v>
      </c>
      <c r="E44" s="7">
        <v>59450</v>
      </c>
      <c r="F44" s="10">
        <f t="shared" si="0"/>
        <v>232321</v>
      </c>
    </row>
    <row r="45" spans="1:6" x14ac:dyDescent="0.25">
      <c r="A45" s="1" t="s">
        <v>42</v>
      </c>
      <c r="B45" s="7">
        <v>102650</v>
      </c>
      <c r="C45" s="7">
        <v>77041</v>
      </c>
      <c r="D45" s="7">
        <v>1019</v>
      </c>
      <c r="E45" s="7">
        <v>51034</v>
      </c>
      <c r="F45" s="10">
        <f t="shared" si="0"/>
        <v>231744</v>
      </c>
    </row>
    <row r="46" spans="1:6" x14ac:dyDescent="0.25">
      <c r="A46" s="1" t="s">
        <v>43</v>
      </c>
      <c r="B46" s="7">
        <v>55349</v>
      </c>
      <c r="C46" s="7">
        <v>27816</v>
      </c>
      <c r="D46" s="7">
        <v>521</v>
      </c>
      <c r="E46" s="7">
        <v>27105</v>
      </c>
      <c r="F46" s="10">
        <f t="shared" si="0"/>
        <v>110791</v>
      </c>
    </row>
    <row r="47" spans="1:6" x14ac:dyDescent="0.25">
      <c r="A47" s="1" t="s">
        <v>44</v>
      </c>
      <c r="B47" s="7">
        <v>368742</v>
      </c>
      <c r="C47" s="7">
        <v>581396</v>
      </c>
      <c r="D47" s="7">
        <v>3725</v>
      </c>
      <c r="E47" s="7">
        <v>426058</v>
      </c>
      <c r="F47" s="10">
        <f t="shared" si="0"/>
        <v>1379921</v>
      </c>
    </row>
    <row r="48" spans="1:6" x14ac:dyDescent="0.25">
      <c r="A48" s="1" t="s">
        <v>45</v>
      </c>
      <c r="B48" s="7">
        <v>21555</v>
      </c>
      <c r="C48" s="7">
        <v>17838</v>
      </c>
      <c r="D48" s="7">
        <v>423</v>
      </c>
      <c r="E48" s="7">
        <v>15806</v>
      </c>
      <c r="F48" s="10">
        <f t="shared" si="0"/>
        <v>55622</v>
      </c>
    </row>
    <row r="49" spans="1:6" x14ac:dyDescent="0.25">
      <c r="A49" s="1" t="s">
        <v>46</v>
      </c>
      <c r="B49" s="7">
        <v>36875</v>
      </c>
      <c r="C49" s="7">
        <v>14168</v>
      </c>
      <c r="D49" s="7">
        <v>387</v>
      </c>
      <c r="E49" s="7">
        <v>12751</v>
      </c>
      <c r="F49" s="10">
        <f t="shared" si="0"/>
        <v>64181</v>
      </c>
    </row>
    <row r="50" spans="1:6" x14ac:dyDescent="0.25">
      <c r="A50" s="1" t="s">
        <v>47</v>
      </c>
      <c r="B50" s="7">
        <v>75119</v>
      </c>
      <c r="C50" s="7">
        <v>24266</v>
      </c>
      <c r="D50" s="7">
        <v>927</v>
      </c>
      <c r="E50" s="7">
        <v>28244</v>
      </c>
      <c r="F50" s="10">
        <f t="shared" si="0"/>
        <v>128556</v>
      </c>
    </row>
    <row r="51" spans="1:6" x14ac:dyDescent="0.25">
      <c r="A51" s="1" t="s">
        <v>48</v>
      </c>
      <c r="B51" s="7">
        <v>8542</v>
      </c>
      <c r="C51" s="7">
        <v>7348</v>
      </c>
      <c r="D51" s="7">
        <v>82</v>
      </c>
      <c r="E51" s="7">
        <v>3837</v>
      </c>
      <c r="F51" s="10">
        <f t="shared" si="0"/>
        <v>19809</v>
      </c>
    </row>
    <row r="52" spans="1:6" x14ac:dyDescent="0.25">
      <c r="A52" s="1" t="s">
        <v>49</v>
      </c>
      <c r="B52" s="7">
        <v>216308</v>
      </c>
      <c r="C52" s="7">
        <v>337978</v>
      </c>
      <c r="D52" s="7">
        <v>3783</v>
      </c>
      <c r="E52" s="7">
        <v>242018</v>
      </c>
      <c r="F52" s="10">
        <f t="shared" si="0"/>
        <v>800087</v>
      </c>
    </row>
    <row r="53" spans="1:6" x14ac:dyDescent="0.25">
      <c r="A53" s="1" t="s">
        <v>50</v>
      </c>
      <c r="B53" s="7">
        <v>46973</v>
      </c>
      <c r="C53" s="7">
        <v>86378</v>
      </c>
      <c r="D53" s="7">
        <v>612</v>
      </c>
      <c r="E53" s="7">
        <v>66487</v>
      </c>
      <c r="F53" s="10">
        <f t="shared" si="0"/>
        <v>200450</v>
      </c>
    </row>
    <row r="54" spans="1:6" x14ac:dyDescent="0.25">
      <c r="A54" s="1" t="s">
        <v>51</v>
      </c>
      <c r="B54" s="7">
        <v>259585</v>
      </c>
      <c r="C54" s="7">
        <v>386679</v>
      </c>
      <c r="D54" s="7">
        <v>4276</v>
      </c>
      <c r="E54" s="7">
        <v>265739</v>
      </c>
      <c r="F54" s="10">
        <f t="shared" si="0"/>
        <v>916279</v>
      </c>
    </row>
    <row r="55" spans="1:6" x14ac:dyDescent="0.25">
      <c r="A55" s="1" t="s">
        <v>52</v>
      </c>
      <c r="B55" s="7">
        <v>131392</v>
      </c>
      <c r="C55" s="7">
        <v>106213</v>
      </c>
      <c r="D55" s="7">
        <v>1806</v>
      </c>
      <c r="E55" s="7">
        <v>98350</v>
      </c>
      <c r="F55" s="10">
        <f t="shared" si="0"/>
        <v>337761</v>
      </c>
    </row>
    <row r="56" spans="1:6" x14ac:dyDescent="0.25">
      <c r="A56" s="1" t="s">
        <v>53</v>
      </c>
      <c r="B56" s="7">
        <v>228444</v>
      </c>
      <c r="C56" s="7">
        <v>227245</v>
      </c>
      <c r="D56" s="7">
        <v>3975</v>
      </c>
      <c r="E56" s="7">
        <v>180569</v>
      </c>
      <c r="F56" s="10">
        <f t="shared" si="0"/>
        <v>640233</v>
      </c>
    </row>
    <row r="57" spans="1:6" x14ac:dyDescent="0.25">
      <c r="A57" s="1" t="s">
        <v>54</v>
      </c>
      <c r="B57" s="7">
        <v>143719</v>
      </c>
      <c r="C57" s="7">
        <v>143244</v>
      </c>
      <c r="D57" s="7">
        <v>1821</v>
      </c>
      <c r="E57" s="7">
        <v>110691</v>
      </c>
      <c r="F57" s="10">
        <f t="shared" si="0"/>
        <v>399475</v>
      </c>
    </row>
    <row r="58" spans="1:6" x14ac:dyDescent="0.25">
      <c r="A58" s="1" t="s">
        <v>55</v>
      </c>
      <c r="B58" s="7">
        <v>17956</v>
      </c>
      <c r="C58" s="7">
        <v>19204</v>
      </c>
      <c r="D58" s="7">
        <v>163</v>
      </c>
      <c r="E58" s="7">
        <v>8732</v>
      </c>
      <c r="F58" s="10">
        <f t="shared" si="0"/>
        <v>46055</v>
      </c>
    </row>
    <row r="59" spans="1:6" x14ac:dyDescent="0.25">
      <c r="A59" s="1" t="s">
        <v>56</v>
      </c>
      <c r="B59" s="7">
        <v>74581</v>
      </c>
      <c r="C59" s="7">
        <v>24847</v>
      </c>
      <c r="D59" s="7">
        <v>878</v>
      </c>
      <c r="E59" s="7">
        <v>26540</v>
      </c>
      <c r="F59" s="10">
        <f t="shared" si="0"/>
        <v>126846</v>
      </c>
    </row>
    <row r="60" spans="1:6" x14ac:dyDescent="0.25">
      <c r="A60" s="1" t="s">
        <v>57</v>
      </c>
      <c r="B60" s="7">
        <v>132737</v>
      </c>
      <c r="C60" s="7">
        <v>94432</v>
      </c>
      <c r="D60" s="7">
        <v>1557</v>
      </c>
      <c r="E60" s="7">
        <v>82144</v>
      </c>
      <c r="F60" s="10">
        <f t="shared" si="0"/>
        <v>310870</v>
      </c>
    </row>
    <row r="61" spans="1:6" x14ac:dyDescent="0.25">
      <c r="A61" s="1" t="s">
        <v>58</v>
      </c>
      <c r="B61" s="7">
        <v>108391</v>
      </c>
      <c r="C61" s="7">
        <v>96016</v>
      </c>
      <c r="D61" s="7">
        <v>1514</v>
      </c>
      <c r="E61" s="7">
        <v>79980</v>
      </c>
      <c r="F61" s="10">
        <f t="shared" si="0"/>
        <v>285901</v>
      </c>
    </row>
    <row r="62" spans="1:6" x14ac:dyDescent="0.25">
      <c r="A62" s="1" t="s">
        <v>59</v>
      </c>
      <c r="B62" s="7">
        <v>93504</v>
      </c>
      <c r="C62" s="7">
        <v>41176</v>
      </c>
      <c r="D62" s="7">
        <v>1152</v>
      </c>
      <c r="E62" s="7">
        <v>40456</v>
      </c>
      <c r="F62" s="10">
        <f t="shared" si="0"/>
        <v>176288</v>
      </c>
    </row>
    <row r="63" spans="1:6" x14ac:dyDescent="0.25">
      <c r="A63" s="1" t="s">
        <v>60</v>
      </c>
      <c r="B63" s="7">
        <v>63400</v>
      </c>
      <c r="C63" s="7">
        <v>78328</v>
      </c>
      <c r="D63" s="7">
        <v>709</v>
      </c>
      <c r="E63" s="7">
        <v>54108</v>
      </c>
      <c r="F63" s="10">
        <f t="shared" si="0"/>
        <v>196545</v>
      </c>
    </row>
    <row r="64" spans="1:6" x14ac:dyDescent="0.25">
      <c r="A64" s="1" t="s">
        <v>61</v>
      </c>
      <c r="B64" s="7">
        <v>49278</v>
      </c>
      <c r="C64" s="7">
        <v>22827</v>
      </c>
      <c r="D64" s="7">
        <v>268</v>
      </c>
      <c r="E64" s="7">
        <v>19037</v>
      </c>
      <c r="F64" s="10">
        <f t="shared" si="0"/>
        <v>91410</v>
      </c>
    </row>
    <row r="65" spans="1:6" x14ac:dyDescent="0.25">
      <c r="A65" s="1" t="s">
        <v>62</v>
      </c>
      <c r="B65" s="7">
        <v>11221</v>
      </c>
      <c r="C65" s="7">
        <v>10051</v>
      </c>
      <c r="D65" s="7">
        <v>129</v>
      </c>
      <c r="E65" s="7">
        <v>3793</v>
      </c>
      <c r="F65" s="10">
        <f t="shared" si="0"/>
        <v>25194</v>
      </c>
    </row>
    <row r="66" spans="1:6" x14ac:dyDescent="0.25">
      <c r="A66" s="1" t="s">
        <v>63</v>
      </c>
      <c r="B66" s="7">
        <v>4378</v>
      </c>
      <c r="C66" s="7">
        <v>6635</v>
      </c>
      <c r="D66" s="7">
        <v>70</v>
      </c>
      <c r="E66" s="7">
        <v>1145</v>
      </c>
      <c r="F66" s="10">
        <f t="shared" si="0"/>
        <v>12228</v>
      </c>
    </row>
    <row r="67" spans="1:6" x14ac:dyDescent="0.25">
      <c r="A67" s="1" t="s">
        <v>64</v>
      </c>
      <c r="B67" s="7">
        <v>3056</v>
      </c>
      <c r="C67" s="7">
        <v>3409</v>
      </c>
      <c r="D67" s="7">
        <v>20</v>
      </c>
      <c r="E67" s="7">
        <v>752</v>
      </c>
      <c r="F67" s="10">
        <f t="shared" si="0"/>
        <v>7237</v>
      </c>
    </row>
    <row r="68" spans="1:6" x14ac:dyDescent="0.25">
      <c r="A68" s="1" t="s">
        <v>65</v>
      </c>
      <c r="B68" s="7">
        <v>129541</v>
      </c>
      <c r="C68" s="7">
        <v>125793</v>
      </c>
      <c r="D68" s="7">
        <v>1819</v>
      </c>
      <c r="E68" s="7">
        <v>107204</v>
      </c>
      <c r="F68" s="10">
        <f t="shared" si="0"/>
        <v>364357</v>
      </c>
    </row>
    <row r="69" spans="1:6" x14ac:dyDescent="0.25">
      <c r="A69" s="1" t="s">
        <v>66</v>
      </c>
      <c r="B69" s="7">
        <v>7992</v>
      </c>
      <c r="C69" s="7">
        <v>8516</v>
      </c>
      <c r="D69" s="7">
        <v>77</v>
      </c>
      <c r="E69" s="7">
        <v>3349</v>
      </c>
      <c r="F69" s="10">
        <f t="shared" si="0"/>
        <v>19934</v>
      </c>
    </row>
    <row r="70" spans="1:6" x14ac:dyDescent="0.25">
      <c r="A70" s="1" t="s">
        <v>67</v>
      </c>
      <c r="B70" s="7">
        <v>28190</v>
      </c>
      <c r="C70" s="7">
        <v>9657</v>
      </c>
      <c r="D70" s="7">
        <v>269</v>
      </c>
      <c r="E70" s="7">
        <v>9552</v>
      </c>
      <c r="F70" s="10">
        <f t="shared" ref="F70:F71" si="1">SUM(B70:E70)</f>
        <v>47668</v>
      </c>
    </row>
    <row r="71" spans="1:6" ht="15.75" thickBot="1" x14ac:dyDescent="0.3">
      <c r="A71" s="1" t="s">
        <v>68</v>
      </c>
      <c r="B71" s="7">
        <v>7884</v>
      </c>
      <c r="C71" s="7">
        <v>5499</v>
      </c>
      <c r="D71" s="7">
        <v>56</v>
      </c>
      <c r="E71" s="7">
        <v>2141</v>
      </c>
      <c r="F71" s="10">
        <f t="shared" si="1"/>
        <v>15580</v>
      </c>
    </row>
    <row r="72" spans="1:6" ht="16.5" thickTop="1" thickBot="1" x14ac:dyDescent="0.3">
      <c r="A72" s="3" t="s">
        <v>1</v>
      </c>
      <c r="B72" s="8">
        <f>SUM(B5:B71)</f>
        <v>4548627</v>
      </c>
      <c r="C72" s="8">
        <f>SUM(C5:C71)</f>
        <v>4814215</v>
      </c>
      <c r="D72" s="8">
        <f>SUM(D5:D71)</f>
        <v>59682</v>
      </c>
      <c r="E72" s="8">
        <f>SUM(E5:E71)</f>
        <v>3435109</v>
      </c>
      <c r="F72" s="8">
        <f>SUM(F5:F71)</f>
        <v>12857633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selection activeCell="F72" sqref="F7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7" width="9.85546875" bestFit="1" customWidth="1"/>
  </cols>
  <sheetData>
    <row r="1" spans="1:6" ht="18.75" customHeight="1" x14ac:dyDescent="0.3">
      <c r="A1" s="16" t="s">
        <v>98</v>
      </c>
      <c r="B1" s="17"/>
      <c r="C1" s="17"/>
      <c r="D1" s="17"/>
      <c r="E1" s="17"/>
      <c r="F1" s="18"/>
    </row>
    <row r="2" spans="1:6" x14ac:dyDescent="0.25">
      <c r="A2" s="13" t="s">
        <v>117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48851</v>
      </c>
      <c r="C5" s="7">
        <v>82119</v>
      </c>
      <c r="D5" s="7">
        <v>1178</v>
      </c>
      <c r="E5" s="7">
        <v>40231</v>
      </c>
      <c r="F5" s="12">
        <f>SUM(B5:E5)</f>
        <v>172379</v>
      </c>
    </row>
    <row r="6" spans="1:6" x14ac:dyDescent="0.25">
      <c r="A6" s="1" t="s">
        <v>3</v>
      </c>
      <c r="B6" s="7">
        <v>7887</v>
      </c>
      <c r="C6" s="7">
        <v>5735</v>
      </c>
      <c r="D6" s="7">
        <v>50</v>
      </c>
      <c r="E6" s="7">
        <v>1607</v>
      </c>
      <c r="F6" s="12">
        <f t="shared" ref="F6:F69" si="0">SUM(B6:E6)</f>
        <v>15279</v>
      </c>
    </row>
    <row r="7" spans="1:6" x14ac:dyDescent="0.25">
      <c r="A7" s="1" t="s">
        <v>4</v>
      </c>
      <c r="B7" s="7">
        <v>60368</v>
      </c>
      <c r="C7" s="7">
        <v>30454</v>
      </c>
      <c r="D7" s="7">
        <v>772</v>
      </c>
      <c r="E7" s="7">
        <v>24649</v>
      </c>
      <c r="F7" s="12">
        <f t="shared" si="0"/>
        <v>116243</v>
      </c>
    </row>
    <row r="8" spans="1:6" x14ac:dyDescent="0.25">
      <c r="A8" s="1" t="s">
        <v>5</v>
      </c>
      <c r="B8" s="7">
        <v>7430</v>
      </c>
      <c r="C8" s="7">
        <v>6190</v>
      </c>
      <c r="D8" s="7">
        <v>68</v>
      </c>
      <c r="E8" s="7">
        <v>2367</v>
      </c>
      <c r="F8" s="12">
        <f t="shared" si="0"/>
        <v>16055</v>
      </c>
    </row>
    <row r="9" spans="1:6" x14ac:dyDescent="0.25">
      <c r="A9" s="1" t="s">
        <v>6</v>
      </c>
      <c r="B9" s="7">
        <v>171628</v>
      </c>
      <c r="C9" s="7">
        <v>126447</v>
      </c>
      <c r="D9" s="7">
        <v>2842</v>
      </c>
      <c r="E9" s="7">
        <v>106067</v>
      </c>
      <c r="F9" s="12">
        <f t="shared" si="0"/>
        <v>406984</v>
      </c>
    </row>
    <row r="10" spans="1:6" x14ac:dyDescent="0.25">
      <c r="A10" s="1" t="s">
        <v>7</v>
      </c>
      <c r="B10" s="7">
        <v>253415</v>
      </c>
      <c r="C10" s="7">
        <v>593131</v>
      </c>
      <c r="D10" s="7">
        <v>4109</v>
      </c>
      <c r="E10" s="7">
        <v>329067</v>
      </c>
      <c r="F10" s="12">
        <f t="shared" si="0"/>
        <v>1179722</v>
      </c>
    </row>
    <row r="11" spans="1:6" x14ac:dyDescent="0.25">
      <c r="A11" s="1" t="s">
        <v>8</v>
      </c>
      <c r="B11" s="7">
        <v>2385</v>
      </c>
      <c r="C11" s="7">
        <v>5272</v>
      </c>
      <c r="D11" s="7">
        <v>24</v>
      </c>
      <c r="E11" s="7">
        <v>951</v>
      </c>
      <c r="F11" s="12">
        <f t="shared" si="0"/>
        <v>8632</v>
      </c>
    </row>
    <row r="12" spans="1:6" x14ac:dyDescent="0.25">
      <c r="A12" s="1" t="s">
        <v>9</v>
      </c>
      <c r="B12" s="7">
        <v>59214</v>
      </c>
      <c r="C12" s="7">
        <v>37041</v>
      </c>
      <c r="D12" s="7">
        <v>687</v>
      </c>
      <c r="E12" s="7">
        <v>36495</v>
      </c>
      <c r="F12" s="12">
        <f t="shared" si="0"/>
        <v>133437</v>
      </c>
    </row>
    <row r="13" spans="1:6" x14ac:dyDescent="0.25">
      <c r="A13" s="1" t="s">
        <v>10</v>
      </c>
      <c r="B13" s="7">
        <v>50056</v>
      </c>
      <c r="C13" s="7">
        <v>29682</v>
      </c>
      <c r="D13" s="7">
        <v>561</v>
      </c>
      <c r="E13" s="7">
        <v>26275</v>
      </c>
      <c r="F13" s="12">
        <f t="shared" si="0"/>
        <v>106574</v>
      </c>
    </row>
    <row r="14" spans="1:6" x14ac:dyDescent="0.25">
      <c r="A14" s="1" t="s">
        <v>11</v>
      </c>
      <c r="B14" s="7">
        <v>80540</v>
      </c>
      <c r="C14" s="7">
        <v>32621</v>
      </c>
      <c r="D14" s="7">
        <v>848</v>
      </c>
      <c r="E14" s="7">
        <v>35049</v>
      </c>
      <c r="F14" s="12">
        <f t="shared" si="0"/>
        <v>149058</v>
      </c>
    </row>
    <row r="15" spans="1:6" x14ac:dyDescent="0.25">
      <c r="A15" s="1" t="s">
        <v>12</v>
      </c>
      <c r="B15" s="7">
        <v>102364</v>
      </c>
      <c r="C15" s="7">
        <v>46601</v>
      </c>
      <c r="D15" s="7">
        <v>753</v>
      </c>
      <c r="E15" s="7">
        <v>49692</v>
      </c>
      <c r="F15" s="12">
        <f t="shared" si="0"/>
        <v>199410</v>
      </c>
    </row>
    <row r="16" spans="1:6" x14ac:dyDescent="0.25">
      <c r="A16" s="1" t="s">
        <v>13</v>
      </c>
      <c r="B16" s="7">
        <v>17266</v>
      </c>
      <c r="C16" s="7">
        <v>14410</v>
      </c>
      <c r="D16" s="7">
        <v>209</v>
      </c>
      <c r="E16" s="7">
        <v>6868</v>
      </c>
      <c r="F16" s="12">
        <f t="shared" si="0"/>
        <v>38753</v>
      </c>
    </row>
    <row r="17" spans="1:6" x14ac:dyDescent="0.25">
      <c r="A17" s="1" t="s">
        <v>14</v>
      </c>
      <c r="B17" s="7">
        <v>5331</v>
      </c>
      <c r="C17" s="7">
        <v>7383</v>
      </c>
      <c r="D17" s="7">
        <v>41</v>
      </c>
      <c r="E17" s="7">
        <v>3606</v>
      </c>
      <c r="F17" s="12">
        <f t="shared" si="0"/>
        <v>16361</v>
      </c>
    </row>
    <row r="18" spans="1:6" x14ac:dyDescent="0.25">
      <c r="A18" s="1" t="s">
        <v>15</v>
      </c>
      <c r="B18" s="7">
        <v>3774</v>
      </c>
      <c r="C18" s="7">
        <v>4597</v>
      </c>
      <c r="D18" s="7">
        <v>27</v>
      </c>
      <c r="E18" s="7">
        <v>1545</v>
      </c>
      <c r="F18" s="12">
        <f t="shared" si="0"/>
        <v>9943</v>
      </c>
    </row>
    <row r="19" spans="1:6" x14ac:dyDescent="0.25">
      <c r="A19" s="1" t="s">
        <v>16</v>
      </c>
      <c r="B19" s="7">
        <v>216491</v>
      </c>
      <c r="C19" s="7">
        <v>235723</v>
      </c>
      <c r="D19" s="7">
        <v>3479</v>
      </c>
      <c r="E19" s="7">
        <v>123674</v>
      </c>
      <c r="F19" s="12">
        <f t="shared" si="0"/>
        <v>579367</v>
      </c>
    </row>
    <row r="20" spans="1:6" x14ac:dyDescent="0.25">
      <c r="A20" s="1" t="s">
        <v>17</v>
      </c>
      <c r="B20" s="7">
        <v>92247</v>
      </c>
      <c r="C20" s="7">
        <v>70045</v>
      </c>
      <c r="D20" s="7">
        <v>1186</v>
      </c>
      <c r="E20" s="7">
        <v>41322</v>
      </c>
      <c r="F20" s="12">
        <f t="shared" si="0"/>
        <v>204800</v>
      </c>
    </row>
    <row r="21" spans="1:6" x14ac:dyDescent="0.25">
      <c r="A21" s="1" t="s">
        <v>18</v>
      </c>
      <c r="B21" s="7">
        <v>31939</v>
      </c>
      <c r="C21" s="7">
        <v>24551</v>
      </c>
      <c r="D21" s="7">
        <v>342</v>
      </c>
      <c r="E21" s="7">
        <v>21937</v>
      </c>
      <c r="F21" s="12">
        <f t="shared" si="0"/>
        <v>78769</v>
      </c>
    </row>
    <row r="22" spans="1:6" x14ac:dyDescent="0.25">
      <c r="A22" s="1" t="s">
        <v>19</v>
      </c>
      <c r="B22" s="7">
        <v>2442</v>
      </c>
      <c r="C22" s="7">
        <v>4130</v>
      </c>
      <c r="D22" s="7">
        <v>75</v>
      </c>
      <c r="E22" s="7">
        <v>967</v>
      </c>
      <c r="F22" s="12">
        <f t="shared" si="0"/>
        <v>7614</v>
      </c>
    </row>
    <row r="23" spans="1:6" x14ac:dyDescent="0.25">
      <c r="A23" s="1" t="s">
        <v>20</v>
      </c>
      <c r="B23" s="7">
        <v>4595</v>
      </c>
      <c r="C23" s="7">
        <v>22276</v>
      </c>
      <c r="D23" s="7">
        <v>59</v>
      </c>
      <c r="E23" s="7">
        <v>2684</v>
      </c>
      <c r="F23" s="12">
        <f t="shared" si="0"/>
        <v>29614</v>
      </c>
    </row>
    <row r="24" spans="1:6" x14ac:dyDescent="0.25">
      <c r="A24" s="1" t="s">
        <v>21</v>
      </c>
      <c r="B24" s="7">
        <v>6189</v>
      </c>
      <c r="C24" s="7">
        <v>3408</v>
      </c>
      <c r="D24" s="7">
        <v>52</v>
      </c>
      <c r="E24" s="7">
        <v>1707</v>
      </c>
      <c r="F24" s="12">
        <f t="shared" si="0"/>
        <v>11356</v>
      </c>
    </row>
    <row r="25" spans="1:6" x14ac:dyDescent="0.25">
      <c r="A25" s="1" t="s">
        <v>22</v>
      </c>
      <c r="B25" s="7">
        <v>2499</v>
      </c>
      <c r="C25" s="7">
        <v>2948</v>
      </c>
      <c r="D25" s="7">
        <v>23</v>
      </c>
      <c r="E25" s="7">
        <v>1202</v>
      </c>
      <c r="F25" s="12">
        <f t="shared" si="0"/>
        <v>6672</v>
      </c>
    </row>
    <row r="26" spans="1:6" x14ac:dyDescent="0.25">
      <c r="A26" s="1" t="s">
        <v>23</v>
      </c>
      <c r="B26" s="7">
        <v>4632</v>
      </c>
      <c r="C26" s="7">
        <v>4003</v>
      </c>
      <c r="D26" s="7">
        <v>56</v>
      </c>
      <c r="E26" s="7">
        <v>1155</v>
      </c>
      <c r="F26" s="12">
        <f t="shared" si="0"/>
        <v>9846</v>
      </c>
    </row>
    <row r="27" spans="1:6" x14ac:dyDescent="0.25">
      <c r="A27" s="1" t="s">
        <v>24</v>
      </c>
      <c r="B27" s="7">
        <v>2280</v>
      </c>
      <c r="C27" s="7">
        <v>4364</v>
      </c>
      <c r="D27" s="7">
        <v>22</v>
      </c>
      <c r="E27" s="7">
        <v>921</v>
      </c>
      <c r="F27" s="12">
        <f t="shared" si="0"/>
        <v>7587</v>
      </c>
    </row>
    <row r="28" spans="1:6" x14ac:dyDescent="0.25">
      <c r="A28" s="1" t="s">
        <v>25</v>
      </c>
      <c r="B28" s="7">
        <v>5112</v>
      </c>
      <c r="C28" s="7">
        <v>4633</v>
      </c>
      <c r="D28" s="7">
        <v>126</v>
      </c>
      <c r="E28" s="7">
        <v>2071</v>
      </c>
      <c r="F28" s="12">
        <f t="shared" si="0"/>
        <v>11942</v>
      </c>
    </row>
    <row r="29" spans="1:6" x14ac:dyDescent="0.25">
      <c r="A29" s="1" t="s">
        <v>26</v>
      </c>
      <c r="B29" s="7">
        <v>6151</v>
      </c>
      <c r="C29" s="7">
        <v>7907</v>
      </c>
      <c r="D29" s="7">
        <v>55</v>
      </c>
      <c r="E29" s="7">
        <v>3216</v>
      </c>
      <c r="F29" s="12">
        <f t="shared" si="0"/>
        <v>17329</v>
      </c>
    </row>
    <row r="30" spans="1:6" x14ac:dyDescent="0.25">
      <c r="A30" s="1" t="s">
        <v>27</v>
      </c>
      <c r="B30" s="7">
        <v>53449</v>
      </c>
      <c r="C30" s="7">
        <v>42042</v>
      </c>
      <c r="D30" s="7">
        <v>742</v>
      </c>
      <c r="E30" s="7">
        <v>34407</v>
      </c>
      <c r="F30" s="12">
        <f t="shared" si="0"/>
        <v>130640</v>
      </c>
    </row>
    <row r="31" spans="1:6" x14ac:dyDescent="0.25">
      <c r="A31" s="1" t="s">
        <v>28</v>
      </c>
      <c r="B31" s="7">
        <v>27007</v>
      </c>
      <c r="C31" s="7">
        <v>18518</v>
      </c>
      <c r="D31" s="7">
        <v>178</v>
      </c>
      <c r="E31" s="7">
        <v>13295</v>
      </c>
      <c r="F31" s="12">
        <f t="shared" si="0"/>
        <v>58998</v>
      </c>
    </row>
    <row r="32" spans="1:6" x14ac:dyDescent="0.25">
      <c r="A32" s="1" t="s">
        <v>29</v>
      </c>
      <c r="B32" s="7">
        <v>263515</v>
      </c>
      <c r="C32" s="7">
        <v>322840</v>
      </c>
      <c r="D32" s="7">
        <v>4593</v>
      </c>
      <c r="E32" s="7">
        <v>237248</v>
      </c>
      <c r="F32" s="12">
        <f t="shared" si="0"/>
        <v>828196</v>
      </c>
    </row>
    <row r="33" spans="1:6" x14ac:dyDescent="0.25">
      <c r="A33" s="1" t="s">
        <v>30</v>
      </c>
      <c r="B33" s="7">
        <v>5913</v>
      </c>
      <c r="C33" s="7">
        <v>3421</v>
      </c>
      <c r="D33" s="7">
        <v>20</v>
      </c>
      <c r="E33" s="7">
        <v>1111</v>
      </c>
      <c r="F33" s="12">
        <f t="shared" si="0"/>
        <v>10465</v>
      </c>
    </row>
    <row r="34" spans="1:6" x14ac:dyDescent="0.25">
      <c r="A34" s="1" t="s">
        <v>31</v>
      </c>
      <c r="B34" s="7">
        <v>50632</v>
      </c>
      <c r="C34" s="7">
        <v>29500</v>
      </c>
      <c r="D34" s="7">
        <v>553</v>
      </c>
      <c r="E34" s="7">
        <v>28673</v>
      </c>
      <c r="F34" s="12">
        <f t="shared" si="0"/>
        <v>109358</v>
      </c>
    </row>
    <row r="35" spans="1:6" x14ac:dyDescent="0.25">
      <c r="A35" s="1" t="s">
        <v>32</v>
      </c>
      <c r="B35" s="7">
        <v>9889</v>
      </c>
      <c r="C35" s="7">
        <v>14826</v>
      </c>
      <c r="D35" s="7">
        <v>62</v>
      </c>
      <c r="E35" s="7">
        <v>2871</v>
      </c>
      <c r="F35" s="12">
        <f t="shared" si="0"/>
        <v>27648</v>
      </c>
    </row>
    <row r="36" spans="1:6" x14ac:dyDescent="0.25">
      <c r="A36" s="1" t="s">
        <v>33</v>
      </c>
      <c r="B36" s="7">
        <v>2816</v>
      </c>
      <c r="C36" s="7">
        <v>5608</v>
      </c>
      <c r="D36" s="7">
        <v>24</v>
      </c>
      <c r="E36" s="7">
        <v>1060</v>
      </c>
      <c r="F36" s="12">
        <f t="shared" si="0"/>
        <v>9508</v>
      </c>
    </row>
    <row r="37" spans="1:6" x14ac:dyDescent="0.25">
      <c r="A37" s="1" t="s">
        <v>34</v>
      </c>
      <c r="B37" s="7">
        <v>1537</v>
      </c>
      <c r="C37" s="7">
        <v>2449</v>
      </c>
      <c r="D37" s="7">
        <v>11</v>
      </c>
      <c r="E37" s="7">
        <v>296</v>
      </c>
      <c r="F37" s="12">
        <f t="shared" si="0"/>
        <v>4293</v>
      </c>
    </row>
    <row r="38" spans="1:6" x14ac:dyDescent="0.25">
      <c r="A38" s="1" t="s">
        <v>35</v>
      </c>
      <c r="B38" s="7">
        <v>98505</v>
      </c>
      <c r="C38" s="7">
        <v>68681</v>
      </c>
      <c r="D38" s="7">
        <v>870</v>
      </c>
      <c r="E38" s="7">
        <v>55471</v>
      </c>
      <c r="F38" s="12">
        <f t="shared" si="0"/>
        <v>223527</v>
      </c>
    </row>
    <row r="39" spans="1:6" x14ac:dyDescent="0.25">
      <c r="A39" s="1" t="s">
        <v>36</v>
      </c>
      <c r="B39" s="7">
        <v>187017</v>
      </c>
      <c r="C39" s="7">
        <v>116898</v>
      </c>
      <c r="D39" s="7">
        <v>1712</v>
      </c>
      <c r="E39" s="7">
        <v>126058</v>
      </c>
      <c r="F39" s="12">
        <f t="shared" si="0"/>
        <v>431685</v>
      </c>
    </row>
    <row r="40" spans="1:6" x14ac:dyDescent="0.25">
      <c r="A40" s="1" t="s">
        <v>37</v>
      </c>
      <c r="B40" s="7">
        <v>57117</v>
      </c>
      <c r="C40" s="7">
        <v>108130</v>
      </c>
      <c r="D40" s="7">
        <v>1086</v>
      </c>
      <c r="E40" s="7">
        <v>39551</v>
      </c>
      <c r="F40" s="12">
        <f t="shared" si="0"/>
        <v>205884</v>
      </c>
    </row>
    <row r="41" spans="1:6" x14ac:dyDescent="0.25">
      <c r="A41" s="1" t="s">
        <v>38</v>
      </c>
      <c r="B41" s="7">
        <v>12535</v>
      </c>
      <c r="C41" s="7">
        <v>9210</v>
      </c>
      <c r="D41" s="7">
        <v>400</v>
      </c>
      <c r="E41" s="7">
        <v>4825</v>
      </c>
      <c r="F41" s="12">
        <f t="shared" si="0"/>
        <v>26970</v>
      </c>
    </row>
    <row r="42" spans="1:6" x14ac:dyDescent="0.25">
      <c r="A42" s="1" t="s">
        <v>39</v>
      </c>
      <c r="B42" s="7">
        <v>755</v>
      </c>
      <c r="C42" s="7">
        <v>3209</v>
      </c>
      <c r="D42" s="7">
        <v>5</v>
      </c>
      <c r="E42" s="7">
        <v>350</v>
      </c>
      <c r="F42" s="12">
        <f t="shared" si="0"/>
        <v>4319</v>
      </c>
    </row>
    <row r="43" spans="1:6" x14ac:dyDescent="0.25">
      <c r="A43" s="1" t="s">
        <v>40</v>
      </c>
      <c r="B43" s="7">
        <v>3351</v>
      </c>
      <c r="C43" s="7">
        <v>7101</v>
      </c>
      <c r="D43" s="7">
        <v>31</v>
      </c>
      <c r="E43" s="7">
        <v>1284</v>
      </c>
      <c r="F43" s="12">
        <f t="shared" si="0"/>
        <v>11767</v>
      </c>
    </row>
    <row r="44" spans="1:6" x14ac:dyDescent="0.25">
      <c r="A44" s="1" t="s">
        <v>41</v>
      </c>
      <c r="B44" s="7">
        <v>101179</v>
      </c>
      <c r="C44" s="7">
        <v>71132</v>
      </c>
      <c r="D44" s="7">
        <v>1048</v>
      </c>
      <c r="E44" s="7">
        <v>59733</v>
      </c>
      <c r="F44" s="12">
        <f t="shared" si="0"/>
        <v>233092</v>
      </c>
    </row>
    <row r="45" spans="1:6" x14ac:dyDescent="0.25">
      <c r="A45" s="1" t="s">
        <v>42</v>
      </c>
      <c r="B45" s="7">
        <v>103009</v>
      </c>
      <c r="C45" s="7">
        <v>77250</v>
      </c>
      <c r="D45" s="7">
        <v>1062</v>
      </c>
      <c r="E45" s="7">
        <v>51372</v>
      </c>
      <c r="F45" s="12">
        <f t="shared" si="0"/>
        <v>232693</v>
      </c>
    </row>
    <row r="46" spans="1:6" x14ac:dyDescent="0.25">
      <c r="A46" s="1" t="s">
        <v>43</v>
      </c>
      <c r="B46" s="7">
        <v>55425</v>
      </c>
      <c r="C46" s="7">
        <v>27836</v>
      </c>
      <c r="D46" s="7">
        <v>557</v>
      </c>
      <c r="E46" s="7">
        <v>27233</v>
      </c>
      <c r="F46" s="12">
        <f t="shared" si="0"/>
        <v>111051</v>
      </c>
    </row>
    <row r="47" spans="1:6" x14ac:dyDescent="0.25">
      <c r="A47" s="1" t="s">
        <v>44</v>
      </c>
      <c r="B47" s="7">
        <v>368370</v>
      </c>
      <c r="C47" s="7">
        <v>581172</v>
      </c>
      <c r="D47" s="7">
        <v>3927</v>
      </c>
      <c r="E47" s="7">
        <v>426927</v>
      </c>
      <c r="F47" s="12">
        <f t="shared" si="0"/>
        <v>1380396</v>
      </c>
    </row>
    <row r="48" spans="1:6" x14ac:dyDescent="0.25">
      <c r="A48" s="1" t="s">
        <v>45</v>
      </c>
      <c r="B48" s="7">
        <v>21520</v>
      </c>
      <c r="C48" s="7">
        <v>17797</v>
      </c>
      <c r="D48" s="7">
        <v>443</v>
      </c>
      <c r="E48" s="7">
        <v>15692</v>
      </c>
      <c r="F48" s="12">
        <f t="shared" si="0"/>
        <v>55452</v>
      </c>
    </row>
    <row r="49" spans="1:6" x14ac:dyDescent="0.25">
      <c r="A49" s="1" t="s">
        <v>46</v>
      </c>
      <c r="B49" s="7">
        <v>37013</v>
      </c>
      <c r="C49" s="7">
        <v>14182</v>
      </c>
      <c r="D49" s="7">
        <v>409</v>
      </c>
      <c r="E49" s="7">
        <v>12802</v>
      </c>
      <c r="F49" s="12">
        <f t="shared" si="0"/>
        <v>64406</v>
      </c>
    </row>
    <row r="50" spans="1:6" x14ac:dyDescent="0.25">
      <c r="A50" s="1" t="s">
        <v>47</v>
      </c>
      <c r="B50" s="7">
        <v>75325</v>
      </c>
      <c r="C50" s="7">
        <v>24332</v>
      </c>
      <c r="D50" s="7">
        <v>979</v>
      </c>
      <c r="E50" s="7">
        <v>28500</v>
      </c>
      <c r="F50" s="12">
        <f t="shared" si="0"/>
        <v>129136</v>
      </c>
    </row>
    <row r="51" spans="1:6" x14ac:dyDescent="0.25">
      <c r="A51" s="1" t="s">
        <v>48</v>
      </c>
      <c r="B51" s="7">
        <v>8577</v>
      </c>
      <c r="C51" s="7">
        <v>7357</v>
      </c>
      <c r="D51" s="7">
        <v>93</v>
      </c>
      <c r="E51" s="7">
        <v>3850</v>
      </c>
      <c r="F51" s="12">
        <f t="shared" si="0"/>
        <v>19877</v>
      </c>
    </row>
    <row r="52" spans="1:6" x14ac:dyDescent="0.25">
      <c r="A52" s="1" t="s">
        <v>49</v>
      </c>
      <c r="B52" s="7">
        <v>216174</v>
      </c>
      <c r="C52" s="7">
        <v>338406</v>
      </c>
      <c r="D52" s="7">
        <v>3963</v>
      </c>
      <c r="E52" s="7">
        <v>243388</v>
      </c>
      <c r="F52" s="12">
        <f t="shared" si="0"/>
        <v>801931</v>
      </c>
    </row>
    <row r="53" spans="1:6" x14ac:dyDescent="0.25">
      <c r="A53" s="1" t="s">
        <v>50</v>
      </c>
      <c r="B53" s="7">
        <v>47017</v>
      </c>
      <c r="C53" s="7">
        <v>86546</v>
      </c>
      <c r="D53" s="7">
        <v>644</v>
      </c>
      <c r="E53" s="7">
        <v>67434</v>
      </c>
      <c r="F53" s="12">
        <f t="shared" si="0"/>
        <v>201641</v>
      </c>
    </row>
    <row r="54" spans="1:6" x14ac:dyDescent="0.25">
      <c r="A54" s="1" t="s">
        <v>51</v>
      </c>
      <c r="B54" s="7">
        <v>259721</v>
      </c>
      <c r="C54" s="7">
        <v>386977</v>
      </c>
      <c r="D54" s="7">
        <v>4541</v>
      </c>
      <c r="E54" s="7">
        <v>266441</v>
      </c>
      <c r="F54" s="12">
        <f t="shared" si="0"/>
        <v>917680</v>
      </c>
    </row>
    <row r="55" spans="1:6" x14ac:dyDescent="0.25">
      <c r="A55" s="1" t="s">
        <v>52</v>
      </c>
      <c r="B55" s="7">
        <v>131760</v>
      </c>
      <c r="C55" s="7">
        <v>106630</v>
      </c>
      <c r="D55" s="7">
        <v>1940</v>
      </c>
      <c r="E55" s="7">
        <v>99023</v>
      </c>
      <c r="F55" s="12">
        <f t="shared" si="0"/>
        <v>339353</v>
      </c>
    </row>
    <row r="56" spans="1:6" x14ac:dyDescent="0.25">
      <c r="A56" s="1" t="s">
        <v>53</v>
      </c>
      <c r="B56" s="7">
        <v>228245</v>
      </c>
      <c r="C56" s="7">
        <v>226956</v>
      </c>
      <c r="D56" s="7">
        <v>4118</v>
      </c>
      <c r="E56" s="7">
        <v>180961</v>
      </c>
      <c r="F56" s="12">
        <f t="shared" si="0"/>
        <v>640280</v>
      </c>
    </row>
    <row r="57" spans="1:6" x14ac:dyDescent="0.25">
      <c r="A57" s="1" t="s">
        <v>54</v>
      </c>
      <c r="B57" s="7">
        <v>143801</v>
      </c>
      <c r="C57" s="7">
        <v>143492</v>
      </c>
      <c r="D57" s="7">
        <v>1898</v>
      </c>
      <c r="E57" s="7">
        <v>111519</v>
      </c>
      <c r="F57" s="12">
        <f t="shared" si="0"/>
        <v>400710</v>
      </c>
    </row>
    <row r="58" spans="1:6" x14ac:dyDescent="0.25">
      <c r="A58" s="1" t="s">
        <v>55</v>
      </c>
      <c r="B58" s="7">
        <v>17998</v>
      </c>
      <c r="C58" s="7">
        <v>19193</v>
      </c>
      <c r="D58" s="7">
        <v>178</v>
      </c>
      <c r="E58" s="7">
        <v>8777</v>
      </c>
      <c r="F58" s="12">
        <f t="shared" si="0"/>
        <v>46146</v>
      </c>
    </row>
    <row r="59" spans="1:6" x14ac:dyDescent="0.25">
      <c r="A59" s="1" t="s">
        <v>56</v>
      </c>
      <c r="B59" s="7">
        <v>74766</v>
      </c>
      <c r="C59" s="7">
        <v>24895</v>
      </c>
      <c r="D59" s="7">
        <v>933</v>
      </c>
      <c r="E59" s="7">
        <v>26700</v>
      </c>
      <c r="F59" s="12">
        <f t="shared" si="0"/>
        <v>127294</v>
      </c>
    </row>
    <row r="60" spans="1:6" x14ac:dyDescent="0.25">
      <c r="A60" s="1" t="s">
        <v>57</v>
      </c>
      <c r="B60" s="7">
        <v>132950</v>
      </c>
      <c r="C60" s="7">
        <v>94732</v>
      </c>
      <c r="D60" s="7">
        <v>1642</v>
      </c>
      <c r="E60" s="7">
        <v>82409</v>
      </c>
      <c r="F60" s="12">
        <f t="shared" si="0"/>
        <v>311733</v>
      </c>
    </row>
    <row r="61" spans="1:6" x14ac:dyDescent="0.25">
      <c r="A61" s="1" t="s">
        <v>58</v>
      </c>
      <c r="B61" s="7">
        <v>108401</v>
      </c>
      <c r="C61" s="7">
        <v>96203</v>
      </c>
      <c r="D61" s="7">
        <v>1567</v>
      </c>
      <c r="E61" s="7">
        <v>80311</v>
      </c>
      <c r="F61" s="12">
        <f t="shared" si="0"/>
        <v>286482</v>
      </c>
    </row>
    <row r="62" spans="1:6" x14ac:dyDescent="0.25">
      <c r="A62" s="1" t="s">
        <v>59</v>
      </c>
      <c r="B62" s="7">
        <v>93888</v>
      </c>
      <c r="C62" s="7">
        <v>41324</v>
      </c>
      <c r="D62" s="7">
        <v>1198</v>
      </c>
      <c r="E62" s="7">
        <v>40740</v>
      </c>
      <c r="F62" s="12">
        <f t="shared" si="0"/>
        <v>177150</v>
      </c>
    </row>
    <row r="63" spans="1:6" x14ac:dyDescent="0.25">
      <c r="A63" s="1" t="s">
        <v>60</v>
      </c>
      <c r="B63" s="7">
        <v>63574</v>
      </c>
      <c r="C63" s="7">
        <v>78501</v>
      </c>
      <c r="D63" s="7">
        <v>756</v>
      </c>
      <c r="E63" s="7">
        <v>54397</v>
      </c>
      <c r="F63" s="12">
        <f t="shared" si="0"/>
        <v>197228</v>
      </c>
    </row>
    <row r="64" spans="1:6" x14ac:dyDescent="0.25">
      <c r="A64" s="1" t="s">
        <v>61</v>
      </c>
      <c r="B64" s="7">
        <v>49490</v>
      </c>
      <c r="C64" s="7">
        <v>22933</v>
      </c>
      <c r="D64" s="7">
        <v>289</v>
      </c>
      <c r="E64" s="7">
        <v>19163</v>
      </c>
      <c r="F64" s="12">
        <f t="shared" si="0"/>
        <v>91875</v>
      </c>
    </row>
    <row r="65" spans="1:7" x14ac:dyDescent="0.25">
      <c r="A65" s="1" t="s">
        <v>62</v>
      </c>
      <c r="B65" s="7">
        <v>11235</v>
      </c>
      <c r="C65" s="7">
        <v>10018</v>
      </c>
      <c r="D65" s="7">
        <v>133</v>
      </c>
      <c r="E65" s="7">
        <v>3810</v>
      </c>
      <c r="F65" s="12">
        <f t="shared" si="0"/>
        <v>25196</v>
      </c>
    </row>
    <row r="66" spans="1:7" x14ac:dyDescent="0.25">
      <c r="A66" s="1" t="s">
        <v>63</v>
      </c>
      <c r="B66" s="7">
        <v>4387</v>
      </c>
      <c r="C66" s="7">
        <v>6632</v>
      </c>
      <c r="D66" s="7">
        <v>71</v>
      </c>
      <c r="E66" s="7">
        <v>1155</v>
      </c>
      <c r="F66" s="12">
        <f t="shared" si="0"/>
        <v>12245</v>
      </c>
    </row>
    <row r="67" spans="1:7" x14ac:dyDescent="0.25">
      <c r="A67" s="1" t="s">
        <v>64</v>
      </c>
      <c r="B67" s="7">
        <v>3062</v>
      </c>
      <c r="C67" s="7">
        <v>3404</v>
      </c>
      <c r="D67" s="7">
        <v>20</v>
      </c>
      <c r="E67" s="7">
        <v>756</v>
      </c>
      <c r="F67" s="12">
        <f t="shared" si="0"/>
        <v>7242</v>
      </c>
    </row>
    <row r="68" spans="1:7" x14ac:dyDescent="0.25">
      <c r="A68" s="1" t="s">
        <v>65</v>
      </c>
      <c r="B68" s="7">
        <v>129967</v>
      </c>
      <c r="C68" s="7">
        <v>126103</v>
      </c>
      <c r="D68" s="7">
        <v>1914</v>
      </c>
      <c r="E68" s="7">
        <v>107773</v>
      </c>
      <c r="F68" s="12">
        <f t="shared" si="0"/>
        <v>365757</v>
      </c>
    </row>
    <row r="69" spans="1:7" x14ac:dyDescent="0.25">
      <c r="A69" s="1" t="s">
        <v>66</v>
      </c>
      <c r="B69" s="7">
        <v>8015</v>
      </c>
      <c r="C69" s="7">
        <v>8513</v>
      </c>
      <c r="D69" s="7">
        <v>83</v>
      </c>
      <c r="E69" s="7">
        <v>3374</v>
      </c>
      <c r="F69" s="12">
        <f t="shared" si="0"/>
        <v>19985</v>
      </c>
    </row>
    <row r="70" spans="1:7" x14ac:dyDescent="0.25">
      <c r="A70" s="1" t="s">
        <v>67</v>
      </c>
      <c r="B70" s="7">
        <v>28254</v>
      </c>
      <c r="C70" s="7">
        <v>9636</v>
      </c>
      <c r="D70" s="7">
        <v>280</v>
      </c>
      <c r="E70" s="7">
        <v>9600</v>
      </c>
      <c r="F70" s="12">
        <f t="shared" ref="F70:F71" si="1">SUM(B70:E70)</f>
        <v>47770</v>
      </c>
    </row>
    <row r="71" spans="1:7" ht="15.75" thickBot="1" x14ac:dyDescent="0.3">
      <c r="A71" s="1" t="s">
        <v>68</v>
      </c>
      <c r="B71" s="7">
        <v>7899</v>
      </c>
      <c r="C71" s="7">
        <v>5493</v>
      </c>
      <c r="D71" s="7">
        <v>58</v>
      </c>
      <c r="E71" s="7">
        <v>2146</v>
      </c>
      <c r="F71" s="12">
        <f t="shared" si="1"/>
        <v>15596</v>
      </c>
    </row>
    <row r="72" spans="1:7" ht="16.5" thickTop="1" thickBot="1" x14ac:dyDescent="0.3">
      <c r="A72" s="3" t="s">
        <v>1</v>
      </c>
      <c r="B72" s="8">
        <f>SUM(B5:B71)</f>
        <v>4550146</v>
      </c>
      <c r="C72" s="8">
        <f>SUM(C5:C71)</f>
        <v>4815749</v>
      </c>
      <c r="D72" s="8">
        <f>SUM(D5:D71)</f>
        <v>62675</v>
      </c>
      <c r="E72" s="8">
        <f>SUM(E5:E71)</f>
        <v>3447811</v>
      </c>
      <c r="F72" s="8">
        <f>SUM(F5:F71)</f>
        <v>12876381</v>
      </c>
      <c r="G72" s="7"/>
    </row>
    <row r="73" spans="1:7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79" sqref="F79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16" t="s">
        <v>99</v>
      </c>
      <c r="B1" s="17"/>
      <c r="C1" s="17"/>
      <c r="D1" s="17"/>
      <c r="E1" s="17"/>
      <c r="F1" s="18"/>
    </row>
    <row r="2" spans="1:6" x14ac:dyDescent="0.25">
      <c r="A2" s="13" t="s">
        <v>119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7">
        <v>48875</v>
      </c>
      <c r="C5" s="7">
        <v>82204</v>
      </c>
      <c r="D5" s="7">
        <v>1198</v>
      </c>
      <c r="E5" s="7">
        <v>40387</v>
      </c>
      <c r="F5" s="10">
        <f>SUM(B5:E5)</f>
        <v>172664</v>
      </c>
    </row>
    <row r="6" spans="1:6" x14ac:dyDescent="0.25">
      <c r="A6" s="1" t="s">
        <v>3</v>
      </c>
      <c r="B6" s="7">
        <v>7913</v>
      </c>
      <c r="C6" s="7">
        <v>5725</v>
      </c>
      <c r="D6" s="7">
        <v>50</v>
      </c>
      <c r="E6" s="7">
        <v>1613</v>
      </c>
      <c r="F6" s="10">
        <f t="shared" ref="F6:F69" si="0">SUM(B6:E6)</f>
        <v>15301</v>
      </c>
    </row>
    <row r="7" spans="1:6" x14ac:dyDescent="0.25">
      <c r="A7" s="1" t="s">
        <v>4</v>
      </c>
      <c r="B7" s="7">
        <v>60493</v>
      </c>
      <c r="C7" s="7">
        <v>30458</v>
      </c>
      <c r="D7" s="7">
        <v>804</v>
      </c>
      <c r="E7" s="7">
        <v>24756</v>
      </c>
      <c r="F7" s="10">
        <f t="shared" si="0"/>
        <v>116511</v>
      </c>
    </row>
    <row r="8" spans="1:6" x14ac:dyDescent="0.25">
      <c r="A8" s="1" t="s">
        <v>5</v>
      </c>
      <c r="B8" s="7">
        <v>7446</v>
      </c>
      <c r="C8" s="7">
        <v>6185</v>
      </c>
      <c r="D8" s="7">
        <v>68</v>
      </c>
      <c r="E8" s="7">
        <v>2381</v>
      </c>
      <c r="F8" s="10">
        <f t="shared" si="0"/>
        <v>16080</v>
      </c>
    </row>
    <row r="9" spans="1:6" x14ac:dyDescent="0.25">
      <c r="A9" s="1" t="s">
        <v>6</v>
      </c>
      <c r="B9" s="7">
        <v>171942</v>
      </c>
      <c r="C9" s="7">
        <v>126602</v>
      </c>
      <c r="D9" s="7">
        <v>3000</v>
      </c>
      <c r="E9" s="7">
        <v>106557</v>
      </c>
      <c r="F9" s="10">
        <f t="shared" si="0"/>
        <v>408101</v>
      </c>
    </row>
    <row r="10" spans="1:6" x14ac:dyDescent="0.25">
      <c r="A10" s="1" t="s">
        <v>7</v>
      </c>
      <c r="B10" s="7">
        <v>253589</v>
      </c>
      <c r="C10" s="7">
        <v>593644</v>
      </c>
      <c r="D10" s="7">
        <v>4399</v>
      </c>
      <c r="E10" s="7">
        <v>330135</v>
      </c>
      <c r="F10" s="10">
        <f t="shared" si="0"/>
        <v>1181767</v>
      </c>
    </row>
    <row r="11" spans="1:6" x14ac:dyDescent="0.25">
      <c r="A11" s="1" t="s">
        <v>8</v>
      </c>
      <c r="B11" s="7">
        <v>2393</v>
      </c>
      <c r="C11" s="7">
        <v>5256</v>
      </c>
      <c r="D11" s="7">
        <v>25</v>
      </c>
      <c r="E11" s="7">
        <v>948</v>
      </c>
      <c r="F11" s="10">
        <f t="shared" si="0"/>
        <v>8622</v>
      </c>
    </row>
    <row r="12" spans="1:6" x14ac:dyDescent="0.25">
      <c r="A12" s="1" t="s">
        <v>9</v>
      </c>
      <c r="B12" s="7">
        <v>57904</v>
      </c>
      <c r="C12" s="7">
        <v>35773</v>
      </c>
      <c r="D12" s="7">
        <v>729</v>
      </c>
      <c r="E12" s="7">
        <v>34763</v>
      </c>
      <c r="F12" s="10">
        <f t="shared" si="0"/>
        <v>129169</v>
      </c>
    </row>
    <row r="13" spans="1:6" x14ac:dyDescent="0.25">
      <c r="A13" s="1" t="s">
        <v>10</v>
      </c>
      <c r="B13" s="7">
        <v>49336</v>
      </c>
      <c r="C13" s="7">
        <v>29187</v>
      </c>
      <c r="D13" s="7">
        <v>592</v>
      </c>
      <c r="E13" s="7">
        <v>25854</v>
      </c>
      <c r="F13" s="10">
        <f t="shared" si="0"/>
        <v>104969</v>
      </c>
    </row>
    <row r="14" spans="1:6" x14ac:dyDescent="0.25">
      <c r="A14" s="1" t="s">
        <v>11</v>
      </c>
      <c r="B14" s="7">
        <v>80561</v>
      </c>
      <c r="C14" s="7">
        <v>32691</v>
      </c>
      <c r="D14" s="7">
        <v>881</v>
      </c>
      <c r="E14" s="7">
        <v>35107</v>
      </c>
      <c r="F14" s="10">
        <f t="shared" si="0"/>
        <v>149240</v>
      </c>
    </row>
    <row r="15" spans="1:6" x14ac:dyDescent="0.25">
      <c r="A15" s="1" t="s">
        <v>12</v>
      </c>
      <c r="B15" s="7">
        <v>102913</v>
      </c>
      <c r="C15" s="7">
        <v>46848</v>
      </c>
      <c r="D15" s="7">
        <v>789</v>
      </c>
      <c r="E15" s="7">
        <v>50133</v>
      </c>
      <c r="F15" s="10">
        <f t="shared" si="0"/>
        <v>200683</v>
      </c>
    </row>
    <row r="16" spans="1:6" x14ac:dyDescent="0.25">
      <c r="A16" s="1" t="s">
        <v>13</v>
      </c>
      <c r="B16" s="7">
        <v>17311</v>
      </c>
      <c r="C16" s="7">
        <v>14412</v>
      </c>
      <c r="D16" s="7">
        <v>214</v>
      </c>
      <c r="E16" s="7">
        <v>6908</v>
      </c>
      <c r="F16" s="10">
        <f t="shared" si="0"/>
        <v>38845</v>
      </c>
    </row>
    <row r="17" spans="1:6" x14ac:dyDescent="0.25">
      <c r="A17" s="1" t="s">
        <v>14</v>
      </c>
      <c r="B17" s="7">
        <v>5334</v>
      </c>
      <c r="C17" s="7">
        <v>7368</v>
      </c>
      <c r="D17" s="7">
        <v>41</v>
      </c>
      <c r="E17" s="7">
        <v>3614</v>
      </c>
      <c r="F17" s="10">
        <f t="shared" si="0"/>
        <v>16357</v>
      </c>
    </row>
    <row r="18" spans="1:6" x14ac:dyDescent="0.25">
      <c r="A18" s="1" t="s">
        <v>15</v>
      </c>
      <c r="B18" s="7">
        <v>3768</v>
      </c>
      <c r="C18" s="7">
        <v>4582</v>
      </c>
      <c r="D18" s="7">
        <v>27</v>
      </c>
      <c r="E18" s="7">
        <v>1547</v>
      </c>
      <c r="F18" s="10">
        <f t="shared" si="0"/>
        <v>9924</v>
      </c>
    </row>
    <row r="19" spans="1:6" x14ac:dyDescent="0.25">
      <c r="A19" s="1" t="s">
        <v>16</v>
      </c>
      <c r="B19" s="7">
        <v>216363</v>
      </c>
      <c r="C19" s="7">
        <v>235861</v>
      </c>
      <c r="D19" s="7">
        <v>3604</v>
      </c>
      <c r="E19" s="7">
        <v>124189</v>
      </c>
      <c r="F19" s="10">
        <f t="shared" si="0"/>
        <v>580017</v>
      </c>
    </row>
    <row r="20" spans="1:6" x14ac:dyDescent="0.25">
      <c r="A20" s="1" t="s">
        <v>17</v>
      </c>
      <c r="B20" s="7">
        <v>92359</v>
      </c>
      <c r="C20" s="7">
        <v>70067</v>
      </c>
      <c r="D20" s="7">
        <v>1217</v>
      </c>
      <c r="E20" s="7">
        <v>41471</v>
      </c>
      <c r="F20" s="10">
        <f t="shared" si="0"/>
        <v>205114</v>
      </c>
    </row>
    <row r="21" spans="1:6" x14ac:dyDescent="0.25">
      <c r="A21" s="1" t="s">
        <v>18</v>
      </c>
      <c r="B21" s="7">
        <v>32055</v>
      </c>
      <c r="C21" s="7">
        <v>24594</v>
      </c>
      <c r="D21" s="7">
        <v>355</v>
      </c>
      <c r="E21" s="7">
        <v>22006</v>
      </c>
      <c r="F21" s="10">
        <f t="shared" si="0"/>
        <v>79010</v>
      </c>
    </row>
    <row r="22" spans="1:6" x14ac:dyDescent="0.25">
      <c r="A22" s="1" t="s">
        <v>19</v>
      </c>
      <c r="B22" s="7">
        <v>2444</v>
      </c>
      <c r="C22" s="7">
        <v>4136</v>
      </c>
      <c r="D22" s="7">
        <v>77</v>
      </c>
      <c r="E22" s="7">
        <v>983</v>
      </c>
      <c r="F22" s="10">
        <f t="shared" si="0"/>
        <v>7640</v>
      </c>
    </row>
    <row r="23" spans="1:6" x14ac:dyDescent="0.25">
      <c r="A23" s="1" t="s">
        <v>20</v>
      </c>
      <c r="B23" s="7">
        <v>4595</v>
      </c>
      <c r="C23" s="7">
        <v>22256</v>
      </c>
      <c r="D23" s="7">
        <v>62</v>
      </c>
      <c r="E23" s="7">
        <v>2704</v>
      </c>
      <c r="F23" s="10">
        <f t="shared" si="0"/>
        <v>29617</v>
      </c>
    </row>
    <row r="24" spans="1:6" x14ac:dyDescent="0.25">
      <c r="A24" s="1" t="s">
        <v>21</v>
      </c>
      <c r="B24" s="7">
        <v>6222</v>
      </c>
      <c r="C24" s="7">
        <v>3415</v>
      </c>
      <c r="D24" s="7">
        <v>53</v>
      </c>
      <c r="E24" s="7">
        <v>1715</v>
      </c>
      <c r="F24" s="10">
        <f t="shared" si="0"/>
        <v>11405</v>
      </c>
    </row>
    <row r="25" spans="1:6" x14ac:dyDescent="0.25">
      <c r="A25" s="1" t="s">
        <v>22</v>
      </c>
      <c r="B25" s="7">
        <v>2519</v>
      </c>
      <c r="C25" s="7">
        <v>2939</v>
      </c>
      <c r="D25" s="7">
        <v>23</v>
      </c>
      <c r="E25" s="7">
        <v>1203</v>
      </c>
      <c r="F25" s="10">
        <f t="shared" si="0"/>
        <v>6684</v>
      </c>
    </row>
    <row r="26" spans="1:6" x14ac:dyDescent="0.25">
      <c r="A26" s="1" t="s">
        <v>23</v>
      </c>
      <c r="B26" s="7">
        <v>4643</v>
      </c>
      <c r="C26" s="7">
        <v>4001</v>
      </c>
      <c r="D26" s="7">
        <v>58</v>
      </c>
      <c r="E26" s="7">
        <v>1157</v>
      </c>
      <c r="F26" s="10">
        <f t="shared" si="0"/>
        <v>9859</v>
      </c>
    </row>
    <row r="27" spans="1:6" x14ac:dyDescent="0.25">
      <c r="A27" s="1" t="s">
        <v>24</v>
      </c>
      <c r="B27" s="7">
        <v>2291</v>
      </c>
      <c r="C27" s="7">
        <v>4367</v>
      </c>
      <c r="D27" s="7">
        <v>22</v>
      </c>
      <c r="E27" s="7">
        <v>923</v>
      </c>
      <c r="F27" s="10">
        <f t="shared" si="0"/>
        <v>7603</v>
      </c>
    </row>
    <row r="28" spans="1:6" x14ac:dyDescent="0.25">
      <c r="A28" s="1" t="s">
        <v>25</v>
      </c>
      <c r="B28" s="7">
        <v>5114</v>
      </c>
      <c r="C28" s="7">
        <v>4631</v>
      </c>
      <c r="D28" s="7">
        <v>127</v>
      </c>
      <c r="E28" s="7">
        <v>2085</v>
      </c>
      <c r="F28" s="10">
        <f t="shared" si="0"/>
        <v>11957</v>
      </c>
    </row>
    <row r="29" spans="1:6" x14ac:dyDescent="0.25">
      <c r="A29" s="1" t="s">
        <v>26</v>
      </c>
      <c r="B29" s="7">
        <v>6138</v>
      </c>
      <c r="C29" s="7">
        <v>7877</v>
      </c>
      <c r="D29" s="7">
        <v>56</v>
      </c>
      <c r="E29" s="7">
        <v>3195</v>
      </c>
      <c r="F29" s="10">
        <f t="shared" si="0"/>
        <v>17266</v>
      </c>
    </row>
    <row r="30" spans="1:6" x14ac:dyDescent="0.25">
      <c r="A30" s="1" t="s">
        <v>27</v>
      </c>
      <c r="B30" s="7">
        <v>53510</v>
      </c>
      <c r="C30" s="7">
        <v>42052</v>
      </c>
      <c r="D30" s="7">
        <v>804</v>
      </c>
      <c r="E30" s="7">
        <v>34505</v>
      </c>
      <c r="F30" s="10">
        <f t="shared" si="0"/>
        <v>130871</v>
      </c>
    </row>
    <row r="31" spans="1:6" x14ac:dyDescent="0.25">
      <c r="A31" s="1" t="s">
        <v>28</v>
      </c>
      <c r="B31" s="7">
        <v>26856</v>
      </c>
      <c r="C31" s="7">
        <v>18347</v>
      </c>
      <c r="D31" s="7">
        <v>188</v>
      </c>
      <c r="E31" s="7">
        <v>13315</v>
      </c>
      <c r="F31" s="10">
        <f t="shared" si="0"/>
        <v>58706</v>
      </c>
    </row>
    <row r="32" spans="1:6" x14ac:dyDescent="0.25">
      <c r="A32" s="1" t="s">
        <v>29</v>
      </c>
      <c r="B32" s="7">
        <v>261478</v>
      </c>
      <c r="C32" s="7">
        <v>320782</v>
      </c>
      <c r="D32" s="7">
        <v>4770</v>
      </c>
      <c r="E32" s="7">
        <v>235753</v>
      </c>
      <c r="F32" s="10">
        <f t="shared" si="0"/>
        <v>822783</v>
      </c>
    </row>
    <row r="33" spans="1:6" x14ac:dyDescent="0.25">
      <c r="A33" s="1" t="s">
        <v>30</v>
      </c>
      <c r="B33" s="7">
        <v>5912</v>
      </c>
      <c r="C33" s="7">
        <v>3416</v>
      </c>
      <c r="D33" s="7">
        <v>21</v>
      </c>
      <c r="E33" s="7">
        <v>1125</v>
      </c>
      <c r="F33" s="10">
        <f t="shared" si="0"/>
        <v>10474</v>
      </c>
    </row>
    <row r="34" spans="1:6" x14ac:dyDescent="0.25">
      <c r="A34" s="1" t="s">
        <v>31</v>
      </c>
      <c r="B34" s="7">
        <v>50549</v>
      </c>
      <c r="C34" s="7">
        <v>29462</v>
      </c>
      <c r="D34" s="7">
        <v>581</v>
      </c>
      <c r="E34" s="7">
        <v>28637</v>
      </c>
      <c r="F34" s="10">
        <f t="shared" si="0"/>
        <v>109229</v>
      </c>
    </row>
    <row r="35" spans="1:6" x14ac:dyDescent="0.25">
      <c r="A35" s="1" t="s">
        <v>32</v>
      </c>
      <c r="B35" s="7">
        <v>9785</v>
      </c>
      <c r="C35" s="7">
        <v>14604</v>
      </c>
      <c r="D35" s="7">
        <v>64</v>
      </c>
      <c r="E35" s="7">
        <v>2799</v>
      </c>
      <c r="F35" s="10">
        <f t="shared" si="0"/>
        <v>27252</v>
      </c>
    </row>
    <row r="36" spans="1:6" x14ac:dyDescent="0.25">
      <c r="A36" s="1" t="s">
        <v>33</v>
      </c>
      <c r="B36" s="7">
        <v>2829</v>
      </c>
      <c r="C36" s="7">
        <v>5609</v>
      </c>
      <c r="D36" s="7">
        <v>24</v>
      </c>
      <c r="E36" s="7">
        <v>1066</v>
      </c>
      <c r="F36" s="10">
        <f t="shared" si="0"/>
        <v>9528</v>
      </c>
    </row>
    <row r="37" spans="1:6" x14ac:dyDescent="0.25">
      <c r="A37" s="1" t="s">
        <v>34</v>
      </c>
      <c r="B37" s="7">
        <v>1537</v>
      </c>
      <c r="C37" s="7">
        <v>2450</v>
      </c>
      <c r="D37" s="7">
        <v>11</v>
      </c>
      <c r="E37" s="7">
        <v>299</v>
      </c>
      <c r="F37" s="10">
        <f t="shared" si="0"/>
        <v>4297</v>
      </c>
    </row>
    <row r="38" spans="1:6" x14ac:dyDescent="0.25">
      <c r="A38" s="1" t="s">
        <v>35</v>
      </c>
      <c r="B38" s="7">
        <v>98758</v>
      </c>
      <c r="C38" s="7">
        <v>68870</v>
      </c>
      <c r="D38" s="7">
        <v>900</v>
      </c>
      <c r="E38" s="7">
        <v>55768</v>
      </c>
      <c r="F38" s="10">
        <f t="shared" si="0"/>
        <v>224296</v>
      </c>
    </row>
    <row r="39" spans="1:6" x14ac:dyDescent="0.25">
      <c r="A39" s="1" t="s">
        <v>36</v>
      </c>
      <c r="B39" s="7">
        <v>187464</v>
      </c>
      <c r="C39" s="7">
        <v>117222</v>
      </c>
      <c r="D39" s="7">
        <v>1808</v>
      </c>
      <c r="E39" s="7">
        <v>127016</v>
      </c>
      <c r="F39" s="10">
        <f t="shared" si="0"/>
        <v>433510</v>
      </c>
    </row>
    <row r="40" spans="1:6" x14ac:dyDescent="0.25">
      <c r="A40" s="1" t="s">
        <v>37</v>
      </c>
      <c r="B40" s="7">
        <v>57139</v>
      </c>
      <c r="C40" s="7">
        <v>108104</v>
      </c>
      <c r="D40" s="7">
        <v>1124</v>
      </c>
      <c r="E40" s="7">
        <v>39638</v>
      </c>
      <c r="F40" s="10">
        <f t="shared" si="0"/>
        <v>206005</v>
      </c>
    </row>
    <row r="41" spans="1:6" x14ac:dyDescent="0.25">
      <c r="A41" s="1" t="s">
        <v>38</v>
      </c>
      <c r="B41" s="7">
        <v>12550</v>
      </c>
      <c r="C41" s="7">
        <v>9221</v>
      </c>
      <c r="D41" s="7">
        <v>403</v>
      </c>
      <c r="E41" s="7">
        <v>4852</v>
      </c>
      <c r="F41" s="10">
        <f t="shared" si="0"/>
        <v>27026</v>
      </c>
    </row>
    <row r="42" spans="1:6" x14ac:dyDescent="0.25">
      <c r="A42" s="1" t="s">
        <v>39</v>
      </c>
      <c r="B42" s="7">
        <v>755</v>
      </c>
      <c r="C42" s="7">
        <v>3205</v>
      </c>
      <c r="D42" s="7">
        <v>5</v>
      </c>
      <c r="E42" s="7">
        <v>351</v>
      </c>
      <c r="F42" s="10">
        <f t="shared" si="0"/>
        <v>4316</v>
      </c>
    </row>
    <row r="43" spans="1:6" x14ac:dyDescent="0.25">
      <c r="A43" s="1" t="s">
        <v>40</v>
      </c>
      <c r="B43" s="7">
        <v>3339</v>
      </c>
      <c r="C43" s="7">
        <v>7040</v>
      </c>
      <c r="D43" s="7">
        <v>31</v>
      </c>
      <c r="E43" s="7">
        <v>1266</v>
      </c>
      <c r="F43" s="10">
        <f t="shared" si="0"/>
        <v>11676</v>
      </c>
    </row>
    <row r="44" spans="1:6" x14ac:dyDescent="0.25">
      <c r="A44" s="1" t="s">
        <v>41</v>
      </c>
      <c r="B44" s="7">
        <v>101471</v>
      </c>
      <c r="C44" s="7">
        <v>71359</v>
      </c>
      <c r="D44" s="7">
        <v>1133</v>
      </c>
      <c r="E44" s="7">
        <v>60012</v>
      </c>
      <c r="F44" s="10">
        <f t="shared" si="0"/>
        <v>233975</v>
      </c>
    </row>
    <row r="45" spans="1:6" x14ac:dyDescent="0.25">
      <c r="A45" s="1" t="s">
        <v>42</v>
      </c>
      <c r="B45" s="7">
        <v>103211</v>
      </c>
      <c r="C45" s="7">
        <v>77388</v>
      </c>
      <c r="D45" s="7">
        <v>1106</v>
      </c>
      <c r="E45" s="7">
        <v>51609</v>
      </c>
      <c r="F45" s="10">
        <f t="shared" si="0"/>
        <v>233314</v>
      </c>
    </row>
    <row r="46" spans="1:6" x14ac:dyDescent="0.25">
      <c r="A46" s="1" t="s">
        <v>43</v>
      </c>
      <c r="B46" s="7">
        <v>55499</v>
      </c>
      <c r="C46" s="7">
        <v>27883</v>
      </c>
      <c r="D46" s="7">
        <v>598</v>
      </c>
      <c r="E46" s="7">
        <v>27356</v>
      </c>
      <c r="F46" s="10">
        <f t="shared" si="0"/>
        <v>111336</v>
      </c>
    </row>
    <row r="47" spans="1:6" x14ac:dyDescent="0.25">
      <c r="A47" s="1" t="s">
        <v>44</v>
      </c>
      <c r="B47" s="7">
        <v>367244</v>
      </c>
      <c r="C47" s="7">
        <v>579011</v>
      </c>
      <c r="D47" s="7">
        <v>4112</v>
      </c>
      <c r="E47" s="7">
        <v>426322</v>
      </c>
      <c r="F47" s="10">
        <f t="shared" si="0"/>
        <v>1376689</v>
      </c>
    </row>
    <row r="48" spans="1:6" x14ac:dyDescent="0.25">
      <c r="A48" s="1" t="s">
        <v>45</v>
      </c>
      <c r="B48" s="7">
        <v>21540</v>
      </c>
      <c r="C48" s="7">
        <v>17809</v>
      </c>
      <c r="D48" s="7">
        <v>454</v>
      </c>
      <c r="E48" s="7">
        <v>15657</v>
      </c>
      <c r="F48" s="10">
        <f t="shared" si="0"/>
        <v>55460</v>
      </c>
    </row>
    <row r="49" spans="1:6" x14ac:dyDescent="0.25">
      <c r="A49" s="1" t="s">
        <v>46</v>
      </c>
      <c r="B49" s="7">
        <v>37142</v>
      </c>
      <c r="C49" s="7">
        <v>14223</v>
      </c>
      <c r="D49" s="7">
        <v>431</v>
      </c>
      <c r="E49" s="7">
        <v>12877</v>
      </c>
      <c r="F49" s="10">
        <f t="shared" si="0"/>
        <v>64673</v>
      </c>
    </row>
    <row r="50" spans="1:6" x14ac:dyDescent="0.25">
      <c r="A50" s="1" t="s">
        <v>47</v>
      </c>
      <c r="B50" s="7">
        <v>75469</v>
      </c>
      <c r="C50" s="7">
        <v>24357</v>
      </c>
      <c r="D50" s="7">
        <v>1012</v>
      </c>
      <c r="E50" s="7">
        <v>28670</v>
      </c>
      <c r="F50" s="10">
        <f t="shared" si="0"/>
        <v>129508</v>
      </c>
    </row>
    <row r="51" spans="1:6" x14ac:dyDescent="0.25">
      <c r="A51" s="1" t="s">
        <v>48</v>
      </c>
      <c r="B51" s="7">
        <v>8578</v>
      </c>
      <c r="C51" s="7">
        <v>7355</v>
      </c>
      <c r="D51" s="7">
        <v>100</v>
      </c>
      <c r="E51" s="7">
        <v>3861</v>
      </c>
      <c r="F51" s="10">
        <f t="shared" si="0"/>
        <v>19894</v>
      </c>
    </row>
    <row r="52" spans="1:6" x14ac:dyDescent="0.25">
      <c r="A52" s="1" t="s">
        <v>49</v>
      </c>
      <c r="B52" s="7">
        <v>216162</v>
      </c>
      <c r="C52" s="7">
        <v>339148</v>
      </c>
      <c r="D52" s="7">
        <v>4193</v>
      </c>
      <c r="E52" s="7">
        <v>244647</v>
      </c>
      <c r="F52" s="10">
        <f t="shared" si="0"/>
        <v>804150</v>
      </c>
    </row>
    <row r="53" spans="1:6" x14ac:dyDescent="0.25">
      <c r="A53" s="1" t="s">
        <v>50</v>
      </c>
      <c r="B53" s="7">
        <v>47134</v>
      </c>
      <c r="C53" s="7">
        <v>86846</v>
      </c>
      <c r="D53" s="7">
        <v>663</v>
      </c>
      <c r="E53" s="7">
        <v>68294</v>
      </c>
      <c r="F53" s="10">
        <f t="shared" si="0"/>
        <v>202937</v>
      </c>
    </row>
    <row r="54" spans="1:6" x14ac:dyDescent="0.25">
      <c r="A54" s="1" t="s">
        <v>51</v>
      </c>
      <c r="B54" s="7">
        <v>258811</v>
      </c>
      <c r="C54" s="7">
        <v>385073</v>
      </c>
      <c r="D54" s="7">
        <v>4732</v>
      </c>
      <c r="E54" s="7">
        <v>264737</v>
      </c>
      <c r="F54" s="10">
        <f t="shared" si="0"/>
        <v>913353</v>
      </c>
    </row>
    <row r="55" spans="1:6" x14ac:dyDescent="0.25">
      <c r="A55" s="1" t="s">
        <v>52</v>
      </c>
      <c r="B55" s="7">
        <v>131344</v>
      </c>
      <c r="C55" s="7">
        <v>106052</v>
      </c>
      <c r="D55" s="7">
        <v>2044</v>
      </c>
      <c r="E55" s="7">
        <v>98384</v>
      </c>
      <c r="F55" s="10">
        <f t="shared" si="0"/>
        <v>337824</v>
      </c>
    </row>
    <row r="56" spans="1:6" x14ac:dyDescent="0.25">
      <c r="A56" s="1" t="s">
        <v>53</v>
      </c>
      <c r="B56" s="7">
        <v>228112</v>
      </c>
      <c r="C56" s="7">
        <v>226752</v>
      </c>
      <c r="D56" s="7">
        <v>4247</v>
      </c>
      <c r="E56" s="7">
        <v>181497</v>
      </c>
      <c r="F56" s="10">
        <f t="shared" si="0"/>
        <v>640608</v>
      </c>
    </row>
    <row r="57" spans="1:6" x14ac:dyDescent="0.25">
      <c r="A57" s="1" t="s">
        <v>54</v>
      </c>
      <c r="B57" s="7">
        <v>144167</v>
      </c>
      <c r="C57" s="7">
        <v>143952</v>
      </c>
      <c r="D57" s="7">
        <v>2008</v>
      </c>
      <c r="E57" s="7">
        <v>112503</v>
      </c>
      <c r="F57" s="10">
        <f t="shared" si="0"/>
        <v>402630</v>
      </c>
    </row>
    <row r="58" spans="1:6" x14ac:dyDescent="0.25">
      <c r="A58" s="1" t="s">
        <v>55</v>
      </c>
      <c r="B58" s="7">
        <v>18009</v>
      </c>
      <c r="C58" s="7">
        <v>19135</v>
      </c>
      <c r="D58" s="7">
        <v>188</v>
      </c>
      <c r="E58" s="7">
        <v>8810</v>
      </c>
      <c r="F58" s="10">
        <f t="shared" si="0"/>
        <v>46142</v>
      </c>
    </row>
    <row r="59" spans="1:6" x14ac:dyDescent="0.25">
      <c r="A59" s="1" t="s">
        <v>56</v>
      </c>
      <c r="B59" s="7">
        <v>74732</v>
      </c>
      <c r="C59" s="7">
        <v>24869</v>
      </c>
      <c r="D59" s="7">
        <v>970</v>
      </c>
      <c r="E59" s="7">
        <v>26766</v>
      </c>
      <c r="F59" s="10">
        <f t="shared" si="0"/>
        <v>127337</v>
      </c>
    </row>
    <row r="60" spans="1:6" x14ac:dyDescent="0.25">
      <c r="A60" s="1" t="s">
        <v>57</v>
      </c>
      <c r="B60" s="7">
        <v>130795</v>
      </c>
      <c r="C60" s="7">
        <v>92899</v>
      </c>
      <c r="D60" s="7">
        <v>1682</v>
      </c>
      <c r="E60" s="7">
        <v>80617</v>
      </c>
      <c r="F60" s="10">
        <f t="shared" si="0"/>
        <v>305993</v>
      </c>
    </row>
    <row r="61" spans="1:6" x14ac:dyDescent="0.25">
      <c r="A61" s="1" t="s">
        <v>58</v>
      </c>
      <c r="B61" s="7">
        <v>108449</v>
      </c>
      <c r="C61" s="7">
        <v>96498</v>
      </c>
      <c r="D61" s="7">
        <v>1627</v>
      </c>
      <c r="E61" s="7">
        <v>80694</v>
      </c>
      <c r="F61" s="10">
        <f t="shared" si="0"/>
        <v>287268</v>
      </c>
    </row>
    <row r="62" spans="1:6" x14ac:dyDescent="0.25">
      <c r="A62" s="1" t="s">
        <v>59</v>
      </c>
      <c r="B62" s="7">
        <v>94312</v>
      </c>
      <c r="C62" s="7">
        <v>41593</v>
      </c>
      <c r="D62" s="7">
        <v>1234</v>
      </c>
      <c r="E62" s="7">
        <v>41041</v>
      </c>
      <c r="F62" s="10">
        <f t="shared" si="0"/>
        <v>178180</v>
      </c>
    </row>
    <row r="63" spans="1:6" x14ac:dyDescent="0.25">
      <c r="A63" s="1" t="s">
        <v>60</v>
      </c>
      <c r="B63" s="7">
        <v>62809</v>
      </c>
      <c r="C63" s="7">
        <v>77612</v>
      </c>
      <c r="D63" s="7">
        <v>795</v>
      </c>
      <c r="E63" s="7">
        <v>53580</v>
      </c>
      <c r="F63" s="10">
        <f t="shared" si="0"/>
        <v>194796</v>
      </c>
    </row>
    <row r="64" spans="1:6" x14ac:dyDescent="0.25">
      <c r="A64" s="1" t="s">
        <v>61</v>
      </c>
      <c r="B64" s="7">
        <v>49714</v>
      </c>
      <c r="C64" s="7">
        <v>22981</v>
      </c>
      <c r="D64" s="7">
        <v>307</v>
      </c>
      <c r="E64" s="7">
        <v>19285</v>
      </c>
      <c r="F64" s="10">
        <f t="shared" si="0"/>
        <v>92287</v>
      </c>
    </row>
    <row r="65" spans="1:6" x14ac:dyDescent="0.25">
      <c r="A65" s="1" t="s">
        <v>62</v>
      </c>
      <c r="B65" s="7">
        <v>11270</v>
      </c>
      <c r="C65" s="7">
        <v>10014</v>
      </c>
      <c r="D65" s="7">
        <v>139</v>
      </c>
      <c r="E65" s="7">
        <v>3820</v>
      </c>
      <c r="F65" s="10">
        <f t="shared" si="0"/>
        <v>25243</v>
      </c>
    </row>
    <row r="66" spans="1:6" x14ac:dyDescent="0.25">
      <c r="A66" s="1" t="s">
        <v>63</v>
      </c>
      <c r="B66" s="7">
        <v>4389</v>
      </c>
      <c r="C66" s="7">
        <v>6607</v>
      </c>
      <c r="D66" s="7">
        <v>72</v>
      </c>
      <c r="E66" s="7">
        <v>1167</v>
      </c>
      <c r="F66" s="10">
        <f t="shared" si="0"/>
        <v>12235</v>
      </c>
    </row>
    <row r="67" spans="1:6" x14ac:dyDescent="0.25">
      <c r="A67" s="1" t="s">
        <v>64</v>
      </c>
      <c r="B67" s="7">
        <v>3059</v>
      </c>
      <c r="C67" s="7">
        <v>3395</v>
      </c>
      <c r="D67" s="7">
        <v>20</v>
      </c>
      <c r="E67" s="7">
        <v>753</v>
      </c>
      <c r="F67" s="10">
        <f t="shared" si="0"/>
        <v>7227</v>
      </c>
    </row>
    <row r="68" spans="1:6" x14ac:dyDescent="0.25">
      <c r="A68" s="1" t="s">
        <v>65</v>
      </c>
      <c r="B68" s="7">
        <v>130086</v>
      </c>
      <c r="C68" s="7">
        <v>126085</v>
      </c>
      <c r="D68" s="7">
        <v>2011</v>
      </c>
      <c r="E68" s="7">
        <v>108172</v>
      </c>
      <c r="F68" s="10">
        <f t="shared" si="0"/>
        <v>366354</v>
      </c>
    </row>
    <row r="69" spans="1:6" x14ac:dyDescent="0.25">
      <c r="A69" s="1" t="s">
        <v>66</v>
      </c>
      <c r="B69" s="7">
        <v>8028</v>
      </c>
      <c r="C69" s="7">
        <v>8504</v>
      </c>
      <c r="D69" s="7">
        <v>89</v>
      </c>
      <c r="E69" s="7">
        <v>3380</v>
      </c>
      <c r="F69" s="10">
        <f t="shared" si="0"/>
        <v>20001</v>
      </c>
    </row>
    <row r="70" spans="1:6" x14ac:dyDescent="0.25">
      <c r="A70" s="1" t="s">
        <v>67</v>
      </c>
      <c r="B70" s="7">
        <v>28281</v>
      </c>
      <c r="C70" s="7">
        <v>9609</v>
      </c>
      <c r="D70" s="7">
        <v>295</v>
      </c>
      <c r="E70" s="7">
        <v>9609</v>
      </c>
      <c r="F70" s="10">
        <f t="shared" ref="F70:F71" si="1">SUM(B70:E70)</f>
        <v>47794</v>
      </c>
    </row>
    <row r="71" spans="1:6" ht="15.75" thickBot="1" x14ac:dyDescent="0.3">
      <c r="A71" s="1" t="s">
        <v>68</v>
      </c>
      <c r="B71" s="7">
        <v>7909</v>
      </c>
      <c r="C71" s="7">
        <v>5478</v>
      </c>
      <c r="D71" s="7">
        <v>59</v>
      </c>
      <c r="E71" s="7">
        <v>2161</v>
      </c>
      <c r="F71" s="10">
        <f t="shared" si="1"/>
        <v>15607</v>
      </c>
    </row>
    <row r="72" spans="1:6" ht="16.5" thickTop="1" thickBot="1" x14ac:dyDescent="0.3">
      <c r="A72" s="3" t="s">
        <v>1</v>
      </c>
      <c r="B72" s="8">
        <f>SUM(B5:B71)</f>
        <v>4544708</v>
      </c>
      <c r="C72" s="8">
        <f>SUM(C5:C71)</f>
        <v>4807950</v>
      </c>
      <c r="D72" s="8">
        <f>SUM(D5:D71)</f>
        <v>65526</v>
      </c>
      <c r="E72" s="8">
        <f>SUM(E5:E71)</f>
        <v>3449005</v>
      </c>
      <c r="F72" s="8">
        <f>SUM(F5:F71)</f>
        <v>12867189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29" sqref="F29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100</v>
      </c>
      <c r="B1" s="17"/>
      <c r="C1" s="17"/>
      <c r="D1" s="17"/>
      <c r="E1" s="17"/>
      <c r="F1" s="18"/>
    </row>
    <row r="2" spans="1:6" x14ac:dyDescent="0.25">
      <c r="A2" s="13" t="s">
        <v>80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February!B5-January!B5</f>
        <v>138</v>
      </c>
      <c r="C5" s="11">
        <f>February!C5-January!C5</f>
        <v>105</v>
      </c>
      <c r="D5" s="11">
        <f>February!D5-January!D5</f>
        <v>-2654</v>
      </c>
      <c r="E5" s="11">
        <f>February!E5-January!E5</f>
        <v>2613</v>
      </c>
      <c r="F5" s="10">
        <f>SUM(B5:E5)</f>
        <v>202</v>
      </c>
    </row>
    <row r="6" spans="1:6" x14ac:dyDescent="0.25">
      <c r="A6" s="1" t="s">
        <v>3</v>
      </c>
      <c r="B6" s="11">
        <f>February!B6-January!B6</f>
        <v>63</v>
      </c>
      <c r="C6" s="11">
        <f>February!C6-January!C6</f>
        <v>-18</v>
      </c>
      <c r="D6" s="11">
        <f>February!D6-January!D6</f>
        <v>-140</v>
      </c>
      <c r="E6" s="11">
        <f>February!E6-January!E6</f>
        <v>115</v>
      </c>
      <c r="F6" s="10">
        <f t="shared" ref="F6:F69" si="0">SUM(B6:E6)</f>
        <v>20</v>
      </c>
    </row>
    <row r="7" spans="1:6" x14ac:dyDescent="0.25">
      <c r="A7" s="1" t="s">
        <v>4</v>
      </c>
      <c r="B7" s="11">
        <f>February!B7-January!B7</f>
        <v>-290</v>
      </c>
      <c r="C7" s="11">
        <f>February!C7-January!C7</f>
        <v>-184</v>
      </c>
      <c r="D7" s="11">
        <f>February!D7-January!D7</f>
        <v>16</v>
      </c>
      <c r="E7" s="11">
        <f>February!E7-January!E7</f>
        <v>-179</v>
      </c>
      <c r="F7" s="10">
        <f t="shared" si="0"/>
        <v>-637</v>
      </c>
    </row>
    <row r="8" spans="1:6" x14ac:dyDescent="0.25">
      <c r="A8" s="1" t="s">
        <v>5</v>
      </c>
      <c r="B8" s="11">
        <f>February!B8-January!B8</f>
        <v>18</v>
      </c>
      <c r="C8" s="11">
        <f>February!C8-January!C8</f>
        <v>-13</v>
      </c>
      <c r="D8" s="11">
        <f>February!D8-January!D8</f>
        <v>-144</v>
      </c>
      <c r="E8" s="11">
        <f>February!E8-January!E8</f>
        <v>164</v>
      </c>
      <c r="F8" s="10">
        <f t="shared" si="0"/>
        <v>25</v>
      </c>
    </row>
    <row r="9" spans="1:6" x14ac:dyDescent="0.25">
      <c r="A9" s="1" t="s">
        <v>6</v>
      </c>
      <c r="B9" s="11">
        <f>February!B9-January!B9</f>
        <v>461</v>
      </c>
      <c r="C9" s="11">
        <f>February!C9-January!C9</f>
        <v>131</v>
      </c>
      <c r="D9" s="11">
        <f>February!D9-January!D9</f>
        <v>80</v>
      </c>
      <c r="E9" s="11">
        <f>February!E9-January!E9</f>
        <v>400</v>
      </c>
      <c r="F9" s="10">
        <f t="shared" si="0"/>
        <v>1072</v>
      </c>
    </row>
    <row r="10" spans="1:6" x14ac:dyDescent="0.25">
      <c r="A10" s="1" t="s">
        <v>7</v>
      </c>
      <c r="B10" s="11">
        <f>February!B10-January!B10</f>
        <v>-865</v>
      </c>
      <c r="C10" s="11">
        <f>February!C10-January!C10</f>
        <v>-2515</v>
      </c>
      <c r="D10" s="11">
        <f>February!D10-January!D10</f>
        <v>-13331</v>
      </c>
      <c r="E10" s="11">
        <f>February!E10-January!E10</f>
        <v>12395</v>
      </c>
      <c r="F10" s="10">
        <f t="shared" si="0"/>
        <v>-4316</v>
      </c>
    </row>
    <row r="11" spans="1:6" x14ac:dyDescent="0.25">
      <c r="A11" s="1" t="s">
        <v>8</v>
      </c>
      <c r="B11" s="11">
        <f>February!B11-January!B11</f>
        <v>14</v>
      </c>
      <c r="C11" s="11">
        <f>February!C11-January!C11</f>
        <v>-48</v>
      </c>
      <c r="D11" s="11">
        <f>February!D11-January!D11</f>
        <v>0</v>
      </c>
      <c r="E11" s="11">
        <f>February!E11-January!E11</f>
        <v>-2</v>
      </c>
      <c r="F11" s="10">
        <f t="shared" si="0"/>
        <v>-36</v>
      </c>
    </row>
    <row r="12" spans="1:6" x14ac:dyDescent="0.25">
      <c r="A12" s="1" t="s">
        <v>9</v>
      </c>
      <c r="B12" s="11">
        <f>February!B12-January!B12</f>
        <v>626</v>
      </c>
      <c r="C12" s="11">
        <f>February!C12-January!C12</f>
        <v>304</v>
      </c>
      <c r="D12" s="11">
        <f>February!D12-January!D12</f>
        <v>-4360</v>
      </c>
      <c r="E12" s="11">
        <f>February!E12-January!E12</f>
        <v>3875</v>
      </c>
      <c r="F12" s="10">
        <f t="shared" si="0"/>
        <v>445</v>
      </c>
    </row>
    <row r="13" spans="1:6" x14ac:dyDescent="0.25">
      <c r="A13" s="1" t="s">
        <v>10</v>
      </c>
      <c r="B13" s="11">
        <f>February!B13-January!B13</f>
        <v>284</v>
      </c>
      <c r="C13" s="11">
        <f>February!C13-January!C13</f>
        <v>73</v>
      </c>
      <c r="D13" s="11">
        <f>February!D13-January!D13</f>
        <v>16</v>
      </c>
      <c r="E13" s="11">
        <f>February!E13-January!E13</f>
        <v>16</v>
      </c>
      <c r="F13" s="10">
        <f t="shared" si="0"/>
        <v>389</v>
      </c>
    </row>
    <row r="14" spans="1:6" x14ac:dyDescent="0.25">
      <c r="A14" s="1" t="s">
        <v>11</v>
      </c>
      <c r="B14" s="11">
        <f>February!B14-January!B14</f>
        <v>118</v>
      </c>
      <c r="C14" s="11">
        <f>February!C14-January!C14</f>
        <v>115</v>
      </c>
      <c r="D14" s="11">
        <f>February!D14-January!D14</f>
        <v>28</v>
      </c>
      <c r="E14" s="11">
        <f>February!E14-January!E14</f>
        <v>50</v>
      </c>
      <c r="F14" s="10">
        <f t="shared" si="0"/>
        <v>311</v>
      </c>
    </row>
    <row r="15" spans="1:6" x14ac:dyDescent="0.25">
      <c r="A15" s="1" t="s">
        <v>12</v>
      </c>
      <c r="B15" s="11">
        <f>February!B15-January!B15</f>
        <v>284</v>
      </c>
      <c r="C15" s="11">
        <f>February!C15-January!C15</f>
        <v>114</v>
      </c>
      <c r="D15" s="11">
        <f>February!D15-January!D15</f>
        <v>15</v>
      </c>
      <c r="E15" s="11">
        <f>February!E15-January!E15</f>
        <v>-178</v>
      </c>
      <c r="F15" s="10">
        <f t="shared" si="0"/>
        <v>235</v>
      </c>
    </row>
    <row r="16" spans="1:6" x14ac:dyDescent="0.25">
      <c r="A16" s="1" t="s">
        <v>13</v>
      </c>
      <c r="B16" s="11">
        <f>February!B16-January!B16</f>
        <v>95</v>
      </c>
      <c r="C16" s="11">
        <f>February!C16-January!C16</f>
        <v>-25</v>
      </c>
      <c r="D16" s="11">
        <f>February!D16-January!D16</f>
        <v>-703</v>
      </c>
      <c r="E16" s="11">
        <f>February!E16-January!E16</f>
        <v>672</v>
      </c>
      <c r="F16" s="10">
        <f t="shared" si="0"/>
        <v>39</v>
      </c>
    </row>
    <row r="17" spans="1:6" x14ac:dyDescent="0.25">
      <c r="A17" s="1" t="s">
        <v>14</v>
      </c>
      <c r="B17" s="11">
        <f>February!B17-January!B17</f>
        <v>20</v>
      </c>
      <c r="C17" s="11">
        <f>February!C17-January!C17</f>
        <v>-20</v>
      </c>
      <c r="D17" s="11">
        <f>February!D17-January!D17</f>
        <v>3</v>
      </c>
      <c r="E17" s="11">
        <f>February!E17-January!E17</f>
        <v>22</v>
      </c>
      <c r="F17" s="10">
        <f t="shared" si="0"/>
        <v>25</v>
      </c>
    </row>
    <row r="18" spans="1:6" x14ac:dyDescent="0.25">
      <c r="A18" s="1" t="s">
        <v>15</v>
      </c>
      <c r="B18" s="11">
        <f>February!B18-January!B18</f>
        <v>30</v>
      </c>
      <c r="C18" s="11">
        <f>February!C18-January!C18</f>
        <v>-8</v>
      </c>
      <c r="D18" s="11">
        <f>February!D18-January!D18</f>
        <v>-1</v>
      </c>
      <c r="E18" s="11">
        <f>February!E18-January!E18</f>
        <v>-7</v>
      </c>
      <c r="F18" s="10">
        <f t="shared" si="0"/>
        <v>14</v>
      </c>
    </row>
    <row r="19" spans="1:6" x14ac:dyDescent="0.25">
      <c r="A19" s="1" t="s">
        <v>16</v>
      </c>
      <c r="B19" s="11">
        <f>February!B19-January!B19</f>
        <v>-483</v>
      </c>
      <c r="C19" s="11">
        <f>February!C19-January!C19</f>
        <v>-747</v>
      </c>
      <c r="D19" s="11">
        <f>February!D19-January!D19</f>
        <v>-12637</v>
      </c>
      <c r="E19" s="11">
        <f>February!E19-January!E19</f>
        <v>11459</v>
      </c>
      <c r="F19" s="10">
        <f t="shared" si="0"/>
        <v>-2408</v>
      </c>
    </row>
    <row r="20" spans="1:6" x14ac:dyDescent="0.25">
      <c r="A20" s="1" t="s">
        <v>17</v>
      </c>
      <c r="B20" s="11">
        <f>February!B20-January!B20</f>
        <v>-1009</v>
      </c>
      <c r="C20" s="11">
        <f>February!C20-January!C20</f>
        <v>-789</v>
      </c>
      <c r="D20" s="11">
        <f>February!D20-January!D20</f>
        <v>-7</v>
      </c>
      <c r="E20" s="11">
        <f>February!E20-January!E20</f>
        <v>-912</v>
      </c>
      <c r="F20" s="10">
        <f t="shared" si="0"/>
        <v>-2717</v>
      </c>
    </row>
    <row r="21" spans="1:6" x14ac:dyDescent="0.25">
      <c r="A21" s="1" t="s">
        <v>18</v>
      </c>
      <c r="B21" s="11">
        <f>February!B21-January!B21</f>
        <v>150</v>
      </c>
      <c r="C21" s="11">
        <f>February!C21-January!C21</f>
        <v>23</v>
      </c>
      <c r="D21" s="11">
        <f>February!D21-January!D21</f>
        <v>-1203</v>
      </c>
      <c r="E21" s="11">
        <f>February!E21-January!E21</f>
        <v>1187</v>
      </c>
      <c r="F21" s="10">
        <f t="shared" si="0"/>
        <v>157</v>
      </c>
    </row>
    <row r="22" spans="1:6" x14ac:dyDescent="0.25">
      <c r="A22" s="1" t="s">
        <v>19</v>
      </c>
      <c r="B22" s="11">
        <f>February!B22-January!B22</f>
        <v>28</v>
      </c>
      <c r="C22" s="11">
        <f>February!C22-January!C22</f>
        <v>-3</v>
      </c>
      <c r="D22" s="11">
        <f>February!D22-January!D22</f>
        <v>1</v>
      </c>
      <c r="E22" s="11">
        <f>February!E22-January!E22</f>
        <v>-7</v>
      </c>
      <c r="F22" s="10">
        <f t="shared" si="0"/>
        <v>19</v>
      </c>
    </row>
    <row r="23" spans="1:6" x14ac:dyDescent="0.25">
      <c r="A23" s="1" t="s">
        <v>20</v>
      </c>
      <c r="B23" s="11">
        <f>February!B23-January!B23</f>
        <v>19</v>
      </c>
      <c r="C23" s="11">
        <f>February!C23-January!C23</f>
        <v>-7</v>
      </c>
      <c r="D23" s="11">
        <f>February!D23-January!D23</f>
        <v>-235</v>
      </c>
      <c r="E23" s="11">
        <f>February!E23-January!E23</f>
        <v>240</v>
      </c>
      <c r="F23" s="10">
        <f t="shared" si="0"/>
        <v>17</v>
      </c>
    </row>
    <row r="24" spans="1:6" x14ac:dyDescent="0.25">
      <c r="A24" s="1" t="s">
        <v>21</v>
      </c>
      <c r="B24" s="11">
        <f>February!B24-January!B24</f>
        <v>52</v>
      </c>
      <c r="C24" s="11">
        <f>February!C24-January!C24</f>
        <v>21</v>
      </c>
      <c r="D24" s="11">
        <f>February!D24-January!D24</f>
        <v>-163</v>
      </c>
      <c r="E24" s="11">
        <f>February!E24-January!E24</f>
        <v>165</v>
      </c>
      <c r="F24" s="10">
        <f t="shared" si="0"/>
        <v>75</v>
      </c>
    </row>
    <row r="25" spans="1:6" x14ac:dyDescent="0.25">
      <c r="A25" s="1" t="s">
        <v>22</v>
      </c>
      <c r="B25" s="11">
        <f>February!B25-January!B25</f>
        <v>37</v>
      </c>
      <c r="C25" s="11">
        <f>February!C25-January!C25</f>
        <v>-15</v>
      </c>
      <c r="D25" s="11">
        <f>February!D25-January!D25</f>
        <v>-72</v>
      </c>
      <c r="E25" s="11">
        <f>February!E25-January!E25</f>
        <v>83</v>
      </c>
      <c r="F25" s="10">
        <f t="shared" si="0"/>
        <v>33</v>
      </c>
    </row>
    <row r="26" spans="1:6" x14ac:dyDescent="0.25">
      <c r="A26" s="1" t="s">
        <v>23</v>
      </c>
      <c r="B26" s="11">
        <f>February!B26-January!B26</f>
        <v>25</v>
      </c>
      <c r="C26" s="11">
        <f>February!C26-January!C26</f>
        <v>-20</v>
      </c>
      <c r="D26" s="11">
        <f>February!D26-January!D26</f>
        <v>-111</v>
      </c>
      <c r="E26" s="11">
        <f>February!E26-January!E26</f>
        <v>106</v>
      </c>
      <c r="F26" s="10">
        <f t="shared" si="0"/>
        <v>0</v>
      </c>
    </row>
    <row r="27" spans="1:6" x14ac:dyDescent="0.25">
      <c r="A27" s="1" t="s">
        <v>24</v>
      </c>
      <c r="B27" s="11">
        <f>February!B27-January!B27</f>
        <v>8</v>
      </c>
      <c r="C27" s="11">
        <f>February!C27-January!C27</f>
        <v>-11</v>
      </c>
      <c r="D27" s="11">
        <f>February!D27-January!D27</f>
        <v>1</v>
      </c>
      <c r="E27" s="11">
        <f>February!E27-January!E27</f>
        <v>2</v>
      </c>
      <c r="F27" s="10">
        <f t="shared" si="0"/>
        <v>0</v>
      </c>
    </row>
    <row r="28" spans="1:6" x14ac:dyDescent="0.25">
      <c r="A28" s="1" t="s">
        <v>25</v>
      </c>
      <c r="B28" s="11">
        <f>February!B28-January!B28</f>
        <v>4</v>
      </c>
      <c r="C28" s="11">
        <f>February!C28-January!C28</f>
        <v>-6</v>
      </c>
      <c r="D28" s="11">
        <f>February!D28-January!D28</f>
        <v>-122</v>
      </c>
      <c r="E28" s="11">
        <f>February!E28-January!E28</f>
        <v>139</v>
      </c>
      <c r="F28" s="10">
        <f t="shared" si="0"/>
        <v>15</v>
      </c>
    </row>
    <row r="29" spans="1:6" x14ac:dyDescent="0.25">
      <c r="A29" s="1" t="s">
        <v>26</v>
      </c>
      <c r="B29" s="11">
        <f>February!B29-January!B29</f>
        <v>26</v>
      </c>
      <c r="C29" s="11">
        <f>February!C29-January!C29</f>
        <v>-6</v>
      </c>
      <c r="D29" s="11">
        <f>February!D29-January!D29</f>
        <v>-157</v>
      </c>
      <c r="E29" s="11">
        <f>February!E29-January!E29</f>
        <v>164</v>
      </c>
      <c r="F29" s="10">
        <f t="shared" si="0"/>
        <v>27</v>
      </c>
    </row>
    <row r="30" spans="1:6" x14ac:dyDescent="0.25">
      <c r="A30" s="1" t="s">
        <v>27</v>
      </c>
      <c r="B30" s="11">
        <f>February!B30-January!B30</f>
        <v>-1063</v>
      </c>
      <c r="C30" s="11">
        <f>February!C30-January!C30</f>
        <v>-1345</v>
      </c>
      <c r="D30" s="11">
        <f>February!D30-January!D30</f>
        <v>-39</v>
      </c>
      <c r="E30" s="11">
        <f>February!E30-January!E30</f>
        <v>-1166</v>
      </c>
      <c r="F30" s="10">
        <f t="shared" si="0"/>
        <v>-3613</v>
      </c>
    </row>
    <row r="31" spans="1:6" x14ac:dyDescent="0.25">
      <c r="A31" s="1" t="s">
        <v>28</v>
      </c>
      <c r="B31" s="11">
        <f>February!B31-January!B31</f>
        <v>-36</v>
      </c>
      <c r="C31" s="11">
        <f>February!C31-January!C31</f>
        <v>-109</v>
      </c>
      <c r="D31" s="11">
        <f>February!D31-January!D31</f>
        <v>1</v>
      </c>
      <c r="E31" s="11">
        <f>February!E31-January!E31</f>
        <v>-28</v>
      </c>
      <c r="F31" s="10">
        <f t="shared" si="0"/>
        <v>-172</v>
      </c>
    </row>
    <row r="32" spans="1:6" x14ac:dyDescent="0.25">
      <c r="A32" s="1" t="s">
        <v>29</v>
      </c>
      <c r="B32" s="11">
        <f>February!B32-January!B32</f>
        <v>-1378</v>
      </c>
      <c r="C32" s="11">
        <f>February!C32-January!C32</f>
        <v>-4776</v>
      </c>
      <c r="D32" s="11">
        <f>February!D32-January!D32</f>
        <v>130</v>
      </c>
      <c r="E32" s="11">
        <f>February!E32-January!E32</f>
        <v>-5185</v>
      </c>
      <c r="F32" s="10">
        <f t="shared" si="0"/>
        <v>-11209</v>
      </c>
    </row>
    <row r="33" spans="1:6" x14ac:dyDescent="0.25">
      <c r="A33" s="1" t="s">
        <v>30</v>
      </c>
      <c r="B33" s="11">
        <f>February!B33-January!B33</f>
        <v>15</v>
      </c>
      <c r="C33" s="11">
        <f>February!C33-January!C33</f>
        <v>-25</v>
      </c>
      <c r="D33" s="11">
        <f>February!D33-January!D33</f>
        <v>0</v>
      </c>
      <c r="E33" s="11">
        <f>February!E33-January!E33</f>
        <v>-4</v>
      </c>
      <c r="F33" s="10">
        <f t="shared" si="0"/>
        <v>-14</v>
      </c>
    </row>
    <row r="34" spans="1:6" x14ac:dyDescent="0.25">
      <c r="A34" s="1" t="s">
        <v>31</v>
      </c>
      <c r="B34" s="11">
        <f>February!B34-January!B34</f>
        <v>0</v>
      </c>
      <c r="C34" s="11">
        <f>February!C34-January!C34</f>
        <v>-43</v>
      </c>
      <c r="D34" s="11">
        <f>February!D34-January!D34</f>
        <v>14</v>
      </c>
      <c r="E34" s="11">
        <f>February!E34-January!E34</f>
        <v>90</v>
      </c>
      <c r="F34" s="10">
        <f t="shared" si="0"/>
        <v>61</v>
      </c>
    </row>
    <row r="35" spans="1:6" x14ac:dyDescent="0.25">
      <c r="A35" s="1" t="s">
        <v>32</v>
      </c>
      <c r="B35" s="11">
        <f>February!B35-January!B35</f>
        <v>19</v>
      </c>
      <c r="C35" s="11">
        <f>February!C35-January!C35</f>
        <v>-41</v>
      </c>
      <c r="D35" s="11">
        <f>February!D35-January!D35</f>
        <v>2</v>
      </c>
      <c r="E35" s="11">
        <f>February!E35-January!E35</f>
        <v>6</v>
      </c>
      <c r="F35" s="10">
        <f t="shared" si="0"/>
        <v>-14</v>
      </c>
    </row>
    <row r="36" spans="1:6" x14ac:dyDescent="0.25">
      <c r="A36" s="1" t="s">
        <v>33</v>
      </c>
      <c r="B36" s="11">
        <f>February!B36-January!B36</f>
        <v>7</v>
      </c>
      <c r="C36" s="11">
        <f>February!C36-January!C36</f>
        <v>-9</v>
      </c>
      <c r="D36" s="11">
        <f>February!D36-January!D36</f>
        <v>-1</v>
      </c>
      <c r="E36" s="11">
        <f>February!E36-January!E36</f>
        <v>-6</v>
      </c>
      <c r="F36" s="10">
        <f t="shared" si="0"/>
        <v>-9</v>
      </c>
    </row>
    <row r="37" spans="1:6" x14ac:dyDescent="0.25">
      <c r="A37" s="1" t="s">
        <v>34</v>
      </c>
      <c r="B37" s="11">
        <f>February!B37-January!B37</f>
        <v>7</v>
      </c>
      <c r="C37" s="11">
        <f>February!C37-January!C37</f>
        <v>-3</v>
      </c>
      <c r="D37" s="11">
        <f>February!D37-January!D37</f>
        <v>0</v>
      </c>
      <c r="E37" s="11">
        <f>February!E37-January!E37</f>
        <v>-5</v>
      </c>
      <c r="F37" s="10">
        <f t="shared" si="0"/>
        <v>-1</v>
      </c>
    </row>
    <row r="38" spans="1:6" x14ac:dyDescent="0.25">
      <c r="A38" s="1" t="s">
        <v>35</v>
      </c>
      <c r="B38" s="11">
        <f>February!B38-January!B38</f>
        <v>567</v>
      </c>
      <c r="C38" s="11">
        <f>February!C38-January!C38</f>
        <v>155</v>
      </c>
      <c r="D38" s="11">
        <f>February!D38-January!D38</f>
        <v>-5910</v>
      </c>
      <c r="E38" s="11">
        <f>February!E38-January!E38</f>
        <v>5550</v>
      </c>
      <c r="F38" s="10">
        <f t="shared" si="0"/>
        <v>362</v>
      </c>
    </row>
    <row r="39" spans="1:6" x14ac:dyDescent="0.25">
      <c r="A39" s="1" t="s">
        <v>36</v>
      </c>
      <c r="B39" s="11">
        <f>February!B39-January!B39</f>
        <v>303</v>
      </c>
      <c r="C39" s="11">
        <f>February!C39-January!C39</f>
        <v>128</v>
      </c>
      <c r="D39" s="11">
        <f>February!D39-January!D39</f>
        <v>51</v>
      </c>
      <c r="E39" s="11">
        <f>February!E39-January!E39</f>
        <v>581</v>
      </c>
      <c r="F39" s="10">
        <f t="shared" si="0"/>
        <v>1063</v>
      </c>
    </row>
    <row r="40" spans="1:6" x14ac:dyDescent="0.25">
      <c r="A40" s="1" t="s">
        <v>37</v>
      </c>
      <c r="B40" s="11">
        <f>February!B40-January!B40</f>
        <v>62</v>
      </c>
      <c r="C40" s="11">
        <f>February!C40-January!C40</f>
        <v>16</v>
      </c>
      <c r="D40" s="11">
        <f>February!D40-January!D40</f>
        <v>18</v>
      </c>
      <c r="E40" s="11">
        <f>February!E40-January!E40</f>
        <v>36</v>
      </c>
      <c r="F40" s="10">
        <f t="shared" si="0"/>
        <v>132</v>
      </c>
    </row>
    <row r="41" spans="1:6" x14ac:dyDescent="0.25">
      <c r="A41" s="1" t="s">
        <v>38</v>
      </c>
      <c r="B41" s="11">
        <f>February!B41-January!B41</f>
        <v>44</v>
      </c>
      <c r="C41" s="11">
        <f>February!C41-January!C41</f>
        <v>-13</v>
      </c>
      <c r="D41" s="11">
        <f>February!D41-January!D41</f>
        <v>-1</v>
      </c>
      <c r="E41" s="11">
        <f>February!E41-January!E41</f>
        <v>-41</v>
      </c>
      <c r="F41" s="10">
        <f t="shared" si="0"/>
        <v>-11</v>
      </c>
    </row>
    <row r="42" spans="1:6" x14ac:dyDescent="0.25">
      <c r="A42" s="1" t="s">
        <v>39</v>
      </c>
      <c r="B42" s="11">
        <f>February!B42-January!B42</f>
        <v>4</v>
      </c>
      <c r="C42" s="11">
        <f>February!C42-January!C42</f>
        <v>-2</v>
      </c>
      <c r="D42" s="11">
        <f>February!D42-January!D42</f>
        <v>0</v>
      </c>
      <c r="E42" s="11">
        <f>February!E42-January!E42</f>
        <v>-1</v>
      </c>
      <c r="F42" s="10">
        <f t="shared" si="0"/>
        <v>1</v>
      </c>
    </row>
    <row r="43" spans="1:6" x14ac:dyDescent="0.25">
      <c r="A43" s="1" t="s">
        <v>40</v>
      </c>
      <c r="B43" s="11">
        <f>February!B43-January!B43</f>
        <v>9</v>
      </c>
      <c r="C43" s="11">
        <f>February!C43-January!C43</f>
        <v>-6</v>
      </c>
      <c r="D43" s="11">
        <f>February!D43-January!D43</f>
        <v>-166</v>
      </c>
      <c r="E43" s="11">
        <f>February!E43-January!E43</f>
        <v>175</v>
      </c>
      <c r="F43" s="10">
        <f t="shared" si="0"/>
        <v>12</v>
      </c>
    </row>
    <row r="44" spans="1:6" x14ac:dyDescent="0.25">
      <c r="A44" s="1" t="s">
        <v>41</v>
      </c>
      <c r="B44" s="11">
        <f>February!B44-January!B44</f>
        <v>321</v>
      </c>
      <c r="C44" s="11">
        <f>February!C44-January!C44</f>
        <v>64</v>
      </c>
      <c r="D44" s="11">
        <f>February!D44-January!D44</f>
        <v>20</v>
      </c>
      <c r="E44" s="11">
        <f>February!E44-January!E44</f>
        <v>88</v>
      </c>
      <c r="F44" s="10">
        <f t="shared" si="0"/>
        <v>493</v>
      </c>
    </row>
    <row r="45" spans="1:6" x14ac:dyDescent="0.25">
      <c r="A45" s="1" t="s">
        <v>42</v>
      </c>
      <c r="B45" s="11">
        <f>February!B45-January!B45</f>
        <v>20</v>
      </c>
      <c r="C45" s="11">
        <f>February!C45-January!C45</f>
        <v>-123</v>
      </c>
      <c r="D45" s="11">
        <f>February!D45-January!D45</f>
        <v>13</v>
      </c>
      <c r="E45" s="11">
        <f>February!E45-January!E45</f>
        <v>109</v>
      </c>
      <c r="F45" s="10">
        <f t="shared" si="0"/>
        <v>19</v>
      </c>
    </row>
    <row r="46" spans="1:6" x14ac:dyDescent="0.25">
      <c r="A46" s="1" t="s">
        <v>43</v>
      </c>
      <c r="B46" s="11">
        <f>February!B46-January!B46</f>
        <v>-587</v>
      </c>
      <c r="C46" s="11">
        <f>February!C46-January!C46</f>
        <v>-404</v>
      </c>
      <c r="D46" s="11">
        <f>February!D46-January!D46</f>
        <v>3</v>
      </c>
      <c r="E46" s="11">
        <f>February!E46-January!E46</f>
        <v>-545</v>
      </c>
      <c r="F46" s="10">
        <f t="shared" si="0"/>
        <v>-1533</v>
      </c>
    </row>
    <row r="47" spans="1:6" x14ac:dyDescent="0.25">
      <c r="A47" s="1" t="s">
        <v>44</v>
      </c>
      <c r="B47" s="11">
        <f>February!B47-January!B47</f>
        <v>-42</v>
      </c>
      <c r="C47" s="11">
        <f>February!C47-January!C47</f>
        <v>-261</v>
      </c>
      <c r="D47" s="11">
        <f>February!D47-January!D47</f>
        <v>120</v>
      </c>
      <c r="E47" s="11">
        <f>February!E47-January!E47</f>
        <v>604</v>
      </c>
      <c r="F47" s="10">
        <f t="shared" si="0"/>
        <v>421</v>
      </c>
    </row>
    <row r="48" spans="1:6" x14ac:dyDescent="0.25">
      <c r="A48" s="1" t="s">
        <v>45</v>
      </c>
      <c r="B48" s="11">
        <f>February!B48-January!B48</f>
        <v>79</v>
      </c>
      <c r="C48" s="11">
        <f>February!C48-January!C48</f>
        <v>1</v>
      </c>
      <c r="D48" s="11">
        <f>February!D48-January!D48</f>
        <v>17</v>
      </c>
      <c r="E48" s="11">
        <f>February!E48-January!E48</f>
        <v>-68</v>
      </c>
      <c r="F48" s="10">
        <f t="shared" si="0"/>
        <v>29</v>
      </c>
    </row>
    <row r="49" spans="1:6" x14ac:dyDescent="0.25">
      <c r="A49" s="1" t="s">
        <v>46</v>
      </c>
      <c r="B49" s="11">
        <f>February!B49-January!B49</f>
        <v>174</v>
      </c>
      <c r="C49" s="11">
        <f>February!C49-January!C49</f>
        <v>30</v>
      </c>
      <c r="D49" s="11">
        <f>February!D49-January!D49</f>
        <v>18</v>
      </c>
      <c r="E49" s="11">
        <f>February!E49-January!E49</f>
        <v>28</v>
      </c>
      <c r="F49" s="10">
        <f t="shared" si="0"/>
        <v>250</v>
      </c>
    </row>
    <row r="50" spans="1:6" x14ac:dyDescent="0.25">
      <c r="A50" s="1" t="s">
        <v>47</v>
      </c>
      <c r="B50" s="11">
        <f>February!B50-January!B50</f>
        <v>173</v>
      </c>
      <c r="C50" s="11">
        <f>February!C50-January!C50</f>
        <v>21</v>
      </c>
      <c r="D50" s="11">
        <f>February!D50-January!D50</f>
        <v>29</v>
      </c>
      <c r="E50" s="11">
        <f>February!E50-January!E50</f>
        <v>51</v>
      </c>
      <c r="F50" s="10">
        <f t="shared" si="0"/>
        <v>274</v>
      </c>
    </row>
    <row r="51" spans="1:6" x14ac:dyDescent="0.25">
      <c r="A51" s="1" t="s">
        <v>48</v>
      </c>
      <c r="B51" s="11">
        <f>February!B51-January!B51</f>
        <v>52</v>
      </c>
      <c r="C51" s="11">
        <f>February!C51-January!C51</f>
        <v>-14</v>
      </c>
      <c r="D51" s="11">
        <f>February!D51-January!D51</f>
        <v>4</v>
      </c>
      <c r="E51" s="11">
        <f>February!E51-January!E51</f>
        <v>-37</v>
      </c>
      <c r="F51" s="10">
        <f t="shared" si="0"/>
        <v>5</v>
      </c>
    </row>
    <row r="52" spans="1:6" x14ac:dyDescent="0.25">
      <c r="A52" s="1" t="s">
        <v>49</v>
      </c>
      <c r="B52" s="11">
        <f>February!B52-January!B52</f>
        <v>187</v>
      </c>
      <c r="C52" s="11">
        <f>February!C52-January!C52</f>
        <v>351</v>
      </c>
      <c r="D52" s="11">
        <f>February!D52-January!D52</f>
        <v>103</v>
      </c>
      <c r="E52" s="11">
        <f>February!E52-January!E52</f>
        <v>250</v>
      </c>
      <c r="F52" s="10">
        <f t="shared" si="0"/>
        <v>891</v>
      </c>
    </row>
    <row r="53" spans="1:6" x14ac:dyDescent="0.25">
      <c r="A53" s="1" t="s">
        <v>50</v>
      </c>
      <c r="B53" s="11">
        <f>February!B53-January!B53</f>
        <v>224</v>
      </c>
      <c r="C53" s="11">
        <f>February!C53-January!C53</f>
        <v>334</v>
      </c>
      <c r="D53" s="11">
        <f>February!D53-January!D53</f>
        <v>-3112</v>
      </c>
      <c r="E53" s="11">
        <f>February!E53-January!E53</f>
        <v>3459</v>
      </c>
      <c r="F53" s="10">
        <f t="shared" si="0"/>
        <v>905</v>
      </c>
    </row>
    <row r="54" spans="1:6" x14ac:dyDescent="0.25">
      <c r="A54" s="1" t="s">
        <v>51</v>
      </c>
      <c r="B54" s="11">
        <f>February!B54-January!B54</f>
        <v>313</v>
      </c>
      <c r="C54" s="11">
        <f>February!C54-January!C54</f>
        <v>6</v>
      </c>
      <c r="D54" s="11">
        <f>February!D54-January!D54</f>
        <v>-25230</v>
      </c>
      <c r="E54" s="11">
        <f>February!E54-January!E54</f>
        <v>26049</v>
      </c>
      <c r="F54" s="10">
        <f t="shared" si="0"/>
        <v>1138</v>
      </c>
    </row>
    <row r="55" spans="1:6" x14ac:dyDescent="0.25">
      <c r="A55" s="1" t="s">
        <v>52</v>
      </c>
      <c r="B55" s="11">
        <f>February!B55-January!B55</f>
        <v>-2088</v>
      </c>
      <c r="C55" s="11">
        <f>February!C55-January!C55</f>
        <v>-2131</v>
      </c>
      <c r="D55" s="11">
        <f>February!D55-January!D55</f>
        <v>-39</v>
      </c>
      <c r="E55" s="11">
        <f>February!E55-January!E55</f>
        <v>-1898</v>
      </c>
      <c r="F55" s="10">
        <f t="shared" si="0"/>
        <v>-6156</v>
      </c>
    </row>
    <row r="56" spans="1:6" x14ac:dyDescent="0.25">
      <c r="A56" s="1" t="s">
        <v>53</v>
      </c>
      <c r="B56" s="11">
        <f>February!B56-January!B56</f>
        <v>857</v>
      </c>
      <c r="C56" s="11">
        <f>February!C56-January!C56</f>
        <v>474</v>
      </c>
      <c r="D56" s="11">
        <f>February!D56-January!D56</f>
        <v>170</v>
      </c>
      <c r="E56" s="11">
        <f>February!E56-January!E56</f>
        <v>-1235</v>
      </c>
      <c r="F56" s="10">
        <f t="shared" si="0"/>
        <v>266</v>
      </c>
    </row>
    <row r="57" spans="1:6" x14ac:dyDescent="0.25">
      <c r="A57" s="1" t="s">
        <v>54</v>
      </c>
      <c r="B57" s="11">
        <f>February!B57-January!B57</f>
        <v>-3862</v>
      </c>
      <c r="C57" s="11">
        <f>February!C57-January!C57</f>
        <v>-6165</v>
      </c>
      <c r="D57" s="11">
        <f>February!D57-January!D57</f>
        <v>-9061</v>
      </c>
      <c r="E57" s="11">
        <f>February!E57-January!E57</f>
        <v>4215</v>
      </c>
      <c r="F57" s="10">
        <f t="shared" si="0"/>
        <v>-14873</v>
      </c>
    </row>
    <row r="58" spans="1:6" x14ac:dyDescent="0.25">
      <c r="A58" s="1" t="s">
        <v>55</v>
      </c>
      <c r="B58" s="11">
        <f>February!B58-January!B58</f>
        <v>110</v>
      </c>
      <c r="C58" s="11">
        <f>February!C58-January!C58</f>
        <v>-16</v>
      </c>
      <c r="D58" s="11">
        <f>February!D58-January!D58</f>
        <v>-712</v>
      </c>
      <c r="E58" s="11">
        <f>February!E58-January!E58</f>
        <v>727</v>
      </c>
      <c r="F58" s="10">
        <f t="shared" si="0"/>
        <v>109</v>
      </c>
    </row>
    <row r="59" spans="1:6" x14ac:dyDescent="0.25">
      <c r="A59" s="1" t="s">
        <v>56</v>
      </c>
      <c r="B59" s="11">
        <f>February!B59-January!B59</f>
        <v>261</v>
      </c>
      <c r="C59" s="11">
        <f>February!C59-January!C59</f>
        <v>26</v>
      </c>
      <c r="D59" s="11">
        <f>February!D59-January!D59</f>
        <v>23</v>
      </c>
      <c r="E59" s="11">
        <f>February!E59-January!E59</f>
        <v>138</v>
      </c>
      <c r="F59" s="10">
        <f t="shared" si="0"/>
        <v>448</v>
      </c>
    </row>
    <row r="60" spans="1:6" x14ac:dyDescent="0.25">
      <c r="A60" s="1" t="s">
        <v>57</v>
      </c>
      <c r="B60" s="11">
        <f>February!B60-January!B60</f>
        <v>526</v>
      </c>
      <c r="C60" s="11">
        <f>February!C60-January!C60</f>
        <v>308</v>
      </c>
      <c r="D60" s="11">
        <f>February!D60-January!D60</f>
        <v>31</v>
      </c>
      <c r="E60" s="11">
        <f>February!E60-January!E60</f>
        <v>-105</v>
      </c>
      <c r="F60" s="10">
        <f t="shared" si="0"/>
        <v>760</v>
      </c>
    </row>
    <row r="61" spans="1:6" x14ac:dyDescent="0.25">
      <c r="A61" s="1" t="s">
        <v>58</v>
      </c>
      <c r="B61" s="11">
        <f>February!B61-January!B61</f>
        <v>17</v>
      </c>
      <c r="C61" s="11">
        <f>February!C61-January!C61</f>
        <v>3</v>
      </c>
      <c r="D61" s="11">
        <f>February!D61-January!D61</f>
        <v>21</v>
      </c>
      <c r="E61" s="11">
        <f>February!E61-January!E61</f>
        <v>-145</v>
      </c>
      <c r="F61" s="10">
        <f t="shared" si="0"/>
        <v>-104</v>
      </c>
    </row>
    <row r="62" spans="1:6" x14ac:dyDescent="0.25">
      <c r="A62" s="1" t="s">
        <v>59</v>
      </c>
      <c r="B62" s="11">
        <f>February!B62-January!B62</f>
        <v>358</v>
      </c>
      <c r="C62" s="11">
        <f>February!C62-January!C62</f>
        <v>58</v>
      </c>
      <c r="D62" s="11">
        <f>February!D62-January!D62</f>
        <v>24</v>
      </c>
      <c r="E62" s="11">
        <f>February!E62-January!E62</f>
        <v>-110</v>
      </c>
      <c r="F62" s="10">
        <f t="shared" si="0"/>
        <v>330</v>
      </c>
    </row>
    <row r="63" spans="1:6" x14ac:dyDescent="0.25">
      <c r="A63" s="1" t="s">
        <v>60</v>
      </c>
      <c r="B63" s="11">
        <f>February!B63-January!B63</f>
        <v>253</v>
      </c>
      <c r="C63" s="11">
        <f>February!C63-January!C63</f>
        <v>120</v>
      </c>
      <c r="D63" s="11">
        <f>February!D63-January!D63</f>
        <v>-188</v>
      </c>
      <c r="E63" s="11">
        <f>February!E63-January!E63</f>
        <v>313</v>
      </c>
      <c r="F63" s="10">
        <f t="shared" si="0"/>
        <v>498</v>
      </c>
    </row>
    <row r="64" spans="1:6" x14ac:dyDescent="0.25">
      <c r="A64" s="1" t="s">
        <v>61</v>
      </c>
      <c r="B64" s="11">
        <f>February!B64-January!B64</f>
        <v>356</v>
      </c>
      <c r="C64" s="11">
        <f>February!C64-January!C64</f>
        <v>112</v>
      </c>
      <c r="D64" s="11">
        <f>February!D64-January!D64</f>
        <v>-2397</v>
      </c>
      <c r="E64" s="11">
        <f>February!E64-January!E64</f>
        <v>2196</v>
      </c>
      <c r="F64" s="10">
        <f t="shared" si="0"/>
        <v>267</v>
      </c>
    </row>
    <row r="65" spans="1:6" x14ac:dyDescent="0.25">
      <c r="A65" s="1" t="s">
        <v>62</v>
      </c>
      <c r="B65" s="11">
        <f>February!B65-January!B65</f>
        <v>-70</v>
      </c>
      <c r="C65" s="11">
        <f>February!C65-January!C65</f>
        <v>-148</v>
      </c>
      <c r="D65" s="11">
        <f>February!D65-January!D65</f>
        <v>-85</v>
      </c>
      <c r="E65" s="11">
        <f>February!E65-January!E65</f>
        <v>30</v>
      </c>
      <c r="F65" s="10">
        <f t="shared" si="0"/>
        <v>-273</v>
      </c>
    </row>
    <row r="66" spans="1:6" x14ac:dyDescent="0.25">
      <c r="A66" s="1" t="s">
        <v>63</v>
      </c>
      <c r="B66" s="11">
        <f>February!B66-January!B66</f>
        <v>26</v>
      </c>
      <c r="C66" s="11">
        <f>February!C66-January!C66</f>
        <v>-26</v>
      </c>
      <c r="D66" s="11">
        <f>February!D66-January!D66</f>
        <v>-1</v>
      </c>
      <c r="E66" s="11">
        <f>February!E66-January!E66</f>
        <v>8</v>
      </c>
      <c r="F66" s="10">
        <f t="shared" si="0"/>
        <v>7</v>
      </c>
    </row>
    <row r="67" spans="1:6" x14ac:dyDescent="0.25">
      <c r="A67" s="1" t="s">
        <v>64</v>
      </c>
      <c r="B67" s="11">
        <f>February!B67-January!B67</f>
        <v>4</v>
      </c>
      <c r="C67" s="11">
        <f>February!C67-January!C67</f>
        <v>-1</v>
      </c>
      <c r="D67" s="11">
        <f>February!D67-January!D67</f>
        <v>-90</v>
      </c>
      <c r="E67" s="11">
        <f>February!E67-January!E67</f>
        <v>91</v>
      </c>
      <c r="F67" s="10">
        <f t="shared" si="0"/>
        <v>4</v>
      </c>
    </row>
    <row r="68" spans="1:6" x14ac:dyDescent="0.25">
      <c r="A68" s="1" t="s">
        <v>65</v>
      </c>
      <c r="B68" s="11">
        <f>February!B68-January!B68</f>
        <v>326</v>
      </c>
      <c r="C68" s="11">
        <f>February!C68-January!C68</f>
        <v>37</v>
      </c>
      <c r="D68" s="11">
        <f>February!D68-January!D68</f>
        <v>-9106</v>
      </c>
      <c r="E68" s="11">
        <f>February!E68-January!E68</f>
        <v>9533</v>
      </c>
      <c r="F68" s="10">
        <f t="shared" si="0"/>
        <v>790</v>
      </c>
    </row>
    <row r="69" spans="1:6" x14ac:dyDescent="0.25">
      <c r="A69" s="1" t="s">
        <v>66</v>
      </c>
      <c r="B69" s="11">
        <f>February!B69-January!B69</f>
        <v>-75</v>
      </c>
      <c r="C69" s="11">
        <f>February!C69-January!C69</f>
        <v>-132</v>
      </c>
      <c r="D69" s="11">
        <f>February!D69-January!D69</f>
        <v>-377</v>
      </c>
      <c r="E69" s="11">
        <f>February!E69-January!E69</f>
        <v>308</v>
      </c>
      <c r="F69" s="10">
        <f t="shared" si="0"/>
        <v>-276</v>
      </c>
    </row>
    <row r="70" spans="1:6" x14ac:dyDescent="0.25">
      <c r="A70" s="1" t="s">
        <v>67</v>
      </c>
      <c r="B70" s="11">
        <f>February!B70-January!B70</f>
        <v>-275</v>
      </c>
      <c r="C70" s="11">
        <f>February!C70-January!C70</f>
        <v>-104</v>
      </c>
      <c r="D70" s="11">
        <f>February!D70-January!D70</f>
        <v>1</v>
      </c>
      <c r="E70" s="11">
        <f>February!E70-January!E70</f>
        <v>-152</v>
      </c>
      <c r="F70" s="10">
        <f t="shared" ref="F70:F71" si="1">SUM(B70:E70)</f>
        <v>-530</v>
      </c>
    </row>
    <row r="71" spans="1:6" ht="15.75" thickBot="1" x14ac:dyDescent="0.3">
      <c r="A71" s="1" t="s">
        <v>68</v>
      </c>
      <c r="B71" s="11">
        <f>February!B71-January!B71</f>
        <v>23</v>
      </c>
      <c r="C71" s="11">
        <f>February!C71-January!C71</f>
        <v>-18</v>
      </c>
      <c r="D71" s="11">
        <f>February!D71-January!D71</f>
        <v>-37</v>
      </c>
      <c r="E71" s="11">
        <f>February!E71-January!E71</f>
        <v>50</v>
      </c>
      <c r="F71" s="10">
        <f t="shared" si="1"/>
        <v>18</v>
      </c>
    </row>
    <row r="72" spans="1:6" ht="16.5" thickTop="1" thickBot="1" x14ac:dyDescent="0.3">
      <c r="A72" s="3" t="s">
        <v>1</v>
      </c>
      <c r="B72" s="8">
        <f>SUM(B5:B71)</f>
        <v>-3926</v>
      </c>
      <c r="C72" s="8">
        <f>SUM(C5:C71)</f>
        <v>-17220</v>
      </c>
      <c r="D72" s="8">
        <f>SUM(D5:D71)</f>
        <v>-91619</v>
      </c>
      <c r="E72" s="8">
        <f>SUM(E5:E71)</f>
        <v>76536</v>
      </c>
      <c r="F72" s="8">
        <f>SUM(F5:F71)</f>
        <v>-36229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K31" sqref="K3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101</v>
      </c>
      <c r="B1" s="17"/>
      <c r="C1" s="17"/>
      <c r="D1" s="17"/>
      <c r="E1" s="17"/>
      <c r="F1" s="18"/>
    </row>
    <row r="2" spans="1:6" x14ac:dyDescent="0.25">
      <c r="A2" s="13" t="s">
        <v>81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March!B5-February!B5</f>
        <v>59</v>
      </c>
      <c r="C5" s="11">
        <f>March!C5-February!C5</f>
        <v>62</v>
      </c>
      <c r="D5" s="11">
        <f>March!D5-February!D5</f>
        <v>19</v>
      </c>
      <c r="E5" s="11">
        <f>March!E5-February!E5</f>
        <v>89</v>
      </c>
      <c r="F5" s="10">
        <f>SUM(B5:E5)</f>
        <v>229</v>
      </c>
    </row>
    <row r="6" spans="1:6" x14ac:dyDescent="0.25">
      <c r="A6" s="1" t="s">
        <v>3</v>
      </c>
      <c r="B6" s="11">
        <f>March!B6-February!B6</f>
        <v>27</v>
      </c>
      <c r="C6" s="11">
        <f>March!C6-February!C6</f>
        <v>-5</v>
      </c>
      <c r="D6" s="11">
        <f>March!D6-February!D6</f>
        <v>1</v>
      </c>
      <c r="E6" s="11">
        <f>March!E6-February!E6</f>
        <v>3</v>
      </c>
      <c r="F6" s="10">
        <f t="shared" ref="F6:F69" si="0">SUM(B6:E6)</f>
        <v>26</v>
      </c>
    </row>
    <row r="7" spans="1:6" x14ac:dyDescent="0.25">
      <c r="A7" s="1" t="s">
        <v>4</v>
      </c>
      <c r="B7" s="11">
        <f>March!B7-February!B7</f>
        <v>-707</v>
      </c>
      <c r="C7" s="11">
        <f>March!C7-February!C7</f>
        <v>-438</v>
      </c>
      <c r="D7" s="11">
        <f>March!D7-February!D7</f>
        <v>4</v>
      </c>
      <c r="E7" s="11">
        <f>March!E7-February!E7</f>
        <v>-510</v>
      </c>
      <c r="F7" s="10">
        <f t="shared" si="0"/>
        <v>-1651</v>
      </c>
    </row>
    <row r="8" spans="1:6" x14ac:dyDescent="0.25">
      <c r="A8" s="1" t="s">
        <v>5</v>
      </c>
      <c r="B8" s="11">
        <f>March!B8-February!B8</f>
        <v>28</v>
      </c>
      <c r="C8" s="11">
        <f>March!C8-February!C8</f>
        <v>2</v>
      </c>
      <c r="D8" s="11">
        <f>March!D8-February!D8</f>
        <v>2</v>
      </c>
      <c r="E8" s="11">
        <f>March!E8-February!E8</f>
        <v>14</v>
      </c>
      <c r="F8" s="10">
        <f t="shared" si="0"/>
        <v>46</v>
      </c>
    </row>
    <row r="9" spans="1:6" x14ac:dyDescent="0.25">
      <c r="A9" s="1" t="s">
        <v>6</v>
      </c>
      <c r="B9" s="11">
        <f>March!B9-February!B9</f>
        <v>-9</v>
      </c>
      <c r="C9" s="11">
        <f>March!C9-February!C9</f>
        <v>-124</v>
      </c>
      <c r="D9" s="11">
        <f>March!D9-February!D9</f>
        <v>98</v>
      </c>
      <c r="E9" s="11">
        <f>March!E9-February!E9</f>
        <v>58</v>
      </c>
      <c r="F9" s="10">
        <f t="shared" si="0"/>
        <v>23</v>
      </c>
    </row>
    <row r="10" spans="1:6" x14ac:dyDescent="0.25">
      <c r="A10" s="1" t="s">
        <v>7</v>
      </c>
      <c r="B10" s="11">
        <f>March!B10-February!B10</f>
        <v>-579</v>
      </c>
      <c r="C10" s="11">
        <f>March!C10-February!C10</f>
        <v>-2296</v>
      </c>
      <c r="D10" s="11">
        <f>March!D10-February!D10</f>
        <v>129</v>
      </c>
      <c r="E10" s="11">
        <f>March!E10-February!E10</f>
        <v>-1528</v>
      </c>
      <c r="F10" s="10">
        <f t="shared" si="0"/>
        <v>-4274</v>
      </c>
    </row>
    <row r="11" spans="1:6" x14ac:dyDescent="0.25">
      <c r="A11" s="1" t="s">
        <v>8</v>
      </c>
      <c r="B11" s="11">
        <f>March!B11-February!B11</f>
        <v>1</v>
      </c>
      <c r="C11" s="11">
        <f>March!C11-February!C11</f>
        <v>-19</v>
      </c>
      <c r="D11" s="11">
        <f>March!D11-February!D11</f>
        <v>-1</v>
      </c>
      <c r="E11" s="11">
        <f>March!E11-February!E11</f>
        <v>5</v>
      </c>
      <c r="F11" s="10">
        <f t="shared" si="0"/>
        <v>-14</v>
      </c>
    </row>
    <row r="12" spans="1:6" x14ac:dyDescent="0.25">
      <c r="A12" s="1" t="s">
        <v>9</v>
      </c>
      <c r="B12" s="11">
        <f>March!B12-February!B12</f>
        <v>234</v>
      </c>
      <c r="C12" s="11">
        <f>March!C12-February!C12</f>
        <v>42</v>
      </c>
      <c r="D12" s="11">
        <f>March!D12-February!D12</f>
        <v>18</v>
      </c>
      <c r="E12" s="11">
        <f>March!E12-February!E12</f>
        <v>59</v>
      </c>
      <c r="F12" s="10">
        <f t="shared" si="0"/>
        <v>353</v>
      </c>
    </row>
    <row r="13" spans="1:6" x14ac:dyDescent="0.25">
      <c r="A13" s="1" t="s">
        <v>10</v>
      </c>
      <c r="B13" s="11">
        <f>March!B13-February!B13</f>
        <v>59</v>
      </c>
      <c r="C13" s="11">
        <f>March!C13-February!C13</f>
        <v>-83</v>
      </c>
      <c r="D13" s="11">
        <f>March!D13-February!D13</f>
        <v>10</v>
      </c>
      <c r="E13" s="11">
        <f>March!E13-February!E13</f>
        <v>-47</v>
      </c>
      <c r="F13" s="10">
        <f t="shared" si="0"/>
        <v>-61</v>
      </c>
    </row>
    <row r="14" spans="1:6" x14ac:dyDescent="0.25">
      <c r="A14" s="1" t="s">
        <v>11</v>
      </c>
      <c r="B14" s="11">
        <f>March!B14-February!B14</f>
        <v>35</v>
      </c>
      <c r="C14" s="11">
        <f>March!C14-February!C14</f>
        <v>118</v>
      </c>
      <c r="D14" s="11">
        <f>March!D14-February!D14</f>
        <v>28</v>
      </c>
      <c r="E14" s="11">
        <f>March!E14-February!E14</f>
        <v>108</v>
      </c>
      <c r="F14" s="10">
        <f t="shared" si="0"/>
        <v>289</v>
      </c>
    </row>
    <row r="15" spans="1:6" x14ac:dyDescent="0.25">
      <c r="A15" s="1" t="s">
        <v>12</v>
      </c>
      <c r="B15" s="11">
        <f>March!B15-February!B15</f>
        <v>28</v>
      </c>
      <c r="C15" s="11">
        <f>March!C15-February!C15</f>
        <v>-47</v>
      </c>
      <c r="D15" s="11">
        <f>March!D15-February!D15</f>
        <v>7</v>
      </c>
      <c r="E15" s="11">
        <f>March!E15-February!E15</f>
        <v>-8</v>
      </c>
      <c r="F15" s="10">
        <f t="shared" si="0"/>
        <v>-20</v>
      </c>
    </row>
    <row r="16" spans="1:6" x14ac:dyDescent="0.25">
      <c r="A16" s="1" t="s">
        <v>13</v>
      </c>
      <c r="B16" s="11">
        <f>March!B16-February!B16</f>
        <v>27</v>
      </c>
      <c r="C16" s="11">
        <f>March!C16-February!C16</f>
        <v>-76</v>
      </c>
      <c r="D16" s="11">
        <f>March!D16-February!D16</f>
        <v>5</v>
      </c>
      <c r="E16" s="11">
        <f>March!E16-February!E16</f>
        <v>-50</v>
      </c>
      <c r="F16" s="10">
        <f t="shared" si="0"/>
        <v>-94</v>
      </c>
    </row>
    <row r="17" spans="1:6" x14ac:dyDescent="0.25">
      <c r="A17" s="1" t="s">
        <v>14</v>
      </c>
      <c r="B17" s="11">
        <f>March!B17-February!B17</f>
        <v>12</v>
      </c>
      <c r="C17" s="11">
        <f>March!C17-February!C17</f>
        <v>1</v>
      </c>
      <c r="D17" s="11">
        <f>March!D17-February!D17</f>
        <v>3</v>
      </c>
      <c r="E17" s="11">
        <f>March!E17-February!E17</f>
        <v>17</v>
      </c>
      <c r="F17" s="10">
        <f t="shared" si="0"/>
        <v>33</v>
      </c>
    </row>
    <row r="18" spans="1:6" x14ac:dyDescent="0.25">
      <c r="A18" s="1" t="s">
        <v>15</v>
      </c>
      <c r="B18" s="11">
        <f>March!B18-February!B18</f>
        <v>1</v>
      </c>
      <c r="C18" s="11">
        <f>March!C18-February!C18</f>
        <v>-17</v>
      </c>
      <c r="D18" s="11">
        <f>March!D18-February!D18</f>
        <v>-1</v>
      </c>
      <c r="E18" s="11">
        <f>March!E18-February!E18</f>
        <v>3</v>
      </c>
      <c r="F18" s="10">
        <f t="shared" si="0"/>
        <v>-14</v>
      </c>
    </row>
    <row r="19" spans="1:6" x14ac:dyDescent="0.25">
      <c r="A19" s="1" t="s">
        <v>16</v>
      </c>
      <c r="B19" s="11">
        <f>March!B19-February!B19</f>
        <v>-1480</v>
      </c>
      <c r="C19" s="11">
        <f>March!C19-February!C19</f>
        <v>-2293</v>
      </c>
      <c r="D19" s="11">
        <f>March!D19-February!D19</f>
        <v>39</v>
      </c>
      <c r="E19" s="11">
        <f>March!E19-February!E19</f>
        <v>-2200</v>
      </c>
      <c r="F19" s="10">
        <f t="shared" si="0"/>
        <v>-5934</v>
      </c>
    </row>
    <row r="20" spans="1:6" x14ac:dyDescent="0.25">
      <c r="A20" s="1" t="s">
        <v>17</v>
      </c>
      <c r="B20" s="11">
        <f>March!B20-February!B20</f>
        <v>-22</v>
      </c>
      <c r="C20" s="11">
        <f>March!C20-February!C20</f>
        <v>-63</v>
      </c>
      <c r="D20" s="11">
        <f>March!D20-February!D20</f>
        <v>19</v>
      </c>
      <c r="E20" s="11">
        <f>March!E20-February!E20</f>
        <v>18</v>
      </c>
      <c r="F20" s="10">
        <f t="shared" si="0"/>
        <v>-48</v>
      </c>
    </row>
    <row r="21" spans="1:6" x14ac:dyDescent="0.25">
      <c r="A21" s="1" t="s">
        <v>18</v>
      </c>
      <c r="B21" s="11">
        <f>March!B21-February!B21</f>
        <v>131</v>
      </c>
      <c r="C21" s="11">
        <f>March!C21-February!C21</f>
        <v>43</v>
      </c>
      <c r="D21" s="11">
        <f>March!D21-February!D21</f>
        <v>6</v>
      </c>
      <c r="E21" s="11">
        <f>March!E21-February!E21</f>
        <v>64</v>
      </c>
      <c r="F21" s="10">
        <f t="shared" si="0"/>
        <v>244</v>
      </c>
    </row>
    <row r="22" spans="1:6" x14ac:dyDescent="0.25">
      <c r="A22" s="1" t="s">
        <v>19</v>
      </c>
      <c r="B22" s="11">
        <f>March!B22-February!B22</f>
        <v>3</v>
      </c>
      <c r="C22" s="11">
        <f>March!C22-February!C22</f>
        <v>-15</v>
      </c>
      <c r="D22" s="11">
        <f>March!D22-February!D22</f>
        <v>0</v>
      </c>
      <c r="E22" s="11">
        <f>March!E22-February!E22</f>
        <v>10</v>
      </c>
      <c r="F22" s="10">
        <f t="shared" si="0"/>
        <v>-2</v>
      </c>
    </row>
    <row r="23" spans="1:6" x14ac:dyDescent="0.25">
      <c r="A23" s="1" t="s">
        <v>20</v>
      </c>
      <c r="B23" s="11">
        <f>March!B23-February!B23</f>
        <v>2</v>
      </c>
      <c r="C23" s="11">
        <f>March!C23-February!C23</f>
        <v>-5</v>
      </c>
      <c r="D23" s="11">
        <f>March!D23-February!D23</f>
        <v>-1</v>
      </c>
      <c r="E23" s="11">
        <f>March!E23-February!E23</f>
        <v>8</v>
      </c>
      <c r="F23" s="10">
        <f t="shared" si="0"/>
        <v>4</v>
      </c>
    </row>
    <row r="24" spans="1:6" x14ac:dyDescent="0.25">
      <c r="A24" s="1" t="s">
        <v>21</v>
      </c>
      <c r="B24" s="11">
        <f>March!B24-February!B24</f>
        <v>1</v>
      </c>
      <c r="C24" s="11">
        <f>March!C24-February!C24</f>
        <v>-4</v>
      </c>
      <c r="D24" s="11">
        <f>March!D24-February!D24</f>
        <v>-3</v>
      </c>
      <c r="E24" s="11">
        <f>March!E24-February!E24</f>
        <v>13</v>
      </c>
      <c r="F24" s="10">
        <f t="shared" si="0"/>
        <v>7</v>
      </c>
    </row>
    <row r="25" spans="1:6" x14ac:dyDescent="0.25">
      <c r="A25" s="1" t="s">
        <v>22</v>
      </c>
      <c r="B25" s="11">
        <f>March!B25-February!B25</f>
        <v>13</v>
      </c>
      <c r="C25" s="11">
        <f>March!C25-February!C25</f>
        <v>-21</v>
      </c>
      <c r="D25" s="11">
        <f>March!D25-February!D25</f>
        <v>9</v>
      </c>
      <c r="E25" s="11">
        <f>March!E25-February!E25</f>
        <v>5</v>
      </c>
      <c r="F25" s="10">
        <f t="shared" si="0"/>
        <v>6</v>
      </c>
    </row>
    <row r="26" spans="1:6" x14ac:dyDescent="0.25">
      <c r="A26" s="1" t="s">
        <v>23</v>
      </c>
      <c r="B26" s="11">
        <f>March!B26-February!B26</f>
        <v>27</v>
      </c>
      <c r="C26" s="11">
        <f>March!C26-February!C26</f>
        <v>-15</v>
      </c>
      <c r="D26" s="11">
        <f>March!D26-February!D26</f>
        <v>3</v>
      </c>
      <c r="E26" s="11">
        <f>March!E26-February!E26</f>
        <v>3</v>
      </c>
      <c r="F26" s="10">
        <f t="shared" si="0"/>
        <v>18</v>
      </c>
    </row>
    <row r="27" spans="1:6" x14ac:dyDescent="0.25">
      <c r="A27" s="1" t="s">
        <v>24</v>
      </c>
      <c r="B27" s="11">
        <f>March!B27-February!B27</f>
        <v>31</v>
      </c>
      <c r="C27" s="11">
        <f>March!C27-February!C27</f>
        <v>-19</v>
      </c>
      <c r="D27" s="11">
        <f>March!D27-February!D27</f>
        <v>0</v>
      </c>
      <c r="E27" s="11">
        <f>March!E27-February!E27</f>
        <v>6</v>
      </c>
      <c r="F27" s="10">
        <f t="shared" si="0"/>
        <v>18</v>
      </c>
    </row>
    <row r="28" spans="1:6" x14ac:dyDescent="0.25">
      <c r="A28" s="1" t="s">
        <v>25</v>
      </c>
      <c r="B28" s="11">
        <f>March!B28-February!B28</f>
        <v>12</v>
      </c>
      <c r="C28" s="11">
        <f>March!C28-February!C28</f>
        <v>-4</v>
      </c>
      <c r="D28" s="11">
        <f>March!D28-February!D28</f>
        <v>1</v>
      </c>
      <c r="E28" s="11">
        <f>March!E28-February!E28</f>
        <v>21</v>
      </c>
      <c r="F28" s="10">
        <f t="shared" si="0"/>
        <v>30</v>
      </c>
    </row>
    <row r="29" spans="1:6" x14ac:dyDescent="0.25">
      <c r="A29" s="1" t="s">
        <v>26</v>
      </c>
      <c r="B29" s="11">
        <f>March!B29-February!B29</f>
        <v>-136</v>
      </c>
      <c r="C29" s="11">
        <f>March!C29-February!C29</f>
        <v>-258</v>
      </c>
      <c r="D29" s="11">
        <f>March!D29-February!D29</f>
        <v>-5</v>
      </c>
      <c r="E29" s="11">
        <f>March!E29-February!E29</f>
        <v>-112</v>
      </c>
      <c r="F29" s="10">
        <f t="shared" si="0"/>
        <v>-511</v>
      </c>
    </row>
    <row r="30" spans="1:6" x14ac:dyDescent="0.25">
      <c r="A30" s="1" t="s">
        <v>27</v>
      </c>
      <c r="B30" s="11">
        <f>March!B30-February!B30</f>
        <v>190</v>
      </c>
      <c r="C30" s="11">
        <f>March!C30-February!C30</f>
        <v>92</v>
      </c>
      <c r="D30" s="11">
        <f>March!D30-February!D30</f>
        <v>4</v>
      </c>
      <c r="E30" s="11">
        <f>March!E30-February!E30</f>
        <v>130</v>
      </c>
      <c r="F30" s="10">
        <f t="shared" si="0"/>
        <v>416</v>
      </c>
    </row>
    <row r="31" spans="1:6" x14ac:dyDescent="0.25">
      <c r="A31" s="1" t="s">
        <v>28</v>
      </c>
      <c r="B31" s="11">
        <f>March!B31-February!B31</f>
        <v>-332</v>
      </c>
      <c r="C31" s="11">
        <f>March!C31-February!C31</f>
        <v>-410</v>
      </c>
      <c r="D31" s="11">
        <f>March!D31-February!D31</f>
        <v>-19</v>
      </c>
      <c r="E31" s="11">
        <f>March!E31-February!E31</f>
        <v>-199</v>
      </c>
      <c r="F31" s="10">
        <f t="shared" si="0"/>
        <v>-960</v>
      </c>
    </row>
    <row r="32" spans="1:6" x14ac:dyDescent="0.25">
      <c r="A32" s="1" t="s">
        <v>29</v>
      </c>
      <c r="B32" s="11">
        <f>March!B32-February!B32</f>
        <v>-3217</v>
      </c>
      <c r="C32" s="11">
        <f>March!C32-February!C32</f>
        <v>-8077</v>
      </c>
      <c r="D32" s="11">
        <f>March!D32-February!D32</f>
        <v>-74</v>
      </c>
      <c r="E32" s="11">
        <f>March!E32-February!E32</f>
        <v>-6753</v>
      </c>
      <c r="F32" s="10">
        <f t="shared" si="0"/>
        <v>-18121</v>
      </c>
    </row>
    <row r="33" spans="1:6" x14ac:dyDescent="0.25">
      <c r="A33" s="1" t="s">
        <v>30</v>
      </c>
      <c r="B33" s="11">
        <f>March!B33-February!B33</f>
        <v>-19</v>
      </c>
      <c r="C33" s="11">
        <f>March!C33-February!C33</f>
        <v>-36</v>
      </c>
      <c r="D33" s="11">
        <f>March!D33-February!D33</f>
        <v>0</v>
      </c>
      <c r="E33" s="11">
        <f>March!E33-February!E33</f>
        <v>-7</v>
      </c>
      <c r="F33" s="10">
        <f t="shared" si="0"/>
        <v>-62</v>
      </c>
    </row>
    <row r="34" spans="1:6" x14ac:dyDescent="0.25">
      <c r="A34" s="1" t="s">
        <v>31</v>
      </c>
      <c r="B34" s="11">
        <f>March!B34-February!B34</f>
        <v>18</v>
      </c>
      <c r="C34" s="11">
        <f>March!C34-February!C34</f>
        <v>-17</v>
      </c>
      <c r="D34" s="11">
        <f>March!D34-February!D34</f>
        <v>18</v>
      </c>
      <c r="E34" s="11">
        <f>March!E34-February!E34</f>
        <v>-79</v>
      </c>
      <c r="F34" s="10">
        <f t="shared" si="0"/>
        <v>-60</v>
      </c>
    </row>
    <row r="35" spans="1:6" x14ac:dyDescent="0.25">
      <c r="A35" s="1" t="s">
        <v>32</v>
      </c>
      <c r="B35" s="11">
        <f>March!B35-February!B35</f>
        <v>-86</v>
      </c>
      <c r="C35" s="11">
        <f>March!C35-February!C35</f>
        <v>-89</v>
      </c>
      <c r="D35" s="11">
        <f>March!D35-February!D35</f>
        <v>0</v>
      </c>
      <c r="E35" s="11">
        <f>March!E35-February!E35</f>
        <v>-42</v>
      </c>
      <c r="F35" s="10">
        <f t="shared" si="0"/>
        <v>-217</v>
      </c>
    </row>
    <row r="36" spans="1:6" x14ac:dyDescent="0.25">
      <c r="A36" s="1" t="s">
        <v>33</v>
      </c>
      <c r="B36" s="11">
        <f>March!B36-February!B36</f>
        <v>4</v>
      </c>
      <c r="C36" s="11">
        <f>March!C36-February!C36</f>
        <v>1</v>
      </c>
      <c r="D36" s="11">
        <f>March!D36-February!D36</f>
        <v>0</v>
      </c>
      <c r="E36" s="11">
        <f>March!E36-February!E36</f>
        <v>6</v>
      </c>
      <c r="F36" s="10">
        <f t="shared" si="0"/>
        <v>11</v>
      </c>
    </row>
    <row r="37" spans="1:6" x14ac:dyDescent="0.25">
      <c r="A37" s="1" t="s">
        <v>34</v>
      </c>
      <c r="B37" s="11">
        <f>March!B37-February!B37</f>
        <v>6</v>
      </c>
      <c r="C37" s="11">
        <f>March!C37-February!C37</f>
        <v>-10</v>
      </c>
      <c r="D37" s="11">
        <f>March!D37-February!D37</f>
        <v>0</v>
      </c>
      <c r="E37" s="11">
        <f>March!E37-February!E37</f>
        <v>3</v>
      </c>
      <c r="F37" s="10">
        <f t="shared" si="0"/>
        <v>-1</v>
      </c>
    </row>
    <row r="38" spans="1:6" x14ac:dyDescent="0.25">
      <c r="A38" s="1" t="s">
        <v>35</v>
      </c>
      <c r="B38" s="11">
        <f>March!B38-February!B38</f>
        <v>460</v>
      </c>
      <c r="C38" s="11">
        <f>March!C38-February!C38</f>
        <v>269</v>
      </c>
      <c r="D38" s="11">
        <f>March!D38-February!D38</f>
        <v>9</v>
      </c>
      <c r="E38" s="11">
        <f>March!E38-February!E38</f>
        <v>395</v>
      </c>
      <c r="F38" s="10">
        <f t="shared" si="0"/>
        <v>1133</v>
      </c>
    </row>
    <row r="39" spans="1:6" x14ac:dyDescent="0.25">
      <c r="A39" s="1" t="s">
        <v>36</v>
      </c>
      <c r="B39" s="11">
        <f>March!B39-February!B39</f>
        <v>442</v>
      </c>
      <c r="C39" s="11">
        <f>March!C39-February!C39</f>
        <v>263</v>
      </c>
      <c r="D39" s="11">
        <f>March!D39-February!D39</f>
        <v>48</v>
      </c>
      <c r="E39" s="11">
        <f>March!E39-February!E39</f>
        <v>596</v>
      </c>
      <c r="F39" s="10">
        <f t="shared" si="0"/>
        <v>1349</v>
      </c>
    </row>
    <row r="40" spans="1:6" x14ac:dyDescent="0.25">
      <c r="A40" s="1" t="s">
        <v>37</v>
      </c>
      <c r="B40" s="11">
        <f>March!B40-February!B40</f>
        <v>78</v>
      </c>
      <c r="C40" s="11">
        <f>March!C40-February!C40</f>
        <v>-39</v>
      </c>
      <c r="D40" s="11">
        <f>March!D40-February!D40</f>
        <v>8</v>
      </c>
      <c r="E40" s="11">
        <f>March!E40-February!E40</f>
        <v>79</v>
      </c>
      <c r="F40" s="10">
        <f t="shared" si="0"/>
        <v>126</v>
      </c>
    </row>
    <row r="41" spans="1:6" x14ac:dyDescent="0.25">
      <c r="A41" s="1" t="s">
        <v>38</v>
      </c>
      <c r="B41" s="11">
        <f>March!B41-February!B41</f>
        <v>60</v>
      </c>
      <c r="C41" s="11">
        <f>March!C41-February!C41</f>
        <v>-5</v>
      </c>
      <c r="D41" s="11">
        <f>March!D41-February!D41</f>
        <v>-5</v>
      </c>
      <c r="E41" s="11">
        <f>March!E41-February!E41</f>
        <v>34</v>
      </c>
      <c r="F41" s="10">
        <f t="shared" si="0"/>
        <v>84</v>
      </c>
    </row>
    <row r="42" spans="1:6" x14ac:dyDescent="0.25">
      <c r="A42" s="1" t="s">
        <v>39</v>
      </c>
      <c r="B42" s="11">
        <f>March!B42-February!B42</f>
        <v>0</v>
      </c>
      <c r="C42" s="11">
        <f>March!C42-February!C42</f>
        <v>-9</v>
      </c>
      <c r="D42" s="11">
        <f>March!D42-February!D42</f>
        <v>-11</v>
      </c>
      <c r="E42" s="11">
        <f>March!E42-February!E42</f>
        <v>13</v>
      </c>
      <c r="F42" s="10">
        <f t="shared" si="0"/>
        <v>-7</v>
      </c>
    </row>
    <row r="43" spans="1:6" x14ac:dyDescent="0.25">
      <c r="A43" s="1" t="s">
        <v>40</v>
      </c>
      <c r="B43" s="11">
        <f>March!B43-February!B43</f>
        <v>8</v>
      </c>
      <c r="C43" s="11">
        <f>March!C43-February!C43</f>
        <v>-11</v>
      </c>
      <c r="D43" s="11">
        <f>March!D43-February!D43</f>
        <v>0</v>
      </c>
      <c r="E43" s="11">
        <f>March!E43-February!E43</f>
        <v>-3</v>
      </c>
      <c r="F43" s="10">
        <f t="shared" si="0"/>
        <v>-6</v>
      </c>
    </row>
    <row r="44" spans="1:6" x14ac:dyDescent="0.25">
      <c r="A44" s="1" t="s">
        <v>41</v>
      </c>
      <c r="B44" s="11">
        <f>March!B44-February!B44</f>
        <v>207</v>
      </c>
      <c r="C44" s="11">
        <f>March!C44-February!C44</f>
        <v>74</v>
      </c>
      <c r="D44" s="11">
        <f>March!D44-February!D44</f>
        <v>9</v>
      </c>
      <c r="E44" s="11">
        <f>March!E44-February!E44</f>
        <v>217</v>
      </c>
      <c r="F44" s="10">
        <f t="shared" si="0"/>
        <v>507</v>
      </c>
    </row>
    <row r="45" spans="1:6" x14ac:dyDescent="0.25">
      <c r="A45" s="1" t="s">
        <v>42</v>
      </c>
      <c r="B45" s="11">
        <f>March!B45-February!B45</f>
        <v>-21</v>
      </c>
      <c r="C45" s="11">
        <f>March!C45-February!C45</f>
        <v>-83</v>
      </c>
      <c r="D45" s="11">
        <f>March!D45-February!D45</f>
        <v>9</v>
      </c>
      <c r="E45" s="11">
        <f>March!E45-February!E45</f>
        <v>253</v>
      </c>
      <c r="F45" s="10">
        <f t="shared" si="0"/>
        <v>158</v>
      </c>
    </row>
    <row r="46" spans="1:6" x14ac:dyDescent="0.25">
      <c r="A46" s="1" t="s">
        <v>43</v>
      </c>
      <c r="B46" s="11">
        <f>March!B46-February!B46</f>
        <v>-445</v>
      </c>
      <c r="C46" s="11">
        <f>March!C46-February!C46</f>
        <v>-346</v>
      </c>
      <c r="D46" s="11">
        <f>March!D46-February!D46</f>
        <v>35</v>
      </c>
      <c r="E46" s="11">
        <f>March!E46-February!E46</f>
        <v>-535</v>
      </c>
      <c r="F46" s="10">
        <f t="shared" si="0"/>
        <v>-1291</v>
      </c>
    </row>
    <row r="47" spans="1:6" x14ac:dyDescent="0.25">
      <c r="A47" s="1" t="s">
        <v>44</v>
      </c>
      <c r="B47" s="11">
        <f>March!B47-February!B47</f>
        <v>-118</v>
      </c>
      <c r="C47" s="11">
        <f>March!C47-February!C47</f>
        <v>-30</v>
      </c>
      <c r="D47" s="11">
        <f>March!D47-February!D47</f>
        <v>107</v>
      </c>
      <c r="E47" s="11">
        <f>March!E47-February!E47</f>
        <v>1027</v>
      </c>
      <c r="F47" s="10">
        <f t="shared" si="0"/>
        <v>986</v>
      </c>
    </row>
    <row r="48" spans="1:6" x14ac:dyDescent="0.25">
      <c r="A48" s="1" t="s">
        <v>45</v>
      </c>
      <c r="B48" s="11">
        <f>March!B48-February!B48</f>
        <v>52</v>
      </c>
      <c r="C48" s="11">
        <f>March!C48-February!C48</f>
        <v>7</v>
      </c>
      <c r="D48" s="11">
        <f>March!D48-February!D48</f>
        <v>21</v>
      </c>
      <c r="E48" s="11">
        <f>March!E48-February!E48</f>
        <v>42</v>
      </c>
      <c r="F48" s="10">
        <f t="shared" si="0"/>
        <v>122</v>
      </c>
    </row>
    <row r="49" spans="1:6" x14ac:dyDescent="0.25">
      <c r="A49" s="1" t="s">
        <v>46</v>
      </c>
      <c r="B49" s="11">
        <f>March!B49-February!B49</f>
        <v>25</v>
      </c>
      <c r="C49" s="11">
        <f>March!C49-February!C49</f>
        <v>-28</v>
      </c>
      <c r="D49" s="11">
        <f>March!D49-February!D49</f>
        <v>10</v>
      </c>
      <c r="E49" s="11">
        <f>March!E49-February!E49</f>
        <v>-22</v>
      </c>
      <c r="F49" s="10">
        <f t="shared" si="0"/>
        <v>-15</v>
      </c>
    </row>
    <row r="50" spans="1:6" x14ac:dyDescent="0.25">
      <c r="A50" s="1" t="s">
        <v>47</v>
      </c>
      <c r="B50" s="11">
        <f>March!B50-February!B50</f>
        <v>128</v>
      </c>
      <c r="C50" s="11">
        <f>March!C50-February!C50</f>
        <v>62</v>
      </c>
      <c r="D50" s="11">
        <f>March!D50-February!D50</f>
        <v>30</v>
      </c>
      <c r="E50" s="11">
        <f>March!E50-February!E50</f>
        <v>134</v>
      </c>
      <c r="F50" s="10">
        <f t="shared" si="0"/>
        <v>354</v>
      </c>
    </row>
    <row r="51" spans="1:6" x14ac:dyDescent="0.25">
      <c r="A51" s="1" t="s">
        <v>48</v>
      </c>
      <c r="B51" s="11">
        <f>March!B51-February!B51</f>
        <v>28</v>
      </c>
      <c r="C51" s="11">
        <f>March!C51-February!C51</f>
        <v>-13</v>
      </c>
      <c r="D51" s="11">
        <f>March!D51-February!D51</f>
        <v>1</v>
      </c>
      <c r="E51" s="11">
        <f>March!E51-February!E51</f>
        <v>12</v>
      </c>
      <c r="F51" s="10">
        <f t="shared" si="0"/>
        <v>28</v>
      </c>
    </row>
    <row r="52" spans="1:6" x14ac:dyDescent="0.25">
      <c r="A52" s="1" t="s">
        <v>49</v>
      </c>
      <c r="B52" s="11">
        <f>March!B52-February!B52</f>
        <v>908</v>
      </c>
      <c r="C52" s="11">
        <f>March!C52-February!C52</f>
        <v>1297</v>
      </c>
      <c r="D52" s="11">
        <f>March!D52-February!D52</f>
        <v>106</v>
      </c>
      <c r="E52" s="11">
        <f>March!E52-February!E52</f>
        <v>1546</v>
      </c>
      <c r="F52" s="10">
        <f t="shared" si="0"/>
        <v>3857</v>
      </c>
    </row>
    <row r="53" spans="1:6" x14ac:dyDescent="0.25">
      <c r="A53" s="1" t="s">
        <v>50</v>
      </c>
      <c r="B53" s="11">
        <f>March!B53-February!B53</f>
        <v>-462</v>
      </c>
      <c r="C53" s="11">
        <f>March!C53-February!C53</f>
        <v>-930</v>
      </c>
      <c r="D53" s="11">
        <f>March!D53-February!D53</f>
        <v>19</v>
      </c>
      <c r="E53" s="11">
        <f>March!E53-February!E53</f>
        <v>-632</v>
      </c>
      <c r="F53" s="10">
        <f t="shared" si="0"/>
        <v>-2005</v>
      </c>
    </row>
    <row r="54" spans="1:6" x14ac:dyDescent="0.25">
      <c r="A54" s="1" t="s">
        <v>51</v>
      </c>
      <c r="B54" s="11">
        <f>March!B54-February!B54</f>
        <v>1468</v>
      </c>
      <c r="C54" s="11">
        <f>March!C54-February!C54</f>
        <v>1086</v>
      </c>
      <c r="D54" s="11">
        <f>March!D54-February!D54</f>
        <v>305</v>
      </c>
      <c r="E54" s="11">
        <f>March!E54-February!E54</f>
        <v>-1342</v>
      </c>
      <c r="F54" s="10">
        <f t="shared" si="0"/>
        <v>1517</v>
      </c>
    </row>
    <row r="55" spans="1:6" x14ac:dyDescent="0.25">
      <c r="A55" s="1" t="s">
        <v>52</v>
      </c>
      <c r="B55" s="11">
        <f>March!B55-February!B55</f>
        <v>221</v>
      </c>
      <c r="C55" s="11">
        <f>March!C55-February!C55</f>
        <v>16</v>
      </c>
      <c r="D55" s="11">
        <f>March!D55-February!D55</f>
        <v>31</v>
      </c>
      <c r="E55" s="11">
        <f>March!E55-February!E55</f>
        <v>229</v>
      </c>
      <c r="F55" s="10">
        <f t="shared" si="0"/>
        <v>497</v>
      </c>
    </row>
    <row r="56" spans="1:6" x14ac:dyDescent="0.25">
      <c r="A56" s="1" t="s">
        <v>53</v>
      </c>
      <c r="B56" s="11">
        <f>March!B56-February!B56</f>
        <v>-370</v>
      </c>
      <c r="C56" s="11">
        <f>March!C56-February!C56</f>
        <v>-692</v>
      </c>
      <c r="D56" s="11">
        <f>March!D56-February!D56</f>
        <v>62</v>
      </c>
      <c r="E56" s="11">
        <f>March!E56-February!E56</f>
        <v>-340</v>
      </c>
      <c r="F56" s="10">
        <f t="shared" si="0"/>
        <v>-1340</v>
      </c>
    </row>
    <row r="57" spans="1:6" x14ac:dyDescent="0.25">
      <c r="A57" s="1" t="s">
        <v>54</v>
      </c>
      <c r="B57" s="11">
        <f>March!B57-February!B57</f>
        <v>535</v>
      </c>
      <c r="C57" s="11">
        <f>March!C57-February!C57</f>
        <v>338</v>
      </c>
      <c r="D57" s="11">
        <f>March!D57-February!D57</f>
        <v>48</v>
      </c>
      <c r="E57" s="11">
        <f>March!E57-February!E57</f>
        <v>848</v>
      </c>
      <c r="F57" s="10">
        <f t="shared" si="0"/>
        <v>1769</v>
      </c>
    </row>
    <row r="58" spans="1:6" x14ac:dyDescent="0.25">
      <c r="A58" s="1" t="s">
        <v>55</v>
      </c>
      <c r="B58" s="11">
        <f>March!B58-February!B58</f>
        <v>77</v>
      </c>
      <c r="C58" s="11">
        <f>March!C58-February!C58</f>
        <v>-21</v>
      </c>
      <c r="D58" s="11">
        <f>March!D58-February!D58</f>
        <v>7</v>
      </c>
      <c r="E58" s="11">
        <f>March!E58-February!E58</f>
        <v>38</v>
      </c>
      <c r="F58" s="10">
        <f t="shared" si="0"/>
        <v>101</v>
      </c>
    </row>
    <row r="59" spans="1:6" x14ac:dyDescent="0.25">
      <c r="A59" s="1" t="s">
        <v>56</v>
      </c>
      <c r="B59" s="11">
        <f>March!B59-February!B59</f>
        <v>161</v>
      </c>
      <c r="C59" s="11">
        <f>March!C59-February!C59</f>
        <v>12</v>
      </c>
      <c r="D59" s="11">
        <f>March!D59-February!D59</f>
        <v>16</v>
      </c>
      <c r="E59" s="11">
        <f>March!E59-February!E59</f>
        <v>144</v>
      </c>
      <c r="F59" s="10">
        <f t="shared" si="0"/>
        <v>333</v>
      </c>
    </row>
    <row r="60" spans="1:6" x14ac:dyDescent="0.25">
      <c r="A60" s="1" t="s">
        <v>57</v>
      </c>
      <c r="B60" s="11">
        <f>March!B60-February!B60</f>
        <v>200</v>
      </c>
      <c r="C60" s="11">
        <f>March!C60-February!C60</f>
        <v>136</v>
      </c>
      <c r="D60" s="11">
        <f>March!D60-February!D60</f>
        <v>23</v>
      </c>
      <c r="E60" s="11">
        <f>March!E60-February!E60</f>
        <v>258</v>
      </c>
      <c r="F60" s="10">
        <f t="shared" si="0"/>
        <v>617</v>
      </c>
    </row>
    <row r="61" spans="1:6" x14ac:dyDescent="0.25">
      <c r="A61" s="1" t="s">
        <v>58</v>
      </c>
      <c r="B61" s="11">
        <f>March!B61-February!B61</f>
        <v>-1377</v>
      </c>
      <c r="C61" s="11">
        <f>March!C61-February!C61</f>
        <v>-1362</v>
      </c>
      <c r="D61" s="11">
        <f>March!D61-February!D61</f>
        <v>-7</v>
      </c>
      <c r="E61" s="11">
        <f>March!E61-February!E61</f>
        <v>-1294</v>
      </c>
      <c r="F61" s="10">
        <f t="shared" si="0"/>
        <v>-4040</v>
      </c>
    </row>
    <row r="62" spans="1:6" x14ac:dyDescent="0.25">
      <c r="A62" s="1" t="s">
        <v>59</v>
      </c>
      <c r="B62" s="11">
        <f>March!B62-February!B62</f>
        <v>297</v>
      </c>
      <c r="C62" s="11">
        <f>March!C62-February!C62</f>
        <v>109</v>
      </c>
      <c r="D62" s="11">
        <f>March!D62-February!D62</f>
        <v>22</v>
      </c>
      <c r="E62" s="11">
        <f>March!E62-February!E62</f>
        <v>35</v>
      </c>
      <c r="F62" s="10">
        <f t="shared" si="0"/>
        <v>463</v>
      </c>
    </row>
    <row r="63" spans="1:6" x14ac:dyDescent="0.25">
      <c r="A63" s="1" t="s">
        <v>60</v>
      </c>
      <c r="B63" s="11">
        <f>March!B63-February!B63</f>
        <v>-253</v>
      </c>
      <c r="C63" s="11">
        <f>March!C63-February!C63</f>
        <v>-667</v>
      </c>
      <c r="D63" s="11">
        <f>March!D63-February!D63</f>
        <v>7</v>
      </c>
      <c r="E63" s="11">
        <f>March!E63-February!E63</f>
        <v>-525</v>
      </c>
      <c r="F63" s="10">
        <f t="shared" si="0"/>
        <v>-1438</v>
      </c>
    </row>
    <row r="64" spans="1:6" x14ac:dyDescent="0.25">
      <c r="A64" s="1" t="s">
        <v>61</v>
      </c>
      <c r="B64" s="11">
        <f>March!B64-February!B64</f>
        <v>-162</v>
      </c>
      <c r="C64" s="11">
        <f>March!C64-February!C64</f>
        <v>-153</v>
      </c>
      <c r="D64" s="11">
        <f>March!D64-February!D64</f>
        <v>-21</v>
      </c>
      <c r="E64" s="11">
        <f>March!E64-February!E64</f>
        <v>-164</v>
      </c>
      <c r="F64" s="10">
        <f t="shared" si="0"/>
        <v>-500</v>
      </c>
    </row>
    <row r="65" spans="1:6" x14ac:dyDescent="0.25">
      <c r="A65" s="1" t="s">
        <v>62</v>
      </c>
      <c r="B65" s="11">
        <f>March!B65-February!B65</f>
        <v>50</v>
      </c>
      <c r="C65" s="11">
        <f>March!C65-February!C65</f>
        <v>-24</v>
      </c>
      <c r="D65" s="11">
        <f>March!D65-February!D65</f>
        <v>-733</v>
      </c>
      <c r="E65" s="11">
        <f>March!E65-February!E65</f>
        <v>703</v>
      </c>
      <c r="F65" s="10">
        <f t="shared" si="0"/>
        <v>-4</v>
      </c>
    </row>
    <row r="66" spans="1:6" x14ac:dyDescent="0.25">
      <c r="A66" s="1" t="s">
        <v>63</v>
      </c>
      <c r="B66" s="11">
        <f>March!B66-February!B66</f>
        <v>14</v>
      </c>
      <c r="C66" s="11">
        <f>March!C66-February!C66</f>
        <v>-15</v>
      </c>
      <c r="D66" s="11">
        <f>March!D66-February!D66</f>
        <v>-1</v>
      </c>
      <c r="E66" s="11">
        <f>March!E66-February!E66</f>
        <v>5</v>
      </c>
      <c r="F66" s="10">
        <f t="shared" si="0"/>
        <v>3</v>
      </c>
    </row>
    <row r="67" spans="1:6" x14ac:dyDescent="0.25">
      <c r="A67" s="1" t="s">
        <v>64</v>
      </c>
      <c r="B67" s="11">
        <f>March!B67-February!B67</f>
        <v>8</v>
      </c>
      <c r="C67" s="11">
        <f>March!C67-February!C67</f>
        <v>-15</v>
      </c>
      <c r="D67" s="11">
        <f>March!D67-February!D67</f>
        <v>0</v>
      </c>
      <c r="E67" s="11">
        <f>March!E67-February!E67</f>
        <v>-4</v>
      </c>
      <c r="F67" s="10">
        <f t="shared" si="0"/>
        <v>-11</v>
      </c>
    </row>
    <row r="68" spans="1:6" x14ac:dyDescent="0.25">
      <c r="A68" s="1" t="s">
        <v>65</v>
      </c>
      <c r="B68" s="11">
        <f>March!B68-February!B68</f>
        <v>538</v>
      </c>
      <c r="C68" s="11">
        <f>March!C68-February!C68</f>
        <v>238</v>
      </c>
      <c r="D68" s="11">
        <f>March!D68-February!D68</f>
        <v>61</v>
      </c>
      <c r="E68" s="11">
        <f>March!E68-February!E68</f>
        <v>646</v>
      </c>
      <c r="F68" s="10">
        <f t="shared" si="0"/>
        <v>1483</v>
      </c>
    </row>
    <row r="69" spans="1:6" x14ac:dyDescent="0.25">
      <c r="A69" s="1" t="s">
        <v>66</v>
      </c>
      <c r="B69" s="11">
        <f>March!B69-February!B69</f>
        <v>-53</v>
      </c>
      <c r="C69" s="11">
        <f>March!C69-February!C69</f>
        <v>-114</v>
      </c>
      <c r="D69" s="11">
        <f>March!D69-February!D69</f>
        <v>-4</v>
      </c>
      <c r="E69" s="11">
        <f>March!E69-February!E69</f>
        <v>-67</v>
      </c>
      <c r="F69" s="10">
        <f t="shared" si="0"/>
        <v>-238</v>
      </c>
    </row>
    <row r="70" spans="1:6" x14ac:dyDescent="0.25">
      <c r="A70" s="1" t="s">
        <v>67</v>
      </c>
      <c r="B70" s="11">
        <f>March!B70-February!B70</f>
        <v>97</v>
      </c>
      <c r="C70" s="11">
        <f>March!C70-February!C70</f>
        <v>11</v>
      </c>
      <c r="D70" s="11">
        <f>March!D70-February!D70</f>
        <v>7</v>
      </c>
      <c r="E70" s="11">
        <f>March!E70-February!E70</f>
        <v>11</v>
      </c>
      <c r="F70" s="10">
        <f t="shared" ref="F70:F71" si="1">SUM(B70:E70)</f>
        <v>126</v>
      </c>
    </row>
    <row r="71" spans="1:6" ht="15.75" thickBot="1" x14ac:dyDescent="0.3">
      <c r="A71" s="1" t="s">
        <v>68</v>
      </c>
      <c r="B71" s="11">
        <f>March!B71-February!B71</f>
        <v>39</v>
      </c>
      <c r="C71" s="11">
        <f>March!C71-February!C71</f>
        <v>-5</v>
      </c>
      <c r="D71" s="11">
        <f>March!D71-February!D71</f>
        <v>-148</v>
      </c>
      <c r="E71" s="11">
        <f>March!E71-February!E71</f>
        <v>163</v>
      </c>
      <c r="F71" s="10">
        <f t="shared" si="1"/>
        <v>49</v>
      </c>
    </row>
    <row r="72" spans="1:6" ht="16.5" thickTop="1" thickBot="1" x14ac:dyDescent="0.3">
      <c r="A72" s="3" t="s">
        <v>1</v>
      </c>
      <c r="B72" s="8">
        <f>SUM(B5:B71)</f>
        <v>-2798</v>
      </c>
      <c r="C72" s="8">
        <f>SUM(C5:C71)</f>
        <v>-14724</v>
      </c>
      <c r="D72" s="8">
        <f>SUM(D5:D71)</f>
        <v>390</v>
      </c>
      <c r="E72" s="8">
        <f>SUM(E5:E71)</f>
        <v>-8392</v>
      </c>
      <c r="F72" s="8">
        <f>SUM(F5:F71)</f>
        <v>-25524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102</v>
      </c>
      <c r="B1" s="17"/>
      <c r="C1" s="17"/>
      <c r="D1" s="17"/>
      <c r="E1" s="17"/>
      <c r="F1" s="18"/>
    </row>
    <row r="2" spans="1:6" x14ac:dyDescent="0.25">
      <c r="A2" s="13" t="s">
        <v>82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April!B5-March!B5</f>
        <v>-46</v>
      </c>
      <c r="C5" s="11">
        <f>April!C5-March!C5</f>
        <v>-122</v>
      </c>
      <c r="D5" s="11">
        <f>April!D5-March!D5</f>
        <v>-22</v>
      </c>
      <c r="E5" s="11">
        <f>April!E5-March!E5</f>
        <v>29</v>
      </c>
      <c r="F5" s="10">
        <f>SUM(B5:E5)</f>
        <v>-161</v>
      </c>
    </row>
    <row r="6" spans="1:6" x14ac:dyDescent="0.25">
      <c r="A6" s="1" t="s">
        <v>3</v>
      </c>
      <c r="B6" s="11">
        <f>April!B6-March!B6</f>
        <v>17</v>
      </c>
      <c r="C6" s="11">
        <f>April!C6-March!C6</f>
        <v>-7</v>
      </c>
      <c r="D6" s="11">
        <f>April!D6-March!D6</f>
        <v>0</v>
      </c>
      <c r="E6" s="11">
        <f>April!E6-March!E6</f>
        <v>6</v>
      </c>
      <c r="F6" s="10">
        <f t="shared" ref="F6:F69" si="0">SUM(B6:E6)</f>
        <v>16</v>
      </c>
    </row>
    <row r="7" spans="1:6" x14ac:dyDescent="0.25">
      <c r="A7" s="1" t="s">
        <v>4</v>
      </c>
      <c r="B7" s="11">
        <f>April!B7-March!B7</f>
        <v>25</v>
      </c>
      <c r="C7" s="11">
        <f>April!C7-March!C7</f>
        <v>-77</v>
      </c>
      <c r="D7" s="11">
        <f>April!D7-March!D7</f>
        <v>16</v>
      </c>
      <c r="E7" s="11">
        <f>April!E7-March!E7</f>
        <v>74</v>
      </c>
      <c r="F7" s="10">
        <f t="shared" si="0"/>
        <v>38</v>
      </c>
    </row>
    <row r="8" spans="1:6" x14ac:dyDescent="0.25">
      <c r="A8" s="1" t="s">
        <v>5</v>
      </c>
      <c r="B8" s="11">
        <f>April!B8-March!B8</f>
        <v>10</v>
      </c>
      <c r="C8" s="11">
        <f>April!C8-March!C8</f>
        <v>-7</v>
      </c>
      <c r="D8" s="11">
        <f>April!D8-March!D8</f>
        <v>3</v>
      </c>
      <c r="E8" s="11">
        <f>April!E8-March!E8</f>
        <v>15</v>
      </c>
      <c r="F8" s="10">
        <f t="shared" si="0"/>
        <v>21</v>
      </c>
    </row>
    <row r="9" spans="1:6" x14ac:dyDescent="0.25">
      <c r="A9" s="1" t="s">
        <v>6</v>
      </c>
      <c r="B9" s="11">
        <f>April!B9-March!B9</f>
        <v>-856</v>
      </c>
      <c r="C9" s="11">
        <f>April!C9-March!C9</f>
        <v>-746</v>
      </c>
      <c r="D9" s="11">
        <f>April!D9-March!D9</f>
        <v>-1384</v>
      </c>
      <c r="E9" s="11">
        <f>April!E9-March!E9</f>
        <v>769</v>
      </c>
      <c r="F9" s="10">
        <f t="shared" si="0"/>
        <v>-2217</v>
      </c>
    </row>
    <row r="10" spans="1:6" x14ac:dyDescent="0.25">
      <c r="A10" s="1" t="s">
        <v>7</v>
      </c>
      <c r="B10" s="11">
        <f>April!B10-March!B10</f>
        <v>-321</v>
      </c>
      <c r="C10" s="11">
        <f>April!C10-March!C10</f>
        <v>-1447</v>
      </c>
      <c r="D10" s="11">
        <f>April!D10-March!D10</f>
        <v>120</v>
      </c>
      <c r="E10" s="11">
        <f>April!E10-March!E10</f>
        <v>-398</v>
      </c>
      <c r="F10" s="10">
        <f t="shared" si="0"/>
        <v>-2046</v>
      </c>
    </row>
    <row r="11" spans="1:6" x14ac:dyDescent="0.25">
      <c r="A11" s="1" t="s">
        <v>8</v>
      </c>
      <c r="B11" s="11">
        <f>April!B11-March!B11</f>
        <v>12</v>
      </c>
      <c r="C11" s="11">
        <f>April!C11-March!C11</f>
        <v>-12</v>
      </c>
      <c r="D11" s="11">
        <f>April!D11-March!D11</f>
        <v>-13</v>
      </c>
      <c r="E11" s="11">
        <f>April!E11-March!E11</f>
        <v>14</v>
      </c>
      <c r="F11" s="10">
        <f t="shared" si="0"/>
        <v>1</v>
      </c>
    </row>
    <row r="12" spans="1:6" x14ac:dyDescent="0.25">
      <c r="A12" s="1" t="s">
        <v>9</v>
      </c>
      <c r="B12" s="11">
        <f>April!B12-March!B12</f>
        <v>186</v>
      </c>
      <c r="C12" s="11">
        <f>April!C12-March!C12</f>
        <v>78</v>
      </c>
      <c r="D12" s="11">
        <f>April!D12-March!D12</f>
        <v>-731</v>
      </c>
      <c r="E12" s="11">
        <f>April!E12-March!E12</f>
        <v>748</v>
      </c>
      <c r="F12" s="10">
        <f t="shared" si="0"/>
        <v>281</v>
      </c>
    </row>
    <row r="13" spans="1:6" x14ac:dyDescent="0.25">
      <c r="A13" s="1" t="s">
        <v>10</v>
      </c>
      <c r="B13" s="11">
        <f>April!B13-March!B13</f>
        <v>-203</v>
      </c>
      <c r="C13" s="11">
        <f>April!C13-March!C13</f>
        <v>-360</v>
      </c>
      <c r="D13" s="11">
        <f>April!D13-March!D13</f>
        <v>-358</v>
      </c>
      <c r="E13" s="11">
        <f>April!E13-March!E13</f>
        <v>103</v>
      </c>
      <c r="F13" s="10">
        <f t="shared" si="0"/>
        <v>-818</v>
      </c>
    </row>
    <row r="14" spans="1:6" x14ac:dyDescent="0.25">
      <c r="A14" s="1" t="s">
        <v>11</v>
      </c>
      <c r="B14" s="11">
        <f>April!B14-March!B14</f>
        <v>84</v>
      </c>
      <c r="C14" s="11">
        <f>April!C14-March!C14</f>
        <v>49</v>
      </c>
      <c r="D14" s="11">
        <f>April!D14-March!D14</f>
        <v>-497</v>
      </c>
      <c r="E14" s="11">
        <f>April!E14-March!E14</f>
        <v>633</v>
      </c>
      <c r="F14" s="10">
        <f t="shared" si="0"/>
        <v>269</v>
      </c>
    </row>
    <row r="15" spans="1:6" x14ac:dyDescent="0.25">
      <c r="A15" s="1" t="s">
        <v>12</v>
      </c>
      <c r="B15" s="11">
        <f>April!B15-March!B15</f>
        <v>-2633</v>
      </c>
      <c r="C15" s="11">
        <f>April!C15-March!C15</f>
        <v>-2651</v>
      </c>
      <c r="D15" s="11">
        <f>April!D15-March!D15</f>
        <v>-317</v>
      </c>
      <c r="E15" s="11">
        <f>April!E15-March!E15</f>
        <v>-3371</v>
      </c>
      <c r="F15" s="10">
        <f t="shared" si="0"/>
        <v>-8972</v>
      </c>
    </row>
    <row r="16" spans="1:6" x14ac:dyDescent="0.25">
      <c r="A16" s="1" t="s">
        <v>13</v>
      </c>
      <c r="B16" s="11">
        <f>April!B16-March!B16</f>
        <v>35</v>
      </c>
      <c r="C16" s="11">
        <f>April!C16-March!C16</f>
        <v>-33</v>
      </c>
      <c r="D16" s="11">
        <f>April!D16-March!D16</f>
        <v>-71</v>
      </c>
      <c r="E16" s="11">
        <f>April!E16-March!E16</f>
        <v>29</v>
      </c>
      <c r="F16" s="10">
        <f t="shared" si="0"/>
        <v>-40</v>
      </c>
    </row>
    <row r="17" spans="1:6" x14ac:dyDescent="0.25">
      <c r="A17" s="1" t="s">
        <v>14</v>
      </c>
      <c r="B17" s="11">
        <f>April!B17-March!B17</f>
        <v>14</v>
      </c>
      <c r="C17" s="11">
        <f>April!C17-March!C17</f>
        <v>-19</v>
      </c>
      <c r="D17" s="11">
        <f>April!D17-March!D17</f>
        <v>1</v>
      </c>
      <c r="E17" s="11">
        <f>April!E17-March!E17</f>
        <v>13</v>
      </c>
      <c r="F17" s="10">
        <f t="shared" si="0"/>
        <v>9</v>
      </c>
    </row>
    <row r="18" spans="1:6" x14ac:dyDescent="0.25">
      <c r="A18" s="1" t="s">
        <v>15</v>
      </c>
      <c r="B18" s="11">
        <f>April!B18-March!B18</f>
        <v>6</v>
      </c>
      <c r="C18" s="11">
        <f>April!C18-March!C18</f>
        <v>-20</v>
      </c>
      <c r="D18" s="11">
        <f>April!D18-March!D18</f>
        <v>-27</v>
      </c>
      <c r="E18" s="11">
        <f>April!E18-March!E18</f>
        <v>27</v>
      </c>
      <c r="F18" s="10">
        <f t="shared" si="0"/>
        <v>-14</v>
      </c>
    </row>
    <row r="19" spans="1:6" x14ac:dyDescent="0.25">
      <c r="A19" s="1" t="s">
        <v>16</v>
      </c>
      <c r="B19" s="11">
        <f>April!B19-March!B19</f>
        <v>-533</v>
      </c>
      <c r="C19" s="11">
        <f>April!C19-March!C19</f>
        <v>-689</v>
      </c>
      <c r="D19" s="11">
        <f>April!D19-March!D19</f>
        <v>-1898</v>
      </c>
      <c r="E19" s="11">
        <f>April!E19-March!E19</f>
        <v>1569</v>
      </c>
      <c r="F19" s="10">
        <f t="shared" si="0"/>
        <v>-1551</v>
      </c>
    </row>
    <row r="20" spans="1:6" x14ac:dyDescent="0.25">
      <c r="A20" s="1" t="s">
        <v>17</v>
      </c>
      <c r="B20" s="11">
        <f>April!B20-March!B20</f>
        <v>44</v>
      </c>
      <c r="C20" s="11">
        <f>April!C20-March!C20</f>
        <v>-58</v>
      </c>
      <c r="D20" s="11">
        <f>April!D20-March!D20</f>
        <v>-481</v>
      </c>
      <c r="E20" s="11">
        <f>April!E20-March!E20</f>
        <v>540</v>
      </c>
      <c r="F20" s="10">
        <f t="shared" si="0"/>
        <v>45</v>
      </c>
    </row>
    <row r="21" spans="1:6" x14ac:dyDescent="0.25">
      <c r="A21" s="1" t="s">
        <v>18</v>
      </c>
      <c r="B21" s="11">
        <f>April!B21-March!B21</f>
        <v>34</v>
      </c>
      <c r="C21" s="11">
        <f>April!C21-March!C21</f>
        <v>-67</v>
      </c>
      <c r="D21" s="11">
        <f>April!D21-March!D21</f>
        <v>-290</v>
      </c>
      <c r="E21" s="11">
        <f>April!E21-March!E21</f>
        <v>260</v>
      </c>
      <c r="F21" s="10">
        <f t="shared" si="0"/>
        <v>-63</v>
      </c>
    </row>
    <row r="22" spans="1:6" x14ac:dyDescent="0.25">
      <c r="A22" s="1" t="s">
        <v>19</v>
      </c>
      <c r="B22" s="11">
        <f>April!B22-March!B22</f>
        <v>8</v>
      </c>
      <c r="C22" s="11">
        <f>April!C22-March!C22</f>
        <v>-6</v>
      </c>
      <c r="D22" s="11">
        <f>April!D22-March!D22</f>
        <v>1</v>
      </c>
      <c r="E22" s="11">
        <f>April!E22-March!E22</f>
        <v>2</v>
      </c>
      <c r="F22" s="10">
        <f t="shared" si="0"/>
        <v>5</v>
      </c>
    </row>
    <row r="23" spans="1:6" x14ac:dyDescent="0.25">
      <c r="A23" s="1" t="s">
        <v>20</v>
      </c>
      <c r="B23" s="11">
        <f>April!B23-March!B23</f>
        <v>-18</v>
      </c>
      <c r="C23" s="11">
        <f>April!C23-March!C23</f>
        <v>-175</v>
      </c>
      <c r="D23" s="11">
        <f>April!D23-March!D23</f>
        <v>1</v>
      </c>
      <c r="E23" s="11">
        <f>April!E23-March!E23</f>
        <v>-45</v>
      </c>
      <c r="F23" s="10">
        <f t="shared" si="0"/>
        <v>-237</v>
      </c>
    </row>
    <row r="24" spans="1:6" x14ac:dyDescent="0.25">
      <c r="A24" s="1" t="s">
        <v>21</v>
      </c>
      <c r="B24" s="11">
        <f>April!B24-March!B24</f>
        <v>7</v>
      </c>
      <c r="C24" s="11">
        <f>April!C24-March!C24</f>
        <v>1</v>
      </c>
      <c r="D24" s="11">
        <f>April!D24-March!D24</f>
        <v>0</v>
      </c>
      <c r="E24" s="11">
        <f>April!E24-March!E24</f>
        <v>11</v>
      </c>
      <c r="F24" s="10">
        <f t="shared" si="0"/>
        <v>19</v>
      </c>
    </row>
    <row r="25" spans="1:6" x14ac:dyDescent="0.25">
      <c r="A25" s="1" t="s">
        <v>22</v>
      </c>
      <c r="B25" s="11">
        <f>April!B25-March!B25</f>
        <v>12</v>
      </c>
      <c r="C25" s="11">
        <f>April!C25-March!C25</f>
        <v>-26</v>
      </c>
      <c r="D25" s="11">
        <f>April!D25-March!D25</f>
        <v>-2</v>
      </c>
      <c r="E25" s="11">
        <f>April!E25-March!E25</f>
        <v>-3</v>
      </c>
      <c r="F25" s="10">
        <f t="shared" si="0"/>
        <v>-19</v>
      </c>
    </row>
    <row r="26" spans="1:6" x14ac:dyDescent="0.25">
      <c r="A26" s="1" t="s">
        <v>23</v>
      </c>
      <c r="B26" s="11">
        <f>April!B26-March!B26</f>
        <v>3</v>
      </c>
      <c r="C26" s="11">
        <f>April!C26-March!C26</f>
        <v>-5</v>
      </c>
      <c r="D26" s="11">
        <f>April!D26-March!D26</f>
        <v>2</v>
      </c>
      <c r="E26" s="11">
        <f>April!E26-March!E26</f>
        <v>9</v>
      </c>
      <c r="F26" s="10">
        <f t="shared" si="0"/>
        <v>9</v>
      </c>
    </row>
    <row r="27" spans="1:6" x14ac:dyDescent="0.25">
      <c r="A27" s="1" t="s">
        <v>24</v>
      </c>
      <c r="B27" s="11">
        <f>April!B27-March!B27</f>
        <v>-32</v>
      </c>
      <c r="C27" s="11">
        <f>April!C27-March!C27</f>
        <v>-94</v>
      </c>
      <c r="D27" s="11">
        <f>April!D27-March!D27</f>
        <v>-40</v>
      </c>
      <c r="E27" s="11">
        <f>April!E27-March!E27</f>
        <v>19</v>
      </c>
      <c r="F27" s="10">
        <f t="shared" si="0"/>
        <v>-147</v>
      </c>
    </row>
    <row r="28" spans="1:6" x14ac:dyDescent="0.25">
      <c r="A28" s="1" t="s">
        <v>25</v>
      </c>
      <c r="B28" s="11">
        <f>April!B28-March!B28</f>
        <v>11</v>
      </c>
      <c r="C28" s="11">
        <f>April!C28-March!C28</f>
        <v>1</v>
      </c>
      <c r="D28" s="11">
        <f>April!D28-March!D28</f>
        <v>0</v>
      </c>
      <c r="E28" s="11">
        <f>April!E28-March!E28</f>
        <v>11</v>
      </c>
      <c r="F28" s="10">
        <f t="shared" si="0"/>
        <v>23</v>
      </c>
    </row>
    <row r="29" spans="1:6" x14ac:dyDescent="0.25">
      <c r="A29" s="1" t="s">
        <v>26</v>
      </c>
      <c r="B29" s="11">
        <f>April!B29-March!B29</f>
        <v>-58</v>
      </c>
      <c r="C29" s="11">
        <f>April!C29-March!C29</f>
        <v>-85</v>
      </c>
      <c r="D29" s="11">
        <f>April!D29-March!D29</f>
        <v>-113</v>
      </c>
      <c r="E29" s="11">
        <f>April!E29-March!E29</f>
        <v>77</v>
      </c>
      <c r="F29" s="10">
        <f t="shared" si="0"/>
        <v>-179</v>
      </c>
    </row>
    <row r="30" spans="1:6" x14ac:dyDescent="0.25">
      <c r="A30" s="1" t="s">
        <v>27</v>
      </c>
      <c r="B30" s="11">
        <f>April!B30-March!B30</f>
        <v>149</v>
      </c>
      <c r="C30" s="11">
        <f>April!C30-March!C30</f>
        <v>62</v>
      </c>
      <c r="D30" s="11">
        <f>April!D30-March!D30</f>
        <v>-653</v>
      </c>
      <c r="E30" s="11">
        <f>April!E30-March!E30</f>
        <v>795</v>
      </c>
      <c r="F30" s="10">
        <f t="shared" si="0"/>
        <v>353</v>
      </c>
    </row>
    <row r="31" spans="1:6" x14ac:dyDescent="0.25">
      <c r="A31" s="1" t="s">
        <v>28</v>
      </c>
      <c r="B31" s="11">
        <f>April!B31-March!B31</f>
        <v>-743</v>
      </c>
      <c r="C31" s="11">
        <f>April!C31-March!C31</f>
        <v>-908</v>
      </c>
      <c r="D31" s="11">
        <f>April!D31-March!D31</f>
        <v>-307</v>
      </c>
      <c r="E31" s="11">
        <f>April!E31-March!E31</f>
        <v>-263</v>
      </c>
      <c r="F31" s="10">
        <f t="shared" si="0"/>
        <v>-2221</v>
      </c>
    </row>
    <row r="32" spans="1:6" x14ac:dyDescent="0.25">
      <c r="A32" s="1" t="s">
        <v>29</v>
      </c>
      <c r="B32" s="11">
        <f>April!B32-March!B32</f>
        <v>258</v>
      </c>
      <c r="C32" s="11">
        <f>April!C32-March!C32</f>
        <v>47</v>
      </c>
      <c r="D32" s="11">
        <f>April!D32-March!D32</f>
        <v>-2666</v>
      </c>
      <c r="E32" s="11">
        <f>April!E32-March!E32</f>
        <v>3316</v>
      </c>
      <c r="F32" s="10">
        <f t="shared" si="0"/>
        <v>955</v>
      </c>
    </row>
    <row r="33" spans="1:6" x14ac:dyDescent="0.25">
      <c r="A33" s="1" t="s">
        <v>30</v>
      </c>
      <c r="B33" s="11">
        <f>April!B33-March!B33</f>
        <v>7</v>
      </c>
      <c r="C33" s="11">
        <f>April!C33-March!C33</f>
        <v>-45</v>
      </c>
      <c r="D33" s="11">
        <f>April!D33-March!D33</f>
        <v>-13</v>
      </c>
      <c r="E33" s="11">
        <f>April!E33-March!E33</f>
        <v>8</v>
      </c>
      <c r="F33" s="10">
        <f t="shared" si="0"/>
        <v>-43</v>
      </c>
    </row>
    <row r="34" spans="1:6" x14ac:dyDescent="0.25">
      <c r="A34" s="1" t="s">
        <v>31</v>
      </c>
      <c r="B34" s="11">
        <f>April!B34-March!B34</f>
        <v>140</v>
      </c>
      <c r="C34" s="11">
        <f>April!C34-March!C34</f>
        <v>96</v>
      </c>
      <c r="D34" s="11">
        <f>April!D34-March!D34</f>
        <v>-536</v>
      </c>
      <c r="E34" s="11">
        <f>April!E34-March!E34</f>
        <v>738</v>
      </c>
      <c r="F34" s="10">
        <f t="shared" si="0"/>
        <v>438</v>
      </c>
    </row>
    <row r="35" spans="1:6" x14ac:dyDescent="0.25">
      <c r="A35" s="1" t="s">
        <v>32</v>
      </c>
      <c r="B35" s="11">
        <f>April!B35-March!B35</f>
        <v>31</v>
      </c>
      <c r="C35" s="11">
        <f>April!C35-March!C35</f>
        <v>-10</v>
      </c>
      <c r="D35" s="11">
        <f>April!D35-March!D35</f>
        <v>-35</v>
      </c>
      <c r="E35" s="11">
        <f>April!E35-March!E35</f>
        <v>41</v>
      </c>
      <c r="F35" s="10">
        <f t="shared" si="0"/>
        <v>27</v>
      </c>
    </row>
    <row r="36" spans="1:6" x14ac:dyDescent="0.25">
      <c r="A36" s="1" t="s">
        <v>33</v>
      </c>
      <c r="B36" s="11">
        <f>April!B36-March!B36</f>
        <v>-4</v>
      </c>
      <c r="C36" s="11">
        <f>April!C36-March!C36</f>
        <v>-4</v>
      </c>
      <c r="D36" s="11">
        <f>April!D36-March!D36</f>
        <v>-33</v>
      </c>
      <c r="E36" s="11">
        <f>April!E36-March!E36</f>
        <v>39</v>
      </c>
      <c r="F36" s="10">
        <f t="shared" si="0"/>
        <v>-2</v>
      </c>
    </row>
    <row r="37" spans="1:6" x14ac:dyDescent="0.25">
      <c r="A37" s="1" t="s">
        <v>34</v>
      </c>
      <c r="B37" s="11">
        <f>April!B37-March!B37</f>
        <v>7</v>
      </c>
      <c r="C37" s="11">
        <f>April!C37-March!C37</f>
        <v>-9</v>
      </c>
      <c r="D37" s="11">
        <f>April!D37-March!D37</f>
        <v>-2</v>
      </c>
      <c r="E37" s="11">
        <f>April!E37-March!E37</f>
        <v>2</v>
      </c>
      <c r="F37" s="10">
        <f t="shared" si="0"/>
        <v>-2</v>
      </c>
    </row>
    <row r="38" spans="1:6" x14ac:dyDescent="0.25">
      <c r="A38" s="1" t="s">
        <v>35</v>
      </c>
      <c r="B38" s="11">
        <f>April!B38-March!B38</f>
        <v>311</v>
      </c>
      <c r="C38" s="11">
        <f>April!C38-March!C38</f>
        <v>97</v>
      </c>
      <c r="D38" s="11">
        <f>April!D38-March!D38</f>
        <v>-983</v>
      </c>
      <c r="E38" s="11">
        <f>April!E38-March!E38</f>
        <v>1324</v>
      </c>
      <c r="F38" s="10">
        <f t="shared" si="0"/>
        <v>749</v>
      </c>
    </row>
    <row r="39" spans="1:6" x14ac:dyDescent="0.25">
      <c r="A39" s="1" t="s">
        <v>36</v>
      </c>
      <c r="B39" s="11">
        <f>April!B39-March!B39</f>
        <v>208</v>
      </c>
      <c r="C39" s="11">
        <f>April!C39-March!C39</f>
        <v>122</v>
      </c>
      <c r="D39" s="11">
        <f>April!D39-March!D39</f>
        <v>8</v>
      </c>
      <c r="E39" s="11">
        <f>April!E39-March!E39</f>
        <v>188</v>
      </c>
      <c r="F39" s="10">
        <f t="shared" si="0"/>
        <v>526</v>
      </c>
    </row>
    <row r="40" spans="1:6" x14ac:dyDescent="0.25">
      <c r="A40" s="1" t="s">
        <v>37</v>
      </c>
      <c r="B40" s="11">
        <f>April!B40-March!B40</f>
        <v>9</v>
      </c>
      <c r="C40" s="11">
        <f>April!C40-March!C40</f>
        <v>21</v>
      </c>
      <c r="D40" s="11">
        <f>April!D40-March!D40</f>
        <v>-626</v>
      </c>
      <c r="E40" s="11">
        <f>April!E40-March!E40</f>
        <v>739</v>
      </c>
      <c r="F40" s="10">
        <f t="shared" si="0"/>
        <v>143</v>
      </c>
    </row>
    <row r="41" spans="1:6" x14ac:dyDescent="0.25">
      <c r="A41" s="1" t="s">
        <v>38</v>
      </c>
      <c r="B41" s="11">
        <f>April!B41-March!B41</f>
        <v>23</v>
      </c>
      <c r="C41" s="11">
        <f>April!C41-March!C41</f>
        <v>-34</v>
      </c>
      <c r="D41" s="11">
        <f>April!D41-March!D41</f>
        <v>-214</v>
      </c>
      <c r="E41" s="11">
        <f>April!E41-March!E41</f>
        <v>188</v>
      </c>
      <c r="F41" s="10">
        <f t="shared" si="0"/>
        <v>-37</v>
      </c>
    </row>
    <row r="42" spans="1:6" x14ac:dyDescent="0.25">
      <c r="A42" s="1" t="s">
        <v>39</v>
      </c>
      <c r="B42" s="11">
        <f>April!B42-March!B42</f>
        <v>-26</v>
      </c>
      <c r="C42" s="11">
        <f>April!C42-March!C42</f>
        <v>-131</v>
      </c>
      <c r="D42" s="11">
        <f>April!D42-March!D42</f>
        <v>-4</v>
      </c>
      <c r="E42" s="11">
        <f>April!E42-March!E42</f>
        <v>-33</v>
      </c>
      <c r="F42" s="10">
        <f t="shared" si="0"/>
        <v>-194</v>
      </c>
    </row>
    <row r="43" spans="1:6" x14ac:dyDescent="0.25">
      <c r="A43" s="1" t="s">
        <v>40</v>
      </c>
      <c r="B43" s="11">
        <f>April!B43-March!B43</f>
        <v>6</v>
      </c>
      <c r="C43" s="11">
        <f>April!C43-March!C43</f>
        <v>-4</v>
      </c>
      <c r="D43" s="11">
        <f>April!D43-March!D43</f>
        <v>-22</v>
      </c>
      <c r="E43" s="11">
        <f>April!E43-March!E43</f>
        <v>25</v>
      </c>
      <c r="F43" s="10">
        <f t="shared" si="0"/>
        <v>5</v>
      </c>
    </row>
    <row r="44" spans="1:6" x14ac:dyDescent="0.25">
      <c r="A44" s="1" t="s">
        <v>41</v>
      </c>
      <c r="B44" s="11">
        <f>April!B44-March!B44</f>
        <v>178</v>
      </c>
      <c r="C44" s="11">
        <f>April!C44-March!C44</f>
        <v>91</v>
      </c>
      <c r="D44" s="11">
        <f>April!D44-March!D44</f>
        <v>-1075</v>
      </c>
      <c r="E44" s="11">
        <f>April!E44-March!E44</f>
        <v>1265</v>
      </c>
      <c r="F44" s="10">
        <f t="shared" si="0"/>
        <v>459</v>
      </c>
    </row>
    <row r="45" spans="1:6" x14ac:dyDescent="0.25">
      <c r="A45" s="1" t="s">
        <v>42</v>
      </c>
      <c r="B45" s="11">
        <f>April!B45-March!B45</f>
        <v>261</v>
      </c>
      <c r="C45" s="11">
        <f>April!C45-March!C45</f>
        <v>71</v>
      </c>
      <c r="D45" s="11">
        <f>April!D45-March!D45</f>
        <v>-1329</v>
      </c>
      <c r="E45" s="11">
        <f>April!E45-March!E45</f>
        <v>1544</v>
      </c>
      <c r="F45" s="10">
        <f t="shared" si="0"/>
        <v>547</v>
      </c>
    </row>
    <row r="46" spans="1:6" x14ac:dyDescent="0.25">
      <c r="A46" s="1" t="s">
        <v>43</v>
      </c>
      <c r="B46" s="11">
        <f>April!B46-March!B46</f>
        <v>183</v>
      </c>
      <c r="C46" s="11">
        <f>April!C46-March!C46</f>
        <v>109</v>
      </c>
      <c r="D46" s="11">
        <f>April!D46-March!D46</f>
        <v>-575</v>
      </c>
      <c r="E46" s="11">
        <f>April!E46-March!E46</f>
        <v>482</v>
      </c>
      <c r="F46" s="10">
        <f t="shared" si="0"/>
        <v>199</v>
      </c>
    </row>
    <row r="47" spans="1:6" x14ac:dyDescent="0.25">
      <c r="A47" s="1" t="s">
        <v>44</v>
      </c>
      <c r="B47" s="11">
        <f>April!B47-March!B47</f>
        <v>-772</v>
      </c>
      <c r="C47" s="11">
        <f>April!C47-March!C47</f>
        <v>-2284</v>
      </c>
      <c r="D47" s="11">
        <f>April!D47-March!D47</f>
        <v>-3028</v>
      </c>
      <c r="E47" s="11">
        <f>April!E47-March!E47</f>
        <v>2493</v>
      </c>
      <c r="F47" s="10">
        <f t="shared" si="0"/>
        <v>-3591</v>
      </c>
    </row>
    <row r="48" spans="1:6" x14ac:dyDescent="0.25">
      <c r="A48" s="1" t="s">
        <v>45</v>
      </c>
      <c r="B48" s="11">
        <f>April!B48-March!B48</f>
        <v>45</v>
      </c>
      <c r="C48" s="11">
        <f>April!C48-March!C48</f>
        <v>7</v>
      </c>
      <c r="D48" s="11">
        <f>April!D48-March!D48</f>
        <v>-136</v>
      </c>
      <c r="E48" s="11">
        <f>April!E48-March!E48</f>
        <v>158</v>
      </c>
      <c r="F48" s="10">
        <f t="shared" si="0"/>
        <v>74</v>
      </c>
    </row>
    <row r="49" spans="1:6" x14ac:dyDescent="0.25">
      <c r="A49" s="1" t="s">
        <v>46</v>
      </c>
      <c r="B49" s="11">
        <f>April!B49-March!B49</f>
        <v>133</v>
      </c>
      <c r="C49" s="11">
        <f>April!C49-March!C49</f>
        <v>28</v>
      </c>
      <c r="D49" s="11">
        <f>April!D49-March!D49</f>
        <v>-270</v>
      </c>
      <c r="E49" s="11">
        <f>April!E49-March!E49</f>
        <v>363</v>
      </c>
      <c r="F49" s="10">
        <f t="shared" si="0"/>
        <v>254</v>
      </c>
    </row>
    <row r="50" spans="1:6" x14ac:dyDescent="0.25">
      <c r="A50" s="1" t="s">
        <v>47</v>
      </c>
      <c r="B50" s="11">
        <f>April!B50-March!B50</f>
        <v>-1397</v>
      </c>
      <c r="C50" s="11">
        <f>April!C50-March!C50</f>
        <v>-685</v>
      </c>
      <c r="D50" s="11">
        <f>April!D50-March!D50</f>
        <v>-228</v>
      </c>
      <c r="E50" s="11">
        <f>April!E50-March!E50</f>
        <v>-726</v>
      </c>
      <c r="F50" s="10">
        <f t="shared" si="0"/>
        <v>-3036</v>
      </c>
    </row>
    <row r="51" spans="1:6" x14ac:dyDescent="0.25">
      <c r="A51" s="1" t="s">
        <v>48</v>
      </c>
      <c r="B51" s="11">
        <f>April!B51-March!B51</f>
        <v>-186</v>
      </c>
      <c r="C51" s="11">
        <f>April!C51-March!C51</f>
        <v>-268</v>
      </c>
      <c r="D51" s="11">
        <f>April!D51-March!D51</f>
        <v>-33</v>
      </c>
      <c r="E51" s="11">
        <f>April!E51-March!E51</f>
        <v>-143</v>
      </c>
      <c r="F51" s="10">
        <f t="shared" si="0"/>
        <v>-630</v>
      </c>
    </row>
    <row r="52" spans="1:6" x14ac:dyDescent="0.25">
      <c r="A52" s="1" t="s">
        <v>49</v>
      </c>
      <c r="B52" s="11">
        <f>April!B52-March!B52</f>
        <v>197</v>
      </c>
      <c r="C52" s="11">
        <f>April!C52-March!C52</f>
        <v>495</v>
      </c>
      <c r="D52" s="11">
        <f>April!D52-March!D52</f>
        <v>96</v>
      </c>
      <c r="E52" s="11">
        <f>April!E52-March!E52</f>
        <v>1053</v>
      </c>
      <c r="F52" s="10">
        <f t="shared" si="0"/>
        <v>1841</v>
      </c>
    </row>
    <row r="53" spans="1:6" x14ac:dyDescent="0.25">
      <c r="A53" s="1" t="s">
        <v>50</v>
      </c>
      <c r="B53" s="11">
        <f>April!B53-March!B53</f>
        <v>-18</v>
      </c>
      <c r="C53" s="11">
        <f>April!C53-March!C53</f>
        <v>-20</v>
      </c>
      <c r="D53" s="11">
        <f>April!D53-March!D53</f>
        <v>-450</v>
      </c>
      <c r="E53" s="11">
        <f>April!E53-March!E53</f>
        <v>586</v>
      </c>
      <c r="F53" s="10">
        <f t="shared" si="0"/>
        <v>98</v>
      </c>
    </row>
    <row r="54" spans="1:6" x14ac:dyDescent="0.25">
      <c r="A54" s="1" t="s">
        <v>51</v>
      </c>
      <c r="B54" s="11">
        <f>April!B54-March!B54</f>
        <v>639</v>
      </c>
      <c r="C54" s="11">
        <f>April!C54-March!C54</f>
        <v>522</v>
      </c>
      <c r="D54" s="11">
        <f>April!D54-March!D54</f>
        <v>-4199</v>
      </c>
      <c r="E54" s="11">
        <f>April!E54-March!E54</f>
        <v>4331</v>
      </c>
      <c r="F54" s="10">
        <f t="shared" si="0"/>
        <v>1293</v>
      </c>
    </row>
    <row r="55" spans="1:6" x14ac:dyDescent="0.25">
      <c r="A55" s="1" t="s">
        <v>52</v>
      </c>
      <c r="B55" s="11">
        <f>April!B55-March!B55</f>
        <v>344</v>
      </c>
      <c r="C55" s="11">
        <f>April!C55-March!C55</f>
        <v>272</v>
      </c>
      <c r="D55" s="11">
        <f>April!D55-March!D55</f>
        <v>-2604</v>
      </c>
      <c r="E55" s="11">
        <f>April!E55-March!E55</f>
        <v>3161</v>
      </c>
      <c r="F55" s="10">
        <f t="shared" si="0"/>
        <v>1173</v>
      </c>
    </row>
    <row r="56" spans="1:6" x14ac:dyDescent="0.25">
      <c r="A56" s="1" t="s">
        <v>53</v>
      </c>
      <c r="B56" s="11">
        <f>April!B56-March!B56</f>
        <v>149</v>
      </c>
      <c r="C56" s="11">
        <f>April!C56-March!C56</f>
        <v>4</v>
      </c>
      <c r="D56" s="11">
        <f>April!D56-March!D56</f>
        <v>-2424</v>
      </c>
      <c r="E56" s="11">
        <f>April!E56-March!E56</f>
        <v>2696</v>
      </c>
      <c r="F56" s="10">
        <f t="shared" si="0"/>
        <v>425</v>
      </c>
    </row>
    <row r="57" spans="1:6" x14ac:dyDescent="0.25">
      <c r="A57" s="1" t="s">
        <v>54</v>
      </c>
      <c r="B57" s="11">
        <f>April!B57-March!B57</f>
        <v>332</v>
      </c>
      <c r="C57" s="11">
        <f>April!C57-March!C57</f>
        <v>244</v>
      </c>
      <c r="D57" s="11">
        <f>April!D57-March!D57</f>
        <v>-1513</v>
      </c>
      <c r="E57" s="11">
        <f>April!E57-March!E57</f>
        <v>2290</v>
      </c>
      <c r="F57" s="10">
        <f t="shared" si="0"/>
        <v>1353</v>
      </c>
    </row>
    <row r="58" spans="1:6" x14ac:dyDescent="0.25">
      <c r="A58" s="1" t="s">
        <v>55</v>
      </c>
      <c r="B58" s="11">
        <f>April!B58-March!B58</f>
        <v>12</v>
      </c>
      <c r="C58" s="11">
        <f>April!C58-March!C58</f>
        <v>-19</v>
      </c>
      <c r="D58" s="11">
        <f>April!D58-March!D58</f>
        <v>-146</v>
      </c>
      <c r="E58" s="11">
        <f>April!E58-March!E58</f>
        <v>199</v>
      </c>
      <c r="F58" s="10">
        <f t="shared" si="0"/>
        <v>46</v>
      </c>
    </row>
    <row r="59" spans="1:6" x14ac:dyDescent="0.25">
      <c r="A59" s="1" t="s">
        <v>56</v>
      </c>
      <c r="B59" s="11">
        <f>April!B59-March!B59</f>
        <v>172</v>
      </c>
      <c r="C59" s="11">
        <f>April!C59-March!C59</f>
        <v>36</v>
      </c>
      <c r="D59" s="11">
        <f>April!D59-March!D59</f>
        <v>-399</v>
      </c>
      <c r="E59" s="11">
        <f>April!E59-March!E59</f>
        <v>550</v>
      </c>
      <c r="F59" s="10">
        <f t="shared" si="0"/>
        <v>359</v>
      </c>
    </row>
    <row r="60" spans="1:6" x14ac:dyDescent="0.25">
      <c r="A60" s="1" t="s">
        <v>57</v>
      </c>
      <c r="B60" s="11">
        <f>April!B60-March!B60</f>
        <v>233</v>
      </c>
      <c r="C60" s="11">
        <f>April!C60-March!C60</f>
        <v>110</v>
      </c>
      <c r="D60" s="11">
        <f>April!D60-March!D60</f>
        <v>-943</v>
      </c>
      <c r="E60" s="11">
        <f>April!E60-March!E60</f>
        <v>1219</v>
      </c>
      <c r="F60" s="10">
        <f t="shared" si="0"/>
        <v>619</v>
      </c>
    </row>
    <row r="61" spans="1:6" x14ac:dyDescent="0.25">
      <c r="A61" s="1" t="s">
        <v>58</v>
      </c>
      <c r="B61" s="11">
        <f>April!B61-March!B61</f>
        <v>-798</v>
      </c>
      <c r="C61" s="11">
        <f>April!C61-March!C61</f>
        <v>-845</v>
      </c>
      <c r="D61" s="11">
        <f>April!D61-March!D61</f>
        <v>-814</v>
      </c>
      <c r="E61" s="11">
        <f>April!E61-March!E61</f>
        <v>168</v>
      </c>
      <c r="F61" s="10">
        <f t="shared" si="0"/>
        <v>-2289</v>
      </c>
    </row>
    <row r="62" spans="1:6" x14ac:dyDescent="0.25">
      <c r="A62" s="1" t="s">
        <v>59</v>
      </c>
      <c r="B62" s="11">
        <f>April!B62-March!B62</f>
        <v>-295</v>
      </c>
      <c r="C62" s="11">
        <f>April!C62-March!C62</f>
        <v>-138</v>
      </c>
      <c r="D62" s="11">
        <f>April!D62-March!D62</f>
        <v>-20</v>
      </c>
      <c r="E62" s="11">
        <f>April!E62-March!E62</f>
        <v>-258</v>
      </c>
      <c r="F62" s="10">
        <f t="shared" si="0"/>
        <v>-711</v>
      </c>
    </row>
    <row r="63" spans="1:6" x14ac:dyDescent="0.25">
      <c r="A63" s="1" t="s">
        <v>60</v>
      </c>
      <c r="B63" s="11">
        <f>April!B63-March!B63</f>
        <v>166</v>
      </c>
      <c r="C63" s="11">
        <f>April!C63-March!C63</f>
        <v>137</v>
      </c>
      <c r="D63" s="11">
        <f>April!D63-March!D63</f>
        <v>-649</v>
      </c>
      <c r="E63" s="11">
        <f>April!E63-March!E63</f>
        <v>867</v>
      </c>
      <c r="F63" s="10">
        <f t="shared" si="0"/>
        <v>521</v>
      </c>
    </row>
    <row r="64" spans="1:6" x14ac:dyDescent="0.25">
      <c r="A64" s="1" t="s">
        <v>61</v>
      </c>
      <c r="B64" s="11">
        <f>April!B64-March!B64</f>
        <v>-559</v>
      </c>
      <c r="C64" s="11">
        <f>April!C64-March!C64</f>
        <v>-541</v>
      </c>
      <c r="D64" s="11">
        <f>April!D64-March!D64</f>
        <v>-386</v>
      </c>
      <c r="E64" s="11">
        <f>April!E64-March!E64</f>
        <v>-18</v>
      </c>
      <c r="F64" s="10">
        <f t="shared" si="0"/>
        <v>-1504</v>
      </c>
    </row>
    <row r="65" spans="1:6" x14ac:dyDescent="0.25">
      <c r="A65" s="1" t="s">
        <v>62</v>
      </c>
      <c r="B65" s="11">
        <f>April!B65-March!B65</f>
        <v>-7</v>
      </c>
      <c r="C65" s="11">
        <f>April!C65-March!C65</f>
        <v>-47</v>
      </c>
      <c r="D65" s="11">
        <f>April!D65-March!D65</f>
        <v>-135</v>
      </c>
      <c r="E65" s="11">
        <f>April!E65-March!E65</f>
        <v>94</v>
      </c>
      <c r="F65" s="10">
        <f t="shared" si="0"/>
        <v>-95</v>
      </c>
    </row>
    <row r="66" spans="1:6" x14ac:dyDescent="0.25">
      <c r="A66" s="1" t="s">
        <v>63</v>
      </c>
      <c r="B66" s="11">
        <f>April!B66-March!B66</f>
        <v>7</v>
      </c>
      <c r="C66" s="11">
        <f>April!C66-March!C66</f>
        <v>-70</v>
      </c>
      <c r="D66" s="11">
        <f>April!D66-March!D66</f>
        <v>-1</v>
      </c>
      <c r="E66" s="11">
        <f>April!E66-March!E66</f>
        <v>4</v>
      </c>
      <c r="F66" s="10">
        <f t="shared" si="0"/>
        <v>-60</v>
      </c>
    </row>
    <row r="67" spans="1:6" x14ac:dyDescent="0.25">
      <c r="A67" s="1" t="s">
        <v>64</v>
      </c>
      <c r="B67" s="11">
        <f>April!B67-March!B67</f>
        <v>-1</v>
      </c>
      <c r="C67" s="11">
        <f>April!C67-March!C67</f>
        <v>-17</v>
      </c>
      <c r="D67" s="11">
        <f>April!D67-March!D67</f>
        <v>0</v>
      </c>
      <c r="E67" s="11">
        <f>April!E67-March!E67</f>
        <v>-5</v>
      </c>
      <c r="F67" s="10">
        <f t="shared" si="0"/>
        <v>-23</v>
      </c>
    </row>
    <row r="68" spans="1:6" x14ac:dyDescent="0.25">
      <c r="A68" s="1" t="s">
        <v>65</v>
      </c>
      <c r="B68" s="11">
        <f>April!B68-March!B68</f>
        <v>290</v>
      </c>
      <c r="C68" s="11">
        <f>April!C68-March!C68</f>
        <v>41</v>
      </c>
      <c r="D68" s="11">
        <f>April!D68-March!D68</f>
        <v>-1559</v>
      </c>
      <c r="E68" s="11">
        <f>April!E68-March!E68</f>
        <v>2016</v>
      </c>
      <c r="F68" s="10">
        <f t="shared" si="0"/>
        <v>788</v>
      </c>
    </row>
    <row r="69" spans="1:6" x14ac:dyDescent="0.25">
      <c r="A69" s="1" t="s">
        <v>66</v>
      </c>
      <c r="B69" s="11">
        <f>April!B69-March!B69</f>
        <v>19</v>
      </c>
      <c r="C69" s="11">
        <f>April!C69-March!C69</f>
        <v>-14</v>
      </c>
      <c r="D69" s="11">
        <f>April!D69-March!D69</f>
        <v>-111</v>
      </c>
      <c r="E69" s="11">
        <f>April!E69-March!E69</f>
        <v>102</v>
      </c>
      <c r="F69" s="10">
        <f t="shared" si="0"/>
        <v>-4</v>
      </c>
    </row>
    <row r="70" spans="1:6" x14ac:dyDescent="0.25">
      <c r="A70" s="1" t="s">
        <v>67</v>
      </c>
      <c r="B70" s="11">
        <f>April!B70-March!B70</f>
        <v>122</v>
      </c>
      <c r="C70" s="11">
        <f>April!C70-March!C70</f>
        <v>14</v>
      </c>
      <c r="D70" s="11">
        <f>April!D70-March!D70</f>
        <v>5</v>
      </c>
      <c r="E70" s="11">
        <f>April!E70-March!E70</f>
        <v>58</v>
      </c>
      <c r="F70" s="10">
        <f t="shared" ref="F70:F71" si="1">SUM(B70:E70)</f>
        <v>199</v>
      </c>
    </row>
    <row r="71" spans="1:6" ht="15.75" thickBot="1" x14ac:dyDescent="0.3">
      <c r="A71" s="1" t="s">
        <v>68</v>
      </c>
      <c r="B71" s="11">
        <f>April!B71-March!B71</f>
        <v>-30</v>
      </c>
      <c r="C71" s="11">
        <f>April!C71-March!C71</f>
        <v>-24</v>
      </c>
      <c r="D71" s="11">
        <f>April!D71-March!D71</f>
        <v>1</v>
      </c>
      <c r="E71" s="11">
        <f>April!E71-March!E71</f>
        <v>1</v>
      </c>
      <c r="F71" s="10">
        <f t="shared" si="1"/>
        <v>-52</v>
      </c>
    </row>
    <row r="72" spans="1:6" ht="16.5" thickTop="1" thickBot="1" x14ac:dyDescent="0.3">
      <c r="A72" s="3" t="s">
        <v>1</v>
      </c>
      <c r="B72" s="8">
        <f>SUM(B5:B71)</f>
        <v>-4397</v>
      </c>
      <c r="C72" s="8">
        <f>SUM(C5:C71)</f>
        <v>-10068</v>
      </c>
      <c r="D72" s="8">
        <f>SUM(D5:D71)</f>
        <v>-35111</v>
      </c>
      <c r="E72" s="8">
        <f>SUM(E5:E71)</f>
        <v>32798</v>
      </c>
      <c r="F72" s="8">
        <f>SUM(F5:F71)</f>
        <v>-16778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103</v>
      </c>
      <c r="B1" s="17"/>
      <c r="C1" s="17"/>
      <c r="D1" s="17"/>
      <c r="E1" s="17"/>
      <c r="F1" s="18"/>
    </row>
    <row r="2" spans="1:6" x14ac:dyDescent="0.25">
      <c r="A2" s="13" t="s">
        <v>83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May!B5-April!B5</f>
        <v>39</v>
      </c>
      <c r="C5" s="11">
        <f>May!C5-April!C5</f>
        <v>14</v>
      </c>
      <c r="D5" s="11">
        <f>May!D5-April!D5</f>
        <v>-422</v>
      </c>
      <c r="E5" s="11">
        <f>May!E5-April!E5</f>
        <v>539</v>
      </c>
      <c r="F5" s="10">
        <f>SUM(B5:E5)</f>
        <v>170</v>
      </c>
    </row>
    <row r="6" spans="1:6" x14ac:dyDescent="0.25">
      <c r="A6" s="1" t="s">
        <v>3</v>
      </c>
      <c r="B6" s="11">
        <f>May!B6-April!B6</f>
        <v>-93</v>
      </c>
      <c r="C6" s="11">
        <f>May!C6-April!C6</f>
        <v>-56</v>
      </c>
      <c r="D6" s="11">
        <f>May!D6-April!D6</f>
        <v>-2</v>
      </c>
      <c r="E6" s="11">
        <f>May!E6-April!E6</f>
        <v>-21</v>
      </c>
      <c r="F6" s="10">
        <f t="shared" ref="F6:F69" si="0">SUM(B6:E6)</f>
        <v>-172</v>
      </c>
    </row>
    <row r="7" spans="1:6" x14ac:dyDescent="0.25">
      <c r="A7" s="1" t="s">
        <v>4</v>
      </c>
      <c r="B7" s="11">
        <f>May!B7-April!B7</f>
        <v>-685</v>
      </c>
      <c r="C7" s="11">
        <f>May!C7-April!C7</f>
        <v>-591</v>
      </c>
      <c r="D7" s="11">
        <f>May!D7-April!D7</f>
        <v>-314</v>
      </c>
      <c r="E7" s="11">
        <f>May!E7-April!E7</f>
        <v>-277</v>
      </c>
      <c r="F7" s="10">
        <f t="shared" si="0"/>
        <v>-1867</v>
      </c>
    </row>
    <row r="8" spans="1:6" x14ac:dyDescent="0.25">
      <c r="A8" s="1" t="s">
        <v>5</v>
      </c>
      <c r="B8" s="11">
        <f>May!B8-April!B8</f>
        <v>27</v>
      </c>
      <c r="C8" s="11">
        <f>May!C8-April!C8</f>
        <v>-6</v>
      </c>
      <c r="D8" s="11">
        <f>May!D8-April!D8</f>
        <v>-55</v>
      </c>
      <c r="E8" s="11">
        <f>May!E8-April!E8</f>
        <v>66</v>
      </c>
      <c r="F8" s="10">
        <f t="shared" si="0"/>
        <v>32</v>
      </c>
    </row>
    <row r="9" spans="1:6" x14ac:dyDescent="0.25">
      <c r="A9" s="1" t="s">
        <v>6</v>
      </c>
      <c r="B9" s="11">
        <f>May!B9-April!B9</f>
        <v>389</v>
      </c>
      <c r="C9" s="11">
        <f>May!C9-April!C9</f>
        <v>68</v>
      </c>
      <c r="D9" s="11">
        <f>May!D9-April!D9</f>
        <v>122</v>
      </c>
      <c r="E9" s="11">
        <f>May!E9-April!E9</f>
        <v>396</v>
      </c>
      <c r="F9" s="10">
        <f t="shared" si="0"/>
        <v>975</v>
      </c>
    </row>
    <row r="10" spans="1:6" x14ac:dyDescent="0.25">
      <c r="A10" s="1" t="s">
        <v>7</v>
      </c>
      <c r="B10" s="11">
        <f>May!B10-April!B10</f>
        <v>-125</v>
      </c>
      <c r="C10" s="11">
        <f>May!C10-April!C10</f>
        <v>-167</v>
      </c>
      <c r="D10" s="11">
        <f>May!D10-April!D10</f>
        <v>-3218</v>
      </c>
      <c r="E10" s="11">
        <f>May!E10-April!E10</f>
        <v>3513</v>
      </c>
      <c r="F10" s="10">
        <f t="shared" si="0"/>
        <v>3</v>
      </c>
    </row>
    <row r="11" spans="1:6" x14ac:dyDescent="0.25">
      <c r="A11" s="1" t="s">
        <v>8</v>
      </c>
      <c r="B11" s="11">
        <f>May!B11-April!B11</f>
        <v>2</v>
      </c>
      <c r="C11" s="11">
        <f>May!C11-April!C11</f>
        <v>-4</v>
      </c>
      <c r="D11" s="11">
        <f>May!D11-April!D11</f>
        <v>1</v>
      </c>
      <c r="E11" s="11">
        <f>May!E11-April!E11</f>
        <v>-2</v>
      </c>
      <c r="F11" s="10">
        <f t="shared" si="0"/>
        <v>-3</v>
      </c>
    </row>
    <row r="12" spans="1:6" x14ac:dyDescent="0.25">
      <c r="A12" s="1" t="s">
        <v>9</v>
      </c>
      <c r="B12" s="11">
        <f>May!B12-April!B12</f>
        <v>-176</v>
      </c>
      <c r="C12" s="11">
        <f>May!C12-April!C12</f>
        <v>-140</v>
      </c>
      <c r="D12" s="11">
        <f>May!D12-April!D12</f>
        <v>24</v>
      </c>
      <c r="E12" s="11">
        <f>May!E12-April!E12</f>
        <v>-181</v>
      </c>
      <c r="F12" s="10">
        <f t="shared" si="0"/>
        <v>-473</v>
      </c>
    </row>
    <row r="13" spans="1:6" x14ac:dyDescent="0.25">
      <c r="A13" s="1" t="s">
        <v>10</v>
      </c>
      <c r="B13" s="11">
        <f>May!B13-April!B13</f>
        <v>-142</v>
      </c>
      <c r="C13" s="11">
        <f>May!C13-April!C13</f>
        <v>-229</v>
      </c>
      <c r="D13" s="11">
        <f>May!D13-April!D13</f>
        <v>18</v>
      </c>
      <c r="E13" s="11">
        <f>May!E13-April!E13</f>
        <v>-218</v>
      </c>
      <c r="F13" s="10">
        <f t="shared" si="0"/>
        <v>-571</v>
      </c>
    </row>
    <row r="14" spans="1:6" x14ac:dyDescent="0.25">
      <c r="A14" s="1" t="s">
        <v>11</v>
      </c>
      <c r="B14" s="11">
        <f>May!B14-April!B14</f>
        <v>56</v>
      </c>
      <c r="C14" s="11">
        <f>May!C14-April!C14</f>
        <v>42</v>
      </c>
      <c r="D14" s="11">
        <f>May!D14-April!D14</f>
        <v>47</v>
      </c>
      <c r="E14" s="11">
        <f>May!E14-April!E14</f>
        <v>92</v>
      </c>
      <c r="F14" s="10">
        <f t="shared" si="0"/>
        <v>237</v>
      </c>
    </row>
    <row r="15" spans="1:6" x14ac:dyDescent="0.25">
      <c r="A15" s="1" t="s">
        <v>12</v>
      </c>
      <c r="B15" s="11">
        <f>May!B15-April!B15</f>
        <v>360</v>
      </c>
      <c r="C15" s="11">
        <f>May!C15-April!C15</f>
        <v>205</v>
      </c>
      <c r="D15" s="11">
        <f>May!D15-April!D15</f>
        <v>19</v>
      </c>
      <c r="E15" s="11">
        <f>May!E15-April!E15</f>
        <v>289</v>
      </c>
      <c r="F15" s="10">
        <f t="shared" si="0"/>
        <v>873</v>
      </c>
    </row>
    <row r="16" spans="1:6" x14ac:dyDescent="0.25">
      <c r="A16" s="1" t="s">
        <v>13</v>
      </c>
      <c r="B16" s="11">
        <f>May!B16-April!B16</f>
        <v>17</v>
      </c>
      <c r="C16" s="11">
        <f>May!C16-April!C16</f>
        <v>-19</v>
      </c>
      <c r="D16" s="11">
        <f>May!D16-April!D16</f>
        <v>7</v>
      </c>
      <c r="E16" s="11">
        <f>May!E16-April!E16</f>
        <v>-1</v>
      </c>
      <c r="F16" s="10">
        <f t="shared" si="0"/>
        <v>4</v>
      </c>
    </row>
    <row r="17" spans="1:6" x14ac:dyDescent="0.25">
      <c r="A17" s="1" t="s">
        <v>14</v>
      </c>
      <c r="B17" s="11">
        <f>May!B17-April!B17</f>
        <v>25</v>
      </c>
      <c r="C17" s="11">
        <f>May!C17-April!C17</f>
        <v>-11</v>
      </c>
      <c r="D17" s="11">
        <f>May!D17-April!D17</f>
        <v>-26</v>
      </c>
      <c r="E17" s="11">
        <f>May!E17-April!E17</f>
        <v>57</v>
      </c>
      <c r="F17" s="10">
        <f t="shared" si="0"/>
        <v>45</v>
      </c>
    </row>
    <row r="18" spans="1:6" x14ac:dyDescent="0.25">
      <c r="A18" s="1" t="s">
        <v>15</v>
      </c>
      <c r="B18" s="11">
        <f>May!B18-April!B18</f>
        <v>14</v>
      </c>
      <c r="C18" s="11">
        <f>May!C18-April!C18</f>
        <v>-3</v>
      </c>
      <c r="D18" s="11">
        <f>May!D18-April!D18</f>
        <v>1</v>
      </c>
      <c r="E18" s="11">
        <f>May!E18-April!E18</f>
        <v>16</v>
      </c>
      <c r="F18" s="10">
        <f t="shared" si="0"/>
        <v>28</v>
      </c>
    </row>
    <row r="19" spans="1:6" x14ac:dyDescent="0.25">
      <c r="A19" s="1" t="s">
        <v>16</v>
      </c>
      <c r="B19" s="11">
        <f>May!B19-April!B19</f>
        <v>-230</v>
      </c>
      <c r="C19" s="11">
        <f>May!C19-April!C19</f>
        <v>-336</v>
      </c>
      <c r="D19" s="11">
        <f>May!D19-April!D19</f>
        <v>123</v>
      </c>
      <c r="E19" s="11">
        <f>May!E19-April!E19</f>
        <v>168</v>
      </c>
      <c r="F19" s="10">
        <f t="shared" si="0"/>
        <v>-275</v>
      </c>
    </row>
    <row r="20" spans="1:6" x14ac:dyDescent="0.25">
      <c r="A20" s="1" t="s">
        <v>17</v>
      </c>
      <c r="B20" s="11">
        <f>May!B20-April!B20</f>
        <v>-1329</v>
      </c>
      <c r="C20" s="11">
        <f>May!C20-April!C20</f>
        <v>-1603</v>
      </c>
      <c r="D20" s="11">
        <f>May!D20-April!D20</f>
        <v>15</v>
      </c>
      <c r="E20" s="11">
        <f>May!E20-April!E20</f>
        <v>-1406</v>
      </c>
      <c r="F20" s="10">
        <f t="shared" si="0"/>
        <v>-4323</v>
      </c>
    </row>
    <row r="21" spans="1:6" x14ac:dyDescent="0.25">
      <c r="A21" s="1" t="s">
        <v>18</v>
      </c>
      <c r="B21" s="11">
        <f>May!B21-April!B21</f>
        <v>103</v>
      </c>
      <c r="C21" s="11">
        <f>May!C21-April!C21</f>
        <v>35</v>
      </c>
      <c r="D21" s="11">
        <f>May!D21-April!D21</f>
        <v>11</v>
      </c>
      <c r="E21" s="11">
        <f>May!E21-April!E21</f>
        <v>81</v>
      </c>
      <c r="F21" s="10">
        <f t="shared" si="0"/>
        <v>230</v>
      </c>
    </row>
    <row r="22" spans="1:6" x14ac:dyDescent="0.25">
      <c r="A22" s="1" t="s">
        <v>19</v>
      </c>
      <c r="B22" s="11">
        <f>May!B22-April!B22</f>
        <v>15</v>
      </c>
      <c r="C22" s="11">
        <f>May!C22-April!C22</f>
        <v>6</v>
      </c>
      <c r="D22" s="11">
        <f>May!D22-April!D22</f>
        <v>4</v>
      </c>
      <c r="E22" s="11">
        <f>May!E22-April!E22</f>
        <v>0</v>
      </c>
      <c r="F22" s="10">
        <f t="shared" si="0"/>
        <v>25</v>
      </c>
    </row>
    <row r="23" spans="1:6" x14ac:dyDescent="0.25">
      <c r="A23" s="1" t="s">
        <v>20</v>
      </c>
      <c r="B23" s="11">
        <f>May!B23-April!B23</f>
        <v>31</v>
      </c>
      <c r="C23" s="11">
        <f>May!C23-April!C23</f>
        <v>18</v>
      </c>
      <c r="D23" s="11">
        <f>May!D23-April!D23</f>
        <v>-32</v>
      </c>
      <c r="E23" s="11">
        <f>May!E23-April!E23</f>
        <v>55</v>
      </c>
      <c r="F23" s="10">
        <f t="shared" si="0"/>
        <v>72</v>
      </c>
    </row>
    <row r="24" spans="1:6" x14ac:dyDescent="0.25">
      <c r="A24" s="1" t="s">
        <v>21</v>
      </c>
      <c r="B24" s="11">
        <f>May!B24-April!B24</f>
        <v>-14</v>
      </c>
      <c r="C24" s="11">
        <f>May!C24-April!C24</f>
        <v>-23</v>
      </c>
      <c r="D24" s="11">
        <f>May!D24-April!D24</f>
        <v>1</v>
      </c>
      <c r="E24" s="11">
        <f>May!E24-April!E24</f>
        <v>10</v>
      </c>
      <c r="F24" s="10">
        <f t="shared" si="0"/>
        <v>-26</v>
      </c>
    </row>
    <row r="25" spans="1:6" x14ac:dyDescent="0.25">
      <c r="A25" s="1" t="s">
        <v>22</v>
      </c>
      <c r="B25" s="11">
        <f>May!B25-April!B25</f>
        <v>15</v>
      </c>
      <c r="C25" s="11">
        <f>May!C25-April!C25</f>
        <v>-13</v>
      </c>
      <c r="D25" s="11">
        <f>May!D25-April!D25</f>
        <v>-56</v>
      </c>
      <c r="E25" s="11">
        <f>May!E25-April!E25</f>
        <v>63</v>
      </c>
      <c r="F25" s="10">
        <f t="shared" si="0"/>
        <v>9</v>
      </c>
    </row>
    <row r="26" spans="1:6" x14ac:dyDescent="0.25">
      <c r="A26" s="1" t="s">
        <v>23</v>
      </c>
      <c r="B26" s="11">
        <f>May!B26-April!B26</f>
        <v>17</v>
      </c>
      <c r="C26" s="11">
        <f>May!C26-April!C26</f>
        <v>-8</v>
      </c>
      <c r="D26" s="11">
        <f>May!D26-April!D26</f>
        <v>-49</v>
      </c>
      <c r="E26" s="11">
        <f>May!E26-April!E26</f>
        <v>57</v>
      </c>
      <c r="F26" s="10">
        <f t="shared" si="0"/>
        <v>17</v>
      </c>
    </row>
    <row r="27" spans="1:6" x14ac:dyDescent="0.25">
      <c r="A27" s="1" t="s">
        <v>24</v>
      </c>
      <c r="B27" s="11">
        <f>May!B27-April!B27</f>
        <v>-58</v>
      </c>
      <c r="C27" s="11">
        <f>May!C27-April!C27</f>
        <v>-185</v>
      </c>
      <c r="D27" s="11">
        <f>May!D27-April!D27</f>
        <v>2</v>
      </c>
      <c r="E27" s="11">
        <f>May!E27-April!E27</f>
        <v>-68</v>
      </c>
      <c r="F27" s="10">
        <f t="shared" si="0"/>
        <v>-309</v>
      </c>
    </row>
    <row r="28" spans="1:6" x14ac:dyDescent="0.25">
      <c r="A28" s="1" t="s">
        <v>25</v>
      </c>
      <c r="B28" s="11">
        <f>May!B28-April!B28</f>
        <v>3</v>
      </c>
      <c r="C28" s="11">
        <f>May!C28-April!C28</f>
        <v>-3</v>
      </c>
      <c r="D28" s="11">
        <f>May!D28-April!D28</f>
        <v>4</v>
      </c>
      <c r="E28" s="11">
        <f>May!E28-April!E28</f>
        <v>17</v>
      </c>
      <c r="F28" s="10">
        <f t="shared" si="0"/>
        <v>21</v>
      </c>
    </row>
    <row r="29" spans="1:6" x14ac:dyDescent="0.25">
      <c r="A29" s="1" t="s">
        <v>26</v>
      </c>
      <c r="B29" s="11">
        <f>May!B29-April!B29</f>
        <v>13</v>
      </c>
      <c r="C29" s="11">
        <f>May!C29-April!C29</f>
        <v>13</v>
      </c>
      <c r="D29" s="11">
        <f>May!D29-April!D29</f>
        <v>3</v>
      </c>
      <c r="E29" s="11">
        <f>May!E29-April!E29</f>
        <v>25</v>
      </c>
      <c r="F29" s="10">
        <f t="shared" si="0"/>
        <v>54</v>
      </c>
    </row>
    <row r="30" spans="1:6" x14ac:dyDescent="0.25">
      <c r="A30" s="1" t="s">
        <v>27</v>
      </c>
      <c r="B30" s="11">
        <f>May!B30-April!B30</f>
        <v>154</v>
      </c>
      <c r="C30" s="11">
        <f>May!C30-April!C30</f>
        <v>67</v>
      </c>
      <c r="D30" s="11">
        <f>May!D30-April!D30</f>
        <v>37</v>
      </c>
      <c r="E30" s="11">
        <f>May!E30-April!E30</f>
        <v>116</v>
      </c>
      <c r="F30" s="10">
        <f t="shared" si="0"/>
        <v>374</v>
      </c>
    </row>
    <row r="31" spans="1:6" x14ac:dyDescent="0.25">
      <c r="A31" s="1" t="s">
        <v>28</v>
      </c>
      <c r="B31" s="11">
        <f>May!B31-April!B31</f>
        <v>-136</v>
      </c>
      <c r="C31" s="11">
        <f>May!C31-April!C31</f>
        <v>-266</v>
      </c>
      <c r="D31" s="11">
        <f>May!D31-April!D31</f>
        <v>5</v>
      </c>
      <c r="E31" s="11">
        <f>May!E31-April!E31</f>
        <v>-82</v>
      </c>
      <c r="F31" s="10">
        <f t="shared" si="0"/>
        <v>-479</v>
      </c>
    </row>
    <row r="32" spans="1:6" x14ac:dyDescent="0.25">
      <c r="A32" s="1" t="s">
        <v>29</v>
      </c>
      <c r="B32" s="11">
        <f>May!B32-April!B32</f>
        <v>581</v>
      </c>
      <c r="C32" s="11">
        <f>May!C32-April!C32</f>
        <v>802</v>
      </c>
      <c r="D32" s="11">
        <f>May!D32-April!D32</f>
        <v>192</v>
      </c>
      <c r="E32" s="11">
        <f>May!E32-April!E32</f>
        <v>1349</v>
      </c>
      <c r="F32" s="10">
        <f t="shared" si="0"/>
        <v>2924</v>
      </c>
    </row>
    <row r="33" spans="1:6" x14ac:dyDescent="0.25">
      <c r="A33" s="1" t="s">
        <v>30</v>
      </c>
      <c r="B33" s="11">
        <f>May!B33-April!B33</f>
        <v>-153</v>
      </c>
      <c r="C33" s="11">
        <f>May!C33-April!C33</f>
        <v>-289</v>
      </c>
      <c r="D33" s="11">
        <f>May!D33-April!D33</f>
        <v>-3</v>
      </c>
      <c r="E33" s="11">
        <f>May!E33-April!E33</f>
        <v>-132</v>
      </c>
      <c r="F33" s="10">
        <f t="shared" si="0"/>
        <v>-577</v>
      </c>
    </row>
    <row r="34" spans="1:6" x14ac:dyDescent="0.25">
      <c r="A34" s="1" t="s">
        <v>31</v>
      </c>
      <c r="B34" s="11">
        <f>May!B34-April!B34</f>
        <v>103</v>
      </c>
      <c r="C34" s="11">
        <f>May!C34-April!C34</f>
        <v>47</v>
      </c>
      <c r="D34" s="11">
        <f>May!D34-April!D34</f>
        <v>21</v>
      </c>
      <c r="E34" s="11">
        <f>May!E34-April!E34</f>
        <v>-3</v>
      </c>
      <c r="F34" s="10">
        <f t="shared" si="0"/>
        <v>168</v>
      </c>
    </row>
    <row r="35" spans="1:6" x14ac:dyDescent="0.25">
      <c r="A35" s="1" t="s">
        <v>32</v>
      </c>
      <c r="B35" s="11">
        <f>May!B35-April!B35</f>
        <v>33</v>
      </c>
      <c r="C35" s="11">
        <f>May!C35-April!C35</f>
        <v>-20</v>
      </c>
      <c r="D35" s="11">
        <f>May!D35-April!D35</f>
        <v>4</v>
      </c>
      <c r="E35" s="11">
        <f>May!E35-April!E35</f>
        <v>1</v>
      </c>
      <c r="F35" s="10">
        <f t="shared" si="0"/>
        <v>18</v>
      </c>
    </row>
    <row r="36" spans="1:6" x14ac:dyDescent="0.25">
      <c r="A36" s="1" t="s">
        <v>33</v>
      </c>
      <c r="B36" s="11">
        <f>May!B36-April!B36</f>
        <v>34</v>
      </c>
      <c r="C36" s="11">
        <f>May!C36-April!C36</f>
        <v>24</v>
      </c>
      <c r="D36" s="11">
        <f>May!D36-April!D36</f>
        <v>2</v>
      </c>
      <c r="E36" s="11">
        <f>May!E36-April!E36</f>
        <v>11</v>
      </c>
      <c r="F36" s="10">
        <f t="shared" si="0"/>
        <v>71</v>
      </c>
    </row>
    <row r="37" spans="1:6" x14ac:dyDescent="0.25">
      <c r="A37" s="1" t="s">
        <v>34</v>
      </c>
      <c r="B37" s="11">
        <f>May!B37-April!B37</f>
        <v>8</v>
      </c>
      <c r="C37" s="11">
        <f>May!C37-April!C37</f>
        <v>-12</v>
      </c>
      <c r="D37" s="11">
        <f>May!D37-April!D37</f>
        <v>-8</v>
      </c>
      <c r="E37" s="11">
        <f>May!E37-April!E37</f>
        <v>12</v>
      </c>
      <c r="F37" s="10">
        <f t="shared" si="0"/>
        <v>0</v>
      </c>
    </row>
    <row r="38" spans="1:6" x14ac:dyDescent="0.25">
      <c r="A38" s="1" t="s">
        <v>35</v>
      </c>
      <c r="B38" s="11">
        <f>May!B38-April!B38</f>
        <v>8</v>
      </c>
      <c r="C38" s="11">
        <f>May!C38-April!C38</f>
        <v>-34</v>
      </c>
      <c r="D38" s="11">
        <f>May!D38-April!D38</f>
        <v>27</v>
      </c>
      <c r="E38" s="11">
        <f>May!E38-April!E38</f>
        <v>18</v>
      </c>
      <c r="F38" s="10">
        <f t="shared" si="0"/>
        <v>19</v>
      </c>
    </row>
    <row r="39" spans="1:6" x14ac:dyDescent="0.25">
      <c r="A39" s="1" t="s">
        <v>36</v>
      </c>
      <c r="B39" s="11">
        <f>May!B39-April!B39</f>
        <v>360</v>
      </c>
      <c r="C39" s="11">
        <f>May!C39-April!C39</f>
        <v>210</v>
      </c>
      <c r="D39" s="11">
        <f>May!D39-April!D39</f>
        <v>-1758</v>
      </c>
      <c r="E39" s="11">
        <f>May!E39-April!E39</f>
        <v>2464</v>
      </c>
      <c r="F39" s="10">
        <f t="shared" si="0"/>
        <v>1276</v>
      </c>
    </row>
    <row r="40" spans="1:6" x14ac:dyDescent="0.25">
      <c r="A40" s="1" t="s">
        <v>37</v>
      </c>
      <c r="B40" s="11">
        <f>May!B40-April!B40</f>
        <v>-374</v>
      </c>
      <c r="C40" s="11">
        <f>May!C40-April!C40</f>
        <v>-715</v>
      </c>
      <c r="D40" s="11">
        <f>May!D40-April!D40</f>
        <v>20</v>
      </c>
      <c r="E40" s="11">
        <f>May!E40-April!E40</f>
        <v>-167</v>
      </c>
      <c r="F40" s="10">
        <f t="shared" si="0"/>
        <v>-1236</v>
      </c>
    </row>
    <row r="41" spans="1:6" x14ac:dyDescent="0.25">
      <c r="A41" s="1" t="s">
        <v>38</v>
      </c>
      <c r="B41" s="11">
        <f>May!B41-April!B41</f>
        <v>-80</v>
      </c>
      <c r="C41" s="11">
        <f>May!C41-April!C41</f>
        <v>-153</v>
      </c>
      <c r="D41" s="11">
        <f>May!D41-April!D41</f>
        <v>0</v>
      </c>
      <c r="E41" s="11">
        <f>May!E41-April!E41</f>
        <v>-50</v>
      </c>
      <c r="F41" s="10">
        <f t="shared" si="0"/>
        <v>-283</v>
      </c>
    </row>
    <row r="42" spans="1:6" x14ac:dyDescent="0.25">
      <c r="A42" s="1" t="s">
        <v>39</v>
      </c>
      <c r="B42" s="11">
        <f>May!B42-April!B42</f>
        <v>1</v>
      </c>
      <c r="C42" s="11">
        <f>May!C42-April!C42</f>
        <v>8</v>
      </c>
      <c r="D42" s="11">
        <f>May!D42-April!D42</f>
        <v>0</v>
      </c>
      <c r="E42" s="11">
        <f>May!E42-April!E42</f>
        <v>0</v>
      </c>
      <c r="F42" s="10">
        <f t="shared" si="0"/>
        <v>9</v>
      </c>
    </row>
    <row r="43" spans="1:6" x14ac:dyDescent="0.25">
      <c r="A43" s="1" t="s">
        <v>40</v>
      </c>
      <c r="B43" s="11">
        <f>May!B43-April!B43</f>
        <v>4</v>
      </c>
      <c r="C43" s="11">
        <f>May!C43-April!C43</f>
        <v>-23</v>
      </c>
      <c r="D43" s="11">
        <f>May!D43-April!D43</f>
        <v>1</v>
      </c>
      <c r="E43" s="11">
        <f>May!E43-April!E43</f>
        <v>9</v>
      </c>
      <c r="F43" s="10">
        <f t="shared" si="0"/>
        <v>-9</v>
      </c>
    </row>
    <row r="44" spans="1:6" x14ac:dyDescent="0.25">
      <c r="A44" s="1" t="s">
        <v>41</v>
      </c>
      <c r="B44" s="11">
        <f>May!B44-April!B44</f>
        <v>-524</v>
      </c>
      <c r="C44" s="11">
        <f>May!C44-April!C44</f>
        <v>-519</v>
      </c>
      <c r="D44" s="11">
        <f>May!D44-April!D44</f>
        <v>36</v>
      </c>
      <c r="E44" s="11">
        <f>May!E44-April!E44</f>
        <v>-448</v>
      </c>
      <c r="F44" s="10">
        <f t="shared" si="0"/>
        <v>-1455</v>
      </c>
    </row>
    <row r="45" spans="1:6" x14ac:dyDescent="0.25">
      <c r="A45" s="1" t="s">
        <v>42</v>
      </c>
      <c r="B45" s="11">
        <f>May!B45-April!B45</f>
        <v>245</v>
      </c>
      <c r="C45" s="11">
        <f>May!C45-April!C45</f>
        <v>130</v>
      </c>
      <c r="D45" s="11">
        <f>May!D45-April!D45</f>
        <v>25</v>
      </c>
      <c r="E45" s="11">
        <f>May!E45-April!E45</f>
        <v>251</v>
      </c>
      <c r="F45" s="10">
        <f t="shared" si="0"/>
        <v>651</v>
      </c>
    </row>
    <row r="46" spans="1:6" x14ac:dyDescent="0.25">
      <c r="A46" s="1" t="s">
        <v>43</v>
      </c>
      <c r="B46" s="11">
        <f>May!B46-April!B46</f>
        <v>77</v>
      </c>
      <c r="C46" s="11">
        <f>May!C46-April!C46</f>
        <v>57</v>
      </c>
      <c r="D46" s="11">
        <f>May!D46-April!D46</f>
        <v>24</v>
      </c>
      <c r="E46" s="11">
        <f>May!E46-April!E46</f>
        <v>-25</v>
      </c>
      <c r="F46" s="10">
        <f t="shared" si="0"/>
        <v>133</v>
      </c>
    </row>
    <row r="47" spans="1:6" x14ac:dyDescent="0.25">
      <c r="A47" s="1" t="s">
        <v>44</v>
      </c>
      <c r="B47" s="11">
        <f>May!B47-April!B47</f>
        <v>-720</v>
      </c>
      <c r="C47" s="11">
        <f>May!C47-April!C47</f>
        <v>-2037</v>
      </c>
      <c r="D47" s="11">
        <f>May!D47-April!D47</f>
        <v>226</v>
      </c>
      <c r="E47" s="11">
        <f>May!E47-April!E47</f>
        <v>-680</v>
      </c>
      <c r="F47" s="10">
        <f t="shared" si="0"/>
        <v>-3211</v>
      </c>
    </row>
    <row r="48" spans="1:6" x14ac:dyDescent="0.25">
      <c r="A48" s="1" t="s">
        <v>45</v>
      </c>
      <c r="B48" s="11">
        <f>May!B48-April!B48</f>
        <v>62</v>
      </c>
      <c r="C48" s="11">
        <f>May!C48-April!C48</f>
        <v>-32</v>
      </c>
      <c r="D48" s="11">
        <f>May!D48-April!D48</f>
        <v>40</v>
      </c>
      <c r="E48" s="11">
        <f>May!E48-April!E48</f>
        <v>34</v>
      </c>
      <c r="F48" s="10">
        <f t="shared" si="0"/>
        <v>104</v>
      </c>
    </row>
    <row r="49" spans="1:6" x14ac:dyDescent="0.25">
      <c r="A49" s="1" t="s">
        <v>46</v>
      </c>
      <c r="B49" s="11">
        <f>May!B49-April!B49</f>
        <v>15</v>
      </c>
      <c r="C49" s="11">
        <f>May!C49-April!C49</f>
        <v>-42</v>
      </c>
      <c r="D49" s="11">
        <f>May!D49-April!D49</f>
        <v>10</v>
      </c>
      <c r="E49" s="11">
        <f>May!E49-April!E49</f>
        <v>-48</v>
      </c>
      <c r="F49" s="10">
        <f t="shared" si="0"/>
        <v>-65</v>
      </c>
    </row>
    <row r="50" spans="1:6" x14ac:dyDescent="0.25">
      <c r="A50" s="1" t="s">
        <v>47</v>
      </c>
      <c r="B50" s="11">
        <f>May!B50-April!B50</f>
        <v>-549</v>
      </c>
      <c r="C50" s="11">
        <f>May!C50-April!C50</f>
        <v>-276</v>
      </c>
      <c r="D50" s="11">
        <f>May!D50-April!D50</f>
        <v>41</v>
      </c>
      <c r="E50" s="11">
        <f>May!E50-April!E50</f>
        <v>-372</v>
      </c>
      <c r="F50" s="10">
        <f t="shared" si="0"/>
        <v>-1156</v>
      </c>
    </row>
    <row r="51" spans="1:6" x14ac:dyDescent="0.25">
      <c r="A51" s="1" t="s">
        <v>48</v>
      </c>
      <c r="B51" s="11">
        <f>May!B51-April!B51</f>
        <v>38</v>
      </c>
      <c r="C51" s="11">
        <f>May!C51-April!C51</f>
        <v>-18</v>
      </c>
      <c r="D51" s="11">
        <f>May!D51-April!D51</f>
        <v>5</v>
      </c>
      <c r="E51" s="11">
        <f>May!E51-April!E51</f>
        <v>11</v>
      </c>
      <c r="F51" s="10">
        <f t="shared" si="0"/>
        <v>36</v>
      </c>
    </row>
    <row r="52" spans="1:6" x14ac:dyDescent="0.25">
      <c r="A52" s="1" t="s">
        <v>49</v>
      </c>
      <c r="B52" s="11">
        <f>May!B52-April!B52</f>
        <v>408</v>
      </c>
      <c r="C52" s="11">
        <f>May!C52-April!C52</f>
        <v>719</v>
      </c>
      <c r="D52" s="11">
        <f>May!D52-April!D52</f>
        <v>-2305</v>
      </c>
      <c r="E52" s="11">
        <f>May!E52-April!E52</f>
        <v>3582</v>
      </c>
      <c r="F52" s="10">
        <f t="shared" si="0"/>
        <v>2404</v>
      </c>
    </row>
    <row r="53" spans="1:6" x14ac:dyDescent="0.25">
      <c r="A53" s="1" t="s">
        <v>50</v>
      </c>
      <c r="B53" s="11">
        <f>May!B53-April!B53</f>
        <v>-415</v>
      </c>
      <c r="C53" s="11">
        <f>May!C53-April!C53</f>
        <v>-1069</v>
      </c>
      <c r="D53" s="11">
        <f>May!D53-April!D53</f>
        <v>17</v>
      </c>
      <c r="E53" s="11">
        <f>May!E53-April!E53</f>
        <v>-825</v>
      </c>
      <c r="F53" s="10">
        <f t="shared" si="0"/>
        <v>-2292</v>
      </c>
    </row>
    <row r="54" spans="1:6" x14ac:dyDescent="0.25">
      <c r="A54" s="1" t="s">
        <v>51</v>
      </c>
      <c r="B54" s="11">
        <f>May!B54-April!B54</f>
        <v>801</v>
      </c>
      <c r="C54" s="11">
        <f>May!C54-April!C54</f>
        <v>881</v>
      </c>
      <c r="D54" s="11">
        <f>May!D54-April!D54</f>
        <v>390</v>
      </c>
      <c r="E54" s="11">
        <f>May!E54-April!E54</f>
        <v>612</v>
      </c>
      <c r="F54" s="10">
        <f t="shared" si="0"/>
        <v>2684</v>
      </c>
    </row>
    <row r="55" spans="1:6" x14ac:dyDescent="0.25">
      <c r="A55" s="1" t="s">
        <v>52</v>
      </c>
      <c r="B55" s="11">
        <f>May!B55-April!B55</f>
        <v>440</v>
      </c>
      <c r="C55" s="11">
        <f>May!C55-April!C55</f>
        <v>236</v>
      </c>
      <c r="D55" s="11">
        <f>May!D55-April!D55</f>
        <v>84</v>
      </c>
      <c r="E55" s="11">
        <f>May!E55-April!E55</f>
        <v>474</v>
      </c>
      <c r="F55" s="10">
        <f t="shared" si="0"/>
        <v>1234</v>
      </c>
    </row>
    <row r="56" spans="1:6" x14ac:dyDescent="0.25">
      <c r="A56" s="1" t="s">
        <v>53</v>
      </c>
      <c r="B56" s="11">
        <f>May!B56-April!B56</f>
        <v>314</v>
      </c>
      <c r="C56" s="11">
        <f>May!C56-April!C56</f>
        <v>163</v>
      </c>
      <c r="D56" s="11">
        <f>May!D56-April!D56</f>
        <v>169</v>
      </c>
      <c r="E56" s="11">
        <f>May!E56-April!E56</f>
        <v>565</v>
      </c>
      <c r="F56" s="10">
        <f t="shared" si="0"/>
        <v>1211</v>
      </c>
    </row>
    <row r="57" spans="1:6" x14ac:dyDescent="0.25">
      <c r="A57" s="1" t="s">
        <v>54</v>
      </c>
      <c r="B57" s="11">
        <f>May!B57-April!B57</f>
        <v>84</v>
      </c>
      <c r="C57" s="11">
        <f>May!C57-April!C57</f>
        <v>-66</v>
      </c>
      <c r="D57" s="11">
        <f>May!D57-April!D57</f>
        <v>109</v>
      </c>
      <c r="E57" s="11">
        <f>May!E57-April!E57</f>
        <v>9</v>
      </c>
      <c r="F57" s="10">
        <f t="shared" si="0"/>
        <v>136</v>
      </c>
    </row>
    <row r="58" spans="1:6" x14ac:dyDescent="0.25">
      <c r="A58" s="1" t="s">
        <v>55</v>
      </c>
      <c r="B58" s="11">
        <f>May!B58-April!B58</f>
        <v>-533</v>
      </c>
      <c r="C58" s="11">
        <f>May!C58-April!C58</f>
        <v>-856</v>
      </c>
      <c r="D58" s="11">
        <f>May!D58-April!D58</f>
        <v>1</v>
      </c>
      <c r="E58" s="11">
        <f>May!E58-April!E58</f>
        <v>-655</v>
      </c>
      <c r="F58" s="10">
        <f t="shared" si="0"/>
        <v>-2043</v>
      </c>
    </row>
    <row r="59" spans="1:6" x14ac:dyDescent="0.25">
      <c r="A59" s="1" t="s">
        <v>56</v>
      </c>
      <c r="B59" s="11">
        <f>May!B59-April!B59</f>
        <v>79</v>
      </c>
      <c r="C59" s="11">
        <f>May!C59-April!C59</f>
        <v>20</v>
      </c>
      <c r="D59" s="11">
        <f>May!D59-April!D59</f>
        <v>35</v>
      </c>
      <c r="E59" s="11">
        <f>May!E59-April!E59</f>
        <v>152</v>
      </c>
      <c r="F59" s="10">
        <f t="shared" si="0"/>
        <v>286</v>
      </c>
    </row>
    <row r="60" spans="1:6" x14ac:dyDescent="0.25">
      <c r="A60" s="1" t="s">
        <v>57</v>
      </c>
      <c r="B60" s="11">
        <f>May!B60-April!B60</f>
        <v>518</v>
      </c>
      <c r="C60" s="11">
        <f>May!C60-April!C60</f>
        <v>375</v>
      </c>
      <c r="D60" s="11">
        <f>May!D60-April!D60</f>
        <v>65</v>
      </c>
      <c r="E60" s="11">
        <f>May!E60-April!E60</f>
        <v>527</v>
      </c>
      <c r="F60" s="10">
        <f t="shared" si="0"/>
        <v>1485</v>
      </c>
    </row>
    <row r="61" spans="1:6" x14ac:dyDescent="0.25">
      <c r="A61" s="1" t="s">
        <v>58</v>
      </c>
      <c r="B61" s="11">
        <f>May!B61-April!B61</f>
        <v>-106</v>
      </c>
      <c r="C61" s="11">
        <f>May!C61-April!C61</f>
        <v>-70</v>
      </c>
      <c r="D61" s="11">
        <f>May!D61-April!D61</f>
        <v>37</v>
      </c>
      <c r="E61" s="11">
        <f>May!E61-April!E61</f>
        <v>80</v>
      </c>
      <c r="F61" s="10">
        <f t="shared" si="0"/>
        <v>-59</v>
      </c>
    </row>
    <row r="62" spans="1:6" x14ac:dyDescent="0.25">
      <c r="A62" s="1" t="s">
        <v>59</v>
      </c>
      <c r="B62" s="11">
        <f>May!B62-April!B62</f>
        <v>343</v>
      </c>
      <c r="C62" s="11">
        <f>May!C62-April!C62</f>
        <v>159</v>
      </c>
      <c r="D62" s="11">
        <f>May!D62-April!D62</f>
        <v>-461</v>
      </c>
      <c r="E62" s="11">
        <f>May!E62-April!E62</f>
        <v>763</v>
      </c>
      <c r="F62" s="10">
        <f t="shared" si="0"/>
        <v>804</v>
      </c>
    </row>
    <row r="63" spans="1:6" x14ac:dyDescent="0.25">
      <c r="A63" s="1" t="s">
        <v>60</v>
      </c>
      <c r="B63" s="11">
        <f>May!B63-April!B63</f>
        <v>82</v>
      </c>
      <c r="C63" s="11">
        <f>May!C63-April!C63</f>
        <v>68</v>
      </c>
      <c r="D63" s="11">
        <f>May!D63-April!D63</f>
        <v>49</v>
      </c>
      <c r="E63" s="11">
        <f>May!E63-April!E63</f>
        <v>131</v>
      </c>
      <c r="F63" s="10">
        <f t="shared" si="0"/>
        <v>330</v>
      </c>
    </row>
    <row r="64" spans="1:6" x14ac:dyDescent="0.25">
      <c r="A64" s="1" t="s">
        <v>61</v>
      </c>
      <c r="B64" s="11">
        <f>May!B64-April!B64</f>
        <v>-723</v>
      </c>
      <c r="C64" s="11">
        <f>May!C64-April!C64</f>
        <v>-361</v>
      </c>
      <c r="D64" s="11">
        <f>May!D64-April!D64</f>
        <v>7</v>
      </c>
      <c r="E64" s="11">
        <f>May!E64-April!E64</f>
        <v>-333</v>
      </c>
      <c r="F64" s="10">
        <f t="shared" si="0"/>
        <v>-1410</v>
      </c>
    </row>
    <row r="65" spans="1:6" x14ac:dyDescent="0.25">
      <c r="A65" s="1" t="s">
        <v>62</v>
      </c>
      <c r="B65" s="11">
        <f>May!B65-April!B65</f>
        <v>35</v>
      </c>
      <c r="C65" s="11">
        <f>May!C65-April!C65</f>
        <v>-52</v>
      </c>
      <c r="D65" s="11">
        <f>May!D65-April!D65</f>
        <v>10</v>
      </c>
      <c r="E65" s="11">
        <f>May!E65-April!E65</f>
        <v>-43</v>
      </c>
      <c r="F65" s="10">
        <f t="shared" si="0"/>
        <v>-50</v>
      </c>
    </row>
    <row r="66" spans="1:6" x14ac:dyDescent="0.25">
      <c r="A66" s="1" t="s">
        <v>63</v>
      </c>
      <c r="B66" s="11">
        <f>May!B66-April!B66</f>
        <v>9</v>
      </c>
      <c r="C66" s="11">
        <f>May!C66-April!C66</f>
        <v>-31</v>
      </c>
      <c r="D66" s="11">
        <f>May!D66-April!D66</f>
        <v>-2</v>
      </c>
      <c r="E66" s="11">
        <f>May!E66-April!E66</f>
        <v>5</v>
      </c>
      <c r="F66" s="10">
        <f t="shared" si="0"/>
        <v>-19</v>
      </c>
    </row>
    <row r="67" spans="1:6" x14ac:dyDescent="0.25">
      <c r="A67" s="1" t="s">
        <v>64</v>
      </c>
      <c r="B67" s="11">
        <f>May!B67-April!B67</f>
        <v>0</v>
      </c>
      <c r="C67" s="11">
        <f>May!C67-April!C67</f>
        <v>-3</v>
      </c>
      <c r="D67" s="11">
        <f>May!D67-April!D67</f>
        <v>0</v>
      </c>
      <c r="E67" s="11">
        <f>May!E67-April!E67</f>
        <v>1</v>
      </c>
      <c r="F67" s="10">
        <f t="shared" si="0"/>
        <v>-2</v>
      </c>
    </row>
    <row r="68" spans="1:6" x14ac:dyDescent="0.25">
      <c r="A68" s="1" t="s">
        <v>65</v>
      </c>
      <c r="B68" s="11">
        <f>May!B68-April!B68</f>
        <v>173</v>
      </c>
      <c r="C68" s="11">
        <f>May!C68-April!C68</f>
        <v>19</v>
      </c>
      <c r="D68" s="11">
        <f>May!D68-April!D68</f>
        <v>86</v>
      </c>
      <c r="E68" s="11">
        <f>May!E68-April!E68</f>
        <v>338</v>
      </c>
      <c r="F68" s="10">
        <f t="shared" si="0"/>
        <v>616</v>
      </c>
    </row>
    <row r="69" spans="1:6" x14ac:dyDescent="0.25">
      <c r="A69" s="1" t="s">
        <v>66</v>
      </c>
      <c r="B69" s="11">
        <f>May!B69-April!B69</f>
        <v>72</v>
      </c>
      <c r="C69" s="11">
        <f>May!C69-April!C69</f>
        <v>61</v>
      </c>
      <c r="D69" s="11">
        <f>May!D69-April!D69</f>
        <v>4</v>
      </c>
      <c r="E69" s="11">
        <f>May!E69-April!E69</f>
        <v>46</v>
      </c>
      <c r="F69" s="10">
        <f t="shared" si="0"/>
        <v>183</v>
      </c>
    </row>
    <row r="70" spans="1:6" x14ac:dyDescent="0.25">
      <c r="A70" s="1" t="s">
        <v>67</v>
      </c>
      <c r="B70" s="11">
        <f>May!B70-April!B70</f>
        <v>130</v>
      </c>
      <c r="C70" s="11">
        <f>May!C70-April!C70</f>
        <v>19</v>
      </c>
      <c r="D70" s="11">
        <f>May!D70-April!D70</f>
        <v>17</v>
      </c>
      <c r="E70" s="11">
        <f>May!E70-April!E70</f>
        <v>62</v>
      </c>
      <c r="F70" s="10">
        <f t="shared" ref="F70:F71" si="1">SUM(B70:E70)</f>
        <v>228</v>
      </c>
    </row>
    <row r="71" spans="1:6" ht="15.75" thickBot="1" x14ac:dyDescent="0.3">
      <c r="A71" s="1" t="s">
        <v>68</v>
      </c>
      <c r="B71" s="11">
        <f>May!B71-April!B71</f>
        <v>31</v>
      </c>
      <c r="C71" s="11">
        <f>May!C71-April!C71</f>
        <v>-20</v>
      </c>
      <c r="D71" s="11">
        <f>May!D71-April!D71</f>
        <v>2</v>
      </c>
      <c r="E71" s="11">
        <f>May!E71-April!E71</f>
        <v>19</v>
      </c>
      <c r="F71" s="10">
        <f t="shared" si="1"/>
        <v>32</v>
      </c>
    </row>
    <row r="72" spans="1:6" ht="16.5" thickTop="1" thickBot="1" x14ac:dyDescent="0.3">
      <c r="A72" s="3" t="s">
        <v>1</v>
      </c>
      <c r="B72" s="8">
        <f>SUM(B5:B71)</f>
        <v>-797</v>
      </c>
      <c r="C72" s="8">
        <f>SUM(C5:C71)</f>
        <v>-5895</v>
      </c>
      <c r="D72" s="8">
        <f>SUM(D5:D71)</f>
        <v>-6511</v>
      </c>
      <c r="E72" s="8">
        <f>SUM(E5:E71)</f>
        <v>11049</v>
      </c>
      <c r="F72" s="8">
        <f>SUM(F5:F71)</f>
        <v>-2154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sqref="A1:F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104</v>
      </c>
      <c r="B1" s="17"/>
      <c r="C1" s="17"/>
      <c r="D1" s="17"/>
      <c r="E1" s="17"/>
      <c r="F1" s="18"/>
    </row>
    <row r="2" spans="1:6" x14ac:dyDescent="0.25">
      <c r="A2" s="13" t="s">
        <v>84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June!B5-May!B5</f>
        <v>-2232</v>
      </c>
      <c r="C5" s="11">
        <f>June!C5-May!C5</f>
        <v>-4154</v>
      </c>
      <c r="D5" s="11">
        <f>June!D5-May!D5</f>
        <v>-33</v>
      </c>
      <c r="E5" s="11">
        <f>June!E5-May!E5</f>
        <v>-3372</v>
      </c>
      <c r="F5" s="10">
        <f>SUM(B5:E5)</f>
        <v>-9791</v>
      </c>
    </row>
    <row r="6" spans="1:6" x14ac:dyDescent="0.25">
      <c r="A6" s="1" t="s">
        <v>3</v>
      </c>
      <c r="B6" s="11">
        <f>June!B6-May!B6</f>
        <v>-21</v>
      </c>
      <c r="C6" s="11">
        <f>June!C6-May!C6</f>
        <v>-25</v>
      </c>
      <c r="D6" s="11">
        <f>June!D6-May!D6</f>
        <v>0</v>
      </c>
      <c r="E6" s="11">
        <f>June!E6-May!E6</f>
        <v>9</v>
      </c>
      <c r="F6" s="10">
        <f t="shared" ref="F6:F69" si="0">SUM(B6:E6)</f>
        <v>-37</v>
      </c>
    </row>
    <row r="7" spans="1:6" x14ac:dyDescent="0.25">
      <c r="A7" s="1" t="s">
        <v>4</v>
      </c>
      <c r="B7" s="11">
        <f>June!B7-May!B7</f>
        <v>148</v>
      </c>
      <c r="C7" s="11">
        <f>June!C7-May!C7</f>
        <v>28</v>
      </c>
      <c r="D7" s="11">
        <f>June!D7-May!D7</f>
        <v>19</v>
      </c>
      <c r="E7" s="11">
        <f>June!E7-May!E7</f>
        <v>180</v>
      </c>
      <c r="F7" s="10">
        <f t="shared" si="0"/>
        <v>375</v>
      </c>
    </row>
    <row r="8" spans="1:6" x14ac:dyDescent="0.25">
      <c r="A8" s="1" t="s">
        <v>5</v>
      </c>
      <c r="B8" s="11">
        <f>June!B8-May!B8</f>
        <v>-22</v>
      </c>
      <c r="C8" s="11">
        <f>June!C8-May!C8</f>
        <v>-44</v>
      </c>
      <c r="D8" s="11">
        <f>June!D8-May!D8</f>
        <v>0</v>
      </c>
      <c r="E8" s="11">
        <f>June!E8-May!E8</f>
        <v>-18</v>
      </c>
      <c r="F8" s="10">
        <f t="shared" si="0"/>
        <v>-84</v>
      </c>
    </row>
    <row r="9" spans="1:6" x14ac:dyDescent="0.25">
      <c r="A9" s="1" t="s">
        <v>6</v>
      </c>
      <c r="B9" s="11">
        <f>June!B9-May!B9</f>
        <v>482</v>
      </c>
      <c r="C9" s="11">
        <f>June!C9-May!C9</f>
        <v>262</v>
      </c>
      <c r="D9" s="11">
        <f>June!D9-May!D9</f>
        <v>153</v>
      </c>
      <c r="E9" s="11">
        <f>June!E9-May!E9</f>
        <v>682</v>
      </c>
      <c r="F9" s="10">
        <f t="shared" si="0"/>
        <v>1579</v>
      </c>
    </row>
    <row r="10" spans="1:6" x14ac:dyDescent="0.25">
      <c r="A10" s="1" t="s">
        <v>7</v>
      </c>
      <c r="B10" s="11">
        <f>June!B10-May!B10</f>
        <v>-1263</v>
      </c>
      <c r="C10" s="11">
        <f>June!C10-May!C10</f>
        <v>-2624</v>
      </c>
      <c r="D10" s="11">
        <f>June!D10-May!D10</f>
        <v>214</v>
      </c>
      <c r="E10" s="11">
        <f>June!E10-May!E10</f>
        <v>-998</v>
      </c>
      <c r="F10" s="10">
        <f t="shared" si="0"/>
        <v>-4671</v>
      </c>
    </row>
    <row r="11" spans="1:6" x14ac:dyDescent="0.25">
      <c r="A11" s="1" t="s">
        <v>8</v>
      </c>
      <c r="B11" s="11">
        <f>June!B11-May!B11</f>
        <v>5</v>
      </c>
      <c r="C11" s="11">
        <f>June!C11-May!C11</f>
        <v>-3</v>
      </c>
      <c r="D11" s="11">
        <f>June!D11-May!D11</f>
        <v>1</v>
      </c>
      <c r="E11" s="11">
        <f>June!E11-May!E11</f>
        <v>7</v>
      </c>
      <c r="F11" s="10">
        <f t="shared" si="0"/>
        <v>10</v>
      </c>
    </row>
    <row r="12" spans="1:6" x14ac:dyDescent="0.25">
      <c r="A12" s="1" t="s">
        <v>9</v>
      </c>
      <c r="B12" s="11">
        <f>June!B12-May!B12</f>
        <v>199</v>
      </c>
      <c r="C12" s="11">
        <f>June!C12-May!C12</f>
        <v>80</v>
      </c>
      <c r="D12" s="11">
        <f>June!D12-May!D12</f>
        <v>48</v>
      </c>
      <c r="E12" s="11">
        <f>June!E12-May!E12</f>
        <v>175</v>
      </c>
      <c r="F12" s="10">
        <f t="shared" si="0"/>
        <v>502</v>
      </c>
    </row>
    <row r="13" spans="1:6" x14ac:dyDescent="0.25">
      <c r="A13" s="1" t="s">
        <v>10</v>
      </c>
      <c r="B13" s="11">
        <f>June!B13-May!B13</f>
        <v>226</v>
      </c>
      <c r="C13" s="11">
        <f>June!C13-May!C13</f>
        <v>51</v>
      </c>
      <c r="D13" s="11">
        <f>June!D13-May!D13</f>
        <v>20</v>
      </c>
      <c r="E13" s="11">
        <f>June!E13-May!E13</f>
        <v>208</v>
      </c>
      <c r="F13" s="10">
        <f t="shared" si="0"/>
        <v>505</v>
      </c>
    </row>
    <row r="14" spans="1:6" x14ac:dyDescent="0.25">
      <c r="A14" s="1" t="s">
        <v>11</v>
      </c>
      <c r="B14" s="11">
        <f>June!B14-May!B14</f>
        <v>310</v>
      </c>
      <c r="C14" s="11">
        <f>June!C14-May!C14</f>
        <v>218</v>
      </c>
      <c r="D14" s="11">
        <f>June!D14-May!D14</f>
        <v>49</v>
      </c>
      <c r="E14" s="11">
        <f>June!E14-May!E14</f>
        <v>205</v>
      </c>
      <c r="F14" s="10">
        <f t="shared" si="0"/>
        <v>782</v>
      </c>
    </row>
    <row r="15" spans="1:6" x14ac:dyDescent="0.25">
      <c r="A15" s="1" t="s">
        <v>12</v>
      </c>
      <c r="B15" s="11">
        <f>June!B15-May!B15</f>
        <v>350</v>
      </c>
      <c r="C15" s="11">
        <f>June!C15-May!C15</f>
        <v>299</v>
      </c>
      <c r="D15" s="11">
        <f>June!D15-May!D15</f>
        <v>25</v>
      </c>
      <c r="E15" s="11">
        <f>June!E15-May!E15</f>
        <v>411</v>
      </c>
      <c r="F15" s="10">
        <f t="shared" si="0"/>
        <v>1085</v>
      </c>
    </row>
    <row r="16" spans="1:6" x14ac:dyDescent="0.25">
      <c r="A16" s="1" t="s">
        <v>13</v>
      </c>
      <c r="B16" s="11">
        <f>June!B16-May!B16</f>
        <v>65</v>
      </c>
      <c r="C16" s="11">
        <f>June!C16-May!C16</f>
        <v>17</v>
      </c>
      <c r="D16" s="11">
        <f>June!D16-May!D16</f>
        <v>10</v>
      </c>
      <c r="E16" s="11">
        <f>June!E16-May!E16</f>
        <v>42</v>
      </c>
      <c r="F16" s="10">
        <f t="shared" si="0"/>
        <v>134</v>
      </c>
    </row>
    <row r="17" spans="1:6" x14ac:dyDescent="0.25">
      <c r="A17" s="1" t="s">
        <v>14</v>
      </c>
      <c r="B17" s="11">
        <f>June!B17-May!B17</f>
        <v>9</v>
      </c>
      <c r="C17" s="11">
        <f>June!C17-May!C17</f>
        <v>-3</v>
      </c>
      <c r="D17" s="11">
        <f>June!D17-May!D17</f>
        <v>1</v>
      </c>
      <c r="E17" s="11">
        <f>June!E17-May!E17</f>
        <v>17</v>
      </c>
      <c r="F17" s="10">
        <f t="shared" si="0"/>
        <v>24</v>
      </c>
    </row>
    <row r="18" spans="1:6" x14ac:dyDescent="0.25">
      <c r="A18" s="1" t="s">
        <v>15</v>
      </c>
      <c r="B18" s="11">
        <f>June!B18-May!B18</f>
        <v>13</v>
      </c>
      <c r="C18" s="11">
        <f>June!C18-May!C18</f>
        <v>-4</v>
      </c>
      <c r="D18" s="11">
        <f>June!D18-May!D18</f>
        <v>1</v>
      </c>
      <c r="E18" s="11">
        <f>June!E18-May!E18</f>
        <v>3</v>
      </c>
      <c r="F18" s="10">
        <f t="shared" si="0"/>
        <v>13</v>
      </c>
    </row>
    <row r="19" spans="1:6" x14ac:dyDescent="0.25">
      <c r="A19" s="1" t="s">
        <v>16</v>
      </c>
      <c r="B19" s="11">
        <f>June!B19-May!B19</f>
        <v>-728</v>
      </c>
      <c r="C19" s="11">
        <f>June!C19-May!C19</f>
        <v>-976</v>
      </c>
      <c r="D19" s="11">
        <f>June!D19-May!D19</f>
        <v>101</v>
      </c>
      <c r="E19" s="11">
        <f>June!E19-May!E19</f>
        <v>-897</v>
      </c>
      <c r="F19" s="10">
        <f t="shared" si="0"/>
        <v>-2500</v>
      </c>
    </row>
    <row r="20" spans="1:6" x14ac:dyDescent="0.25">
      <c r="A20" s="1" t="s">
        <v>17</v>
      </c>
      <c r="B20" s="11">
        <f>June!B20-May!B20</f>
        <v>-273</v>
      </c>
      <c r="C20" s="11">
        <f>June!C20-May!C20</f>
        <v>-200</v>
      </c>
      <c r="D20" s="11">
        <f>June!D20-May!D20</f>
        <v>44</v>
      </c>
      <c r="E20" s="11">
        <f>June!E20-May!E20</f>
        <v>-143</v>
      </c>
      <c r="F20" s="10">
        <f t="shared" si="0"/>
        <v>-572</v>
      </c>
    </row>
    <row r="21" spans="1:6" x14ac:dyDescent="0.25">
      <c r="A21" s="1" t="s">
        <v>18</v>
      </c>
      <c r="B21" s="11">
        <f>June!B21-May!B21</f>
        <v>-760</v>
      </c>
      <c r="C21" s="11">
        <f>June!C21-May!C21</f>
        <v>-896</v>
      </c>
      <c r="D21" s="11">
        <f>June!D21-May!D21</f>
        <v>5</v>
      </c>
      <c r="E21" s="11">
        <f>June!E21-May!E21</f>
        <v>-885</v>
      </c>
      <c r="F21" s="10">
        <f t="shared" si="0"/>
        <v>-2536</v>
      </c>
    </row>
    <row r="22" spans="1:6" x14ac:dyDescent="0.25">
      <c r="A22" s="1" t="s">
        <v>19</v>
      </c>
      <c r="B22" s="11">
        <f>June!B22-May!B22</f>
        <v>16</v>
      </c>
      <c r="C22" s="11">
        <f>June!C22-May!C22</f>
        <v>-4</v>
      </c>
      <c r="D22" s="11">
        <f>June!D22-May!D22</f>
        <v>6</v>
      </c>
      <c r="E22" s="11">
        <f>June!E22-May!E22</f>
        <v>9</v>
      </c>
      <c r="F22" s="10">
        <f t="shared" si="0"/>
        <v>27</v>
      </c>
    </row>
    <row r="23" spans="1:6" x14ac:dyDescent="0.25">
      <c r="A23" s="1" t="s">
        <v>20</v>
      </c>
      <c r="B23" s="11">
        <f>June!B23-May!B23</f>
        <v>-1</v>
      </c>
      <c r="C23" s="11">
        <f>June!C23-May!C23</f>
        <v>0</v>
      </c>
      <c r="D23" s="11">
        <f>June!D23-May!D23</f>
        <v>2</v>
      </c>
      <c r="E23" s="11">
        <f>June!E23-May!E23</f>
        <v>13</v>
      </c>
      <c r="F23" s="10">
        <f t="shared" si="0"/>
        <v>14</v>
      </c>
    </row>
    <row r="24" spans="1:6" x14ac:dyDescent="0.25">
      <c r="A24" s="1" t="s">
        <v>21</v>
      </c>
      <c r="B24" s="11">
        <f>June!B24-May!B24</f>
        <v>9</v>
      </c>
      <c r="C24" s="11">
        <f>June!C24-May!C24</f>
        <v>-11</v>
      </c>
      <c r="D24" s="11">
        <f>June!D24-May!D24</f>
        <v>2</v>
      </c>
      <c r="E24" s="11">
        <f>June!E24-May!E24</f>
        <v>7</v>
      </c>
      <c r="F24" s="10">
        <f t="shared" si="0"/>
        <v>7</v>
      </c>
    </row>
    <row r="25" spans="1:6" x14ac:dyDescent="0.25">
      <c r="A25" s="1" t="s">
        <v>22</v>
      </c>
      <c r="B25" s="11">
        <f>June!B25-May!B25</f>
        <v>17</v>
      </c>
      <c r="C25" s="11">
        <f>June!C25-May!C25</f>
        <v>-17</v>
      </c>
      <c r="D25" s="11">
        <f>June!D25-May!D25</f>
        <v>2</v>
      </c>
      <c r="E25" s="11">
        <f>June!E25-May!E25</f>
        <v>-7</v>
      </c>
      <c r="F25" s="10">
        <f t="shared" si="0"/>
        <v>-5</v>
      </c>
    </row>
    <row r="26" spans="1:6" x14ac:dyDescent="0.25">
      <c r="A26" s="1" t="s">
        <v>23</v>
      </c>
      <c r="B26" s="11">
        <f>June!B26-May!B26</f>
        <v>16</v>
      </c>
      <c r="C26" s="11">
        <f>June!C26-May!C26</f>
        <v>0</v>
      </c>
      <c r="D26" s="11">
        <f>June!D26-May!D26</f>
        <v>7</v>
      </c>
      <c r="E26" s="11">
        <f>June!E26-May!E26</f>
        <v>0</v>
      </c>
      <c r="F26" s="10">
        <f t="shared" si="0"/>
        <v>23</v>
      </c>
    </row>
    <row r="27" spans="1:6" x14ac:dyDescent="0.25">
      <c r="A27" s="1" t="s">
        <v>24</v>
      </c>
      <c r="B27" s="11">
        <f>June!B27-May!B27</f>
        <v>-20</v>
      </c>
      <c r="C27" s="11">
        <f>June!C27-May!C27</f>
        <v>-57</v>
      </c>
      <c r="D27" s="11">
        <f>June!D27-May!D27</f>
        <v>1</v>
      </c>
      <c r="E27" s="11">
        <f>June!E27-May!E27</f>
        <v>-10</v>
      </c>
      <c r="F27" s="10">
        <f t="shared" si="0"/>
        <v>-86</v>
      </c>
    </row>
    <row r="28" spans="1:6" x14ac:dyDescent="0.25">
      <c r="A28" s="1" t="s">
        <v>25</v>
      </c>
      <c r="B28" s="11">
        <f>June!B28-May!B28</f>
        <v>16</v>
      </c>
      <c r="C28" s="11">
        <f>June!C28-May!C28</f>
        <v>2</v>
      </c>
      <c r="D28" s="11">
        <f>June!D28-May!D28</f>
        <v>-1</v>
      </c>
      <c r="E28" s="11">
        <f>June!E28-May!E28</f>
        <v>23</v>
      </c>
      <c r="F28" s="10">
        <f t="shared" si="0"/>
        <v>40</v>
      </c>
    </row>
    <row r="29" spans="1:6" x14ac:dyDescent="0.25">
      <c r="A29" s="1" t="s">
        <v>26</v>
      </c>
      <c r="B29" s="11">
        <f>June!B29-May!B29</f>
        <v>9</v>
      </c>
      <c r="C29" s="11">
        <f>June!C29-May!C29</f>
        <v>-4</v>
      </c>
      <c r="D29" s="11">
        <f>June!D29-May!D29</f>
        <v>2</v>
      </c>
      <c r="E29" s="11">
        <f>June!E29-May!E29</f>
        <v>29</v>
      </c>
      <c r="F29" s="10">
        <f t="shared" si="0"/>
        <v>36</v>
      </c>
    </row>
    <row r="30" spans="1:6" x14ac:dyDescent="0.25">
      <c r="A30" s="1" t="s">
        <v>27</v>
      </c>
      <c r="B30" s="11">
        <f>June!B30-May!B30</f>
        <v>-38</v>
      </c>
      <c r="C30" s="11">
        <f>June!C30-May!C30</f>
        <v>-107</v>
      </c>
      <c r="D30" s="11">
        <f>June!D30-May!D30</f>
        <v>41</v>
      </c>
      <c r="E30" s="11">
        <f>June!E30-May!E30</f>
        <v>-30</v>
      </c>
      <c r="F30" s="10">
        <f t="shared" si="0"/>
        <v>-134</v>
      </c>
    </row>
    <row r="31" spans="1:6" x14ac:dyDescent="0.25">
      <c r="A31" s="1" t="s">
        <v>28</v>
      </c>
      <c r="B31" s="11">
        <f>June!B31-May!B31</f>
        <v>44</v>
      </c>
      <c r="C31" s="11">
        <f>June!C31-May!C31</f>
        <v>38</v>
      </c>
      <c r="D31" s="11">
        <f>June!D31-May!D31</f>
        <v>11</v>
      </c>
      <c r="E31" s="11">
        <f>June!E31-May!E31</f>
        <v>121</v>
      </c>
      <c r="F31" s="10">
        <f t="shared" si="0"/>
        <v>214</v>
      </c>
    </row>
    <row r="32" spans="1:6" x14ac:dyDescent="0.25">
      <c r="A32" s="1" t="s">
        <v>29</v>
      </c>
      <c r="B32" s="11">
        <f>June!B32-May!B32</f>
        <v>-424</v>
      </c>
      <c r="C32" s="11">
        <f>June!C32-May!C32</f>
        <v>-756</v>
      </c>
      <c r="D32" s="11">
        <f>June!D32-May!D32</f>
        <v>173</v>
      </c>
      <c r="E32" s="11">
        <f>June!E32-May!E32</f>
        <v>-309</v>
      </c>
      <c r="F32" s="10">
        <f t="shared" si="0"/>
        <v>-1316</v>
      </c>
    </row>
    <row r="33" spans="1:6" x14ac:dyDescent="0.25">
      <c r="A33" s="1" t="s">
        <v>30</v>
      </c>
      <c r="B33" s="11">
        <f>June!B33-May!B33</f>
        <v>-73</v>
      </c>
      <c r="C33" s="11">
        <f>June!C33-May!C33</f>
        <v>-158</v>
      </c>
      <c r="D33" s="11">
        <f>June!D33-May!D33</f>
        <v>0</v>
      </c>
      <c r="E33" s="11">
        <f>June!E33-May!E33</f>
        <v>-44</v>
      </c>
      <c r="F33" s="10">
        <f t="shared" si="0"/>
        <v>-275</v>
      </c>
    </row>
    <row r="34" spans="1:6" x14ac:dyDescent="0.25">
      <c r="A34" s="1" t="s">
        <v>31</v>
      </c>
      <c r="B34" s="11">
        <f>June!B34-May!B34</f>
        <v>144</v>
      </c>
      <c r="C34" s="11">
        <f>June!C34-May!C34</f>
        <v>78</v>
      </c>
      <c r="D34" s="11">
        <f>June!D34-May!D34</f>
        <v>33</v>
      </c>
      <c r="E34" s="11">
        <f>June!E34-May!E34</f>
        <v>153</v>
      </c>
      <c r="F34" s="10">
        <f t="shared" si="0"/>
        <v>408</v>
      </c>
    </row>
    <row r="35" spans="1:6" x14ac:dyDescent="0.25">
      <c r="A35" s="1" t="s">
        <v>32</v>
      </c>
      <c r="B35" s="11">
        <f>June!B35-May!B35</f>
        <v>22</v>
      </c>
      <c r="C35" s="11">
        <f>June!C35-May!C35</f>
        <v>-17</v>
      </c>
      <c r="D35" s="11">
        <f>June!D35-May!D35</f>
        <v>2</v>
      </c>
      <c r="E35" s="11">
        <f>June!E35-May!E35</f>
        <v>30</v>
      </c>
      <c r="F35" s="10">
        <f t="shared" si="0"/>
        <v>37</v>
      </c>
    </row>
    <row r="36" spans="1:6" x14ac:dyDescent="0.25">
      <c r="A36" s="1" t="s">
        <v>33</v>
      </c>
      <c r="B36" s="11">
        <f>June!B36-May!B36</f>
        <v>-5</v>
      </c>
      <c r="C36" s="11">
        <f>June!C36-May!C36</f>
        <v>-56</v>
      </c>
      <c r="D36" s="11">
        <f>June!D36-May!D36</f>
        <v>0</v>
      </c>
      <c r="E36" s="11">
        <f>June!E36-May!E36</f>
        <v>1</v>
      </c>
      <c r="F36" s="10">
        <f t="shared" si="0"/>
        <v>-60</v>
      </c>
    </row>
    <row r="37" spans="1:6" x14ac:dyDescent="0.25">
      <c r="A37" s="1" t="s">
        <v>34</v>
      </c>
      <c r="B37" s="11">
        <f>June!B37-May!B37</f>
        <v>6</v>
      </c>
      <c r="C37" s="11">
        <f>June!C37-May!C37</f>
        <v>-4</v>
      </c>
      <c r="D37" s="11">
        <f>June!D37-May!D37</f>
        <v>0</v>
      </c>
      <c r="E37" s="11">
        <f>June!E37-May!E37</f>
        <v>1</v>
      </c>
      <c r="F37" s="10">
        <f t="shared" si="0"/>
        <v>3</v>
      </c>
    </row>
    <row r="38" spans="1:6" x14ac:dyDescent="0.25">
      <c r="A38" s="1" t="s">
        <v>35</v>
      </c>
      <c r="B38" s="11">
        <f>June!B38-May!B38</f>
        <v>276</v>
      </c>
      <c r="C38" s="11">
        <f>June!C38-May!C38</f>
        <v>118</v>
      </c>
      <c r="D38" s="11">
        <f>June!D38-May!D38</f>
        <v>26</v>
      </c>
      <c r="E38" s="11">
        <f>June!E38-May!E38</f>
        <v>267</v>
      </c>
      <c r="F38" s="10">
        <f t="shared" si="0"/>
        <v>687</v>
      </c>
    </row>
    <row r="39" spans="1:6" x14ac:dyDescent="0.25">
      <c r="A39" s="1" t="s">
        <v>36</v>
      </c>
      <c r="B39" s="11">
        <f>June!B39-May!B39</f>
        <v>200</v>
      </c>
      <c r="C39" s="11">
        <f>June!C39-May!C39</f>
        <v>88</v>
      </c>
      <c r="D39" s="11">
        <f>June!D39-May!D39</f>
        <v>92</v>
      </c>
      <c r="E39" s="11">
        <f>June!E39-May!E39</f>
        <v>535</v>
      </c>
      <c r="F39" s="10">
        <f t="shared" si="0"/>
        <v>915</v>
      </c>
    </row>
    <row r="40" spans="1:6" x14ac:dyDescent="0.25">
      <c r="A40" s="1" t="s">
        <v>37</v>
      </c>
      <c r="B40" s="11">
        <f>June!B40-May!B40</f>
        <v>-268</v>
      </c>
      <c r="C40" s="11">
        <f>June!C40-May!C40</f>
        <v>-495</v>
      </c>
      <c r="D40" s="11">
        <f>June!D40-May!D40</f>
        <v>19</v>
      </c>
      <c r="E40" s="11">
        <f>June!E40-May!E40</f>
        <v>-439</v>
      </c>
      <c r="F40" s="10">
        <f t="shared" si="0"/>
        <v>-1183</v>
      </c>
    </row>
    <row r="41" spans="1:6" x14ac:dyDescent="0.25">
      <c r="A41" s="1" t="s">
        <v>38</v>
      </c>
      <c r="B41" s="11">
        <f>June!B41-May!B41</f>
        <v>-19</v>
      </c>
      <c r="C41" s="11">
        <f>June!C41-May!C41</f>
        <v>-53</v>
      </c>
      <c r="D41" s="11">
        <f>June!D41-May!D41</f>
        <v>-4</v>
      </c>
      <c r="E41" s="11">
        <f>June!E41-May!E41</f>
        <v>-3</v>
      </c>
      <c r="F41" s="10">
        <f t="shared" si="0"/>
        <v>-79</v>
      </c>
    </row>
    <row r="42" spans="1:6" x14ac:dyDescent="0.25">
      <c r="A42" s="1" t="s">
        <v>39</v>
      </c>
      <c r="B42" s="11">
        <f>June!B42-May!B42</f>
        <v>-3</v>
      </c>
      <c r="C42" s="11">
        <f>June!C42-May!C42</f>
        <v>-8</v>
      </c>
      <c r="D42" s="11">
        <f>June!D42-May!D42</f>
        <v>0</v>
      </c>
      <c r="E42" s="11">
        <f>June!E42-May!E42</f>
        <v>1</v>
      </c>
      <c r="F42" s="10">
        <f t="shared" si="0"/>
        <v>-10</v>
      </c>
    </row>
    <row r="43" spans="1:6" x14ac:dyDescent="0.25">
      <c r="A43" s="1" t="s">
        <v>40</v>
      </c>
      <c r="B43" s="11">
        <f>June!B43-May!B43</f>
        <v>14</v>
      </c>
      <c r="C43" s="11">
        <f>June!C43-May!C43</f>
        <v>-3</v>
      </c>
      <c r="D43" s="11">
        <f>June!D43-May!D43</f>
        <v>1</v>
      </c>
      <c r="E43" s="11">
        <f>June!E43-May!E43</f>
        <v>7</v>
      </c>
      <c r="F43" s="10">
        <f t="shared" si="0"/>
        <v>19</v>
      </c>
    </row>
    <row r="44" spans="1:6" x14ac:dyDescent="0.25">
      <c r="A44" s="1" t="s">
        <v>41</v>
      </c>
      <c r="B44" s="11">
        <f>June!B44-May!B44</f>
        <v>-137</v>
      </c>
      <c r="C44" s="11">
        <f>June!C44-May!C44</f>
        <v>-36</v>
      </c>
      <c r="D44" s="11">
        <f>June!D44-May!D44</f>
        <v>47</v>
      </c>
      <c r="E44" s="11">
        <f>June!E44-May!E44</f>
        <v>113</v>
      </c>
      <c r="F44" s="10">
        <f t="shared" si="0"/>
        <v>-13</v>
      </c>
    </row>
    <row r="45" spans="1:6" x14ac:dyDescent="0.25">
      <c r="A45" s="1" t="s">
        <v>42</v>
      </c>
      <c r="B45" s="11">
        <f>June!B45-May!B45</f>
        <v>362</v>
      </c>
      <c r="C45" s="11">
        <f>June!C45-May!C45</f>
        <v>165</v>
      </c>
      <c r="D45" s="11">
        <f>June!D45-May!D45</f>
        <v>29</v>
      </c>
      <c r="E45" s="11">
        <f>June!E45-May!E45</f>
        <v>328</v>
      </c>
      <c r="F45" s="10">
        <f t="shared" si="0"/>
        <v>884</v>
      </c>
    </row>
    <row r="46" spans="1:6" x14ac:dyDescent="0.25">
      <c r="A46" s="1" t="s">
        <v>43</v>
      </c>
      <c r="B46" s="11">
        <f>June!B46-May!B46</f>
        <v>231</v>
      </c>
      <c r="C46" s="11">
        <f>June!C46-May!C46</f>
        <v>138</v>
      </c>
      <c r="D46" s="11">
        <f>June!D46-May!D46</f>
        <v>25</v>
      </c>
      <c r="E46" s="11">
        <f>June!E46-May!E46</f>
        <v>119</v>
      </c>
      <c r="F46" s="10">
        <f t="shared" si="0"/>
        <v>513</v>
      </c>
    </row>
    <row r="47" spans="1:6" x14ac:dyDescent="0.25">
      <c r="A47" s="1" t="s">
        <v>44</v>
      </c>
      <c r="B47" s="11">
        <f>June!B47-May!B47</f>
        <v>-927</v>
      </c>
      <c r="C47" s="11">
        <f>June!C47-May!C47</f>
        <v>-1531</v>
      </c>
      <c r="D47" s="11">
        <f>June!D47-May!D47</f>
        <v>105</v>
      </c>
      <c r="E47" s="11">
        <f>June!E47-May!E47</f>
        <v>-413</v>
      </c>
      <c r="F47" s="10">
        <f t="shared" si="0"/>
        <v>-2766</v>
      </c>
    </row>
    <row r="48" spans="1:6" x14ac:dyDescent="0.25">
      <c r="A48" s="1" t="s">
        <v>45</v>
      </c>
      <c r="B48" s="11">
        <f>June!B48-May!B48</f>
        <v>54</v>
      </c>
      <c r="C48" s="11">
        <f>June!C48-May!C48</f>
        <v>-31</v>
      </c>
      <c r="D48" s="11">
        <f>June!D48-May!D48</f>
        <v>27</v>
      </c>
      <c r="E48" s="11">
        <f>June!E48-May!E48</f>
        <v>108</v>
      </c>
      <c r="F48" s="10">
        <f t="shared" si="0"/>
        <v>158</v>
      </c>
    </row>
    <row r="49" spans="1:6" x14ac:dyDescent="0.25">
      <c r="A49" s="1" t="s">
        <v>46</v>
      </c>
      <c r="B49" s="11">
        <f>June!B49-May!B49</f>
        <v>193</v>
      </c>
      <c r="C49" s="11">
        <f>June!C49-May!C49</f>
        <v>66</v>
      </c>
      <c r="D49" s="11">
        <f>June!D49-May!D49</f>
        <v>28</v>
      </c>
      <c r="E49" s="11">
        <f>June!E49-May!E49</f>
        <v>95</v>
      </c>
      <c r="F49" s="10">
        <f t="shared" si="0"/>
        <v>382</v>
      </c>
    </row>
    <row r="50" spans="1:6" x14ac:dyDescent="0.25">
      <c r="A50" s="1" t="s">
        <v>47</v>
      </c>
      <c r="B50" s="11">
        <f>June!B50-May!B50</f>
        <v>205</v>
      </c>
      <c r="C50" s="11">
        <f>June!C50-May!C50</f>
        <v>50</v>
      </c>
      <c r="D50" s="11">
        <f>June!D50-May!D50</f>
        <v>44</v>
      </c>
      <c r="E50" s="11">
        <f>June!E50-May!E50</f>
        <v>169</v>
      </c>
      <c r="F50" s="10">
        <f t="shared" si="0"/>
        <v>468</v>
      </c>
    </row>
    <row r="51" spans="1:6" x14ac:dyDescent="0.25">
      <c r="A51" s="1" t="s">
        <v>48</v>
      </c>
      <c r="B51" s="11">
        <f>June!B51-May!B51</f>
        <v>23</v>
      </c>
      <c r="C51" s="11">
        <f>June!C51-May!C51</f>
        <v>18</v>
      </c>
      <c r="D51" s="11">
        <f>June!D51-May!D51</f>
        <v>4</v>
      </c>
      <c r="E51" s="11">
        <f>June!E51-May!E51</f>
        <v>17</v>
      </c>
      <c r="F51" s="10">
        <f t="shared" si="0"/>
        <v>62</v>
      </c>
    </row>
    <row r="52" spans="1:6" x14ac:dyDescent="0.25">
      <c r="A52" s="1" t="s">
        <v>49</v>
      </c>
      <c r="B52" s="11">
        <f>June!B52-May!B52</f>
        <v>497</v>
      </c>
      <c r="C52" s="11">
        <f>June!C52-May!C52</f>
        <v>976</v>
      </c>
      <c r="D52" s="11">
        <f>June!D52-May!D52</f>
        <v>126</v>
      </c>
      <c r="E52" s="11">
        <f>June!E52-May!E52</f>
        <v>1492</v>
      </c>
      <c r="F52" s="10">
        <f t="shared" si="0"/>
        <v>3091</v>
      </c>
    </row>
    <row r="53" spans="1:6" x14ac:dyDescent="0.25">
      <c r="A53" s="1" t="s">
        <v>50</v>
      </c>
      <c r="B53" s="11">
        <f>June!B53-May!B53</f>
        <v>87</v>
      </c>
      <c r="C53" s="11">
        <f>June!C53-May!C53</f>
        <v>251</v>
      </c>
      <c r="D53" s="11">
        <f>June!D53-May!D53</f>
        <v>25</v>
      </c>
      <c r="E53" s="11">
        <f>June!E53-May!E53</f>
        <v>513</v>
      </c>
      <c r="F53" s="10">
        <f t="shared" si="0"/>
        <v>876</v>
      </c>
    </row>
    <row r="54" spans="1:6" x14ac:dyDescent="0.25">
      <c r="A54" s="1" t="s">
        <v>51</v>
      </c>
      <c r="B54" s="11">
        <f>June!B54-May!B54</f>
        <v>755</v>
      </c>
      <c r="C54" s="11">
        <f>June!C54-May!C54</f>
        <v>1168</v>
      </c>
      <c r="D54" s="11">
        <f>June!D54-May!D54</f>
        <v>304</v>
      </c>
      <c r="E54" s="11">
        <f>June!E54-May!E54</f>
        <v>1415</v>
      </c>
      <c r="F54" s="10">
        <f t="shared" si="0"/>
        <v>3642</v>
      </c>
    </row>
    <row r="55" spans="1:6" x14ac:dyDescent="0.25">
      <c r="A55" s="1" t="s">
        <v>52</v>
      </c>
      <c r="B55" s="11">
        <f>June!B55-May!B55</f>
        <v>317</v>
      </c>
      <c r="C55" s="11">
        <f>June!C55-May!C55</f>
        <v>121</v>
      </c>
      <c r="D55" s="11">
        <f>June!D55-May!D55</f>
        <v>80</v>
      </c>
      <c r="E55" s="11">
        <f>June!E55-May!E55</f>
        <v>14</v>
      </c>
      <c r="F55" s="10">
        <f t="shared" si="0"/>
        <v>532</v>
      </c>
    </row>
    <row r="56" spans="1:6" x14ac:dyDescent="0.25">
      <c r="A56" s="1" t="s">
        <v>53</v>
      </c>
      <c r="B56" s="11">
        <f>June!B56-May!B56</f>
        <v>-455</v>
      </c>
      <c r="C56" s="11">
        <f>June!C56-May!C56</f>
        <v>-341</v>
      </c>
      <c r="D56" s="11">
        <f>June!D56-May!D56</f>
        <v>139</v>
      </c>
      <c r="E56" s="11">
        <f>June!E56-May!E56</f>
        <v>53</v>
      </c>
      <c r="F56" s="10">
        <f t="shared" si="0"/>
        <v>-604</v>
      </c>
    </row>
    <row r="57" spans="1:6" x14ac:dyDescent="0.25">
      <c r="A57" s="1" t="s">
        <v>54</v>
      </c>
      <c r="B57" s="11">
        <f>June!B57-May!B57</f>
        <v>-847</v>
      </c>
      <c r="C57" s="11">
        <f>June!C57-May!C57</f>
        <v>-1477</v>
      </c>
      <c r="D57" s="11">
        <f>June!D57-May!D57</f>
        <v>53</v>
      </c>
      <c r="E57" s="11">
        <f>June!E57-May!E57</f>
        <v>-789</v>
      </c>
      <c r="F57" s="10">
        <f t="shared" si="0"/>
        <v>-3060</v>
      </c>
    </row>
    <row r="58" spans="1:6" x14ac:dyDescent="0.25">
      <c r="A58" s="1" t="s">
        <v>55</v>
      </c>
      <c r="B58" s="11">
        <f>June!B58-May!B58</f>
        <v>23</v>
      </c>
      <c r="C58" s="11">
        <f>June!C58-May!C58</f>
        <v>-7</v>
      </c>
      <c r="D58" s="11">
        <f>June!D58-May!D58</f>
        <v>6</v>
      </c>
      <c r="E58" s="11">
        <f>June!E58-May!E58</f>
        <v>42</v>
      </c>
      <c r="F58" s="10">
        <f t="shared" si="0"/>
        <v>64</v>
      </c>
    </row>
    <row r="59" spans="1:6" x14ac:dyDescent="0.25">
      <c r="A59" s="1" t="s">
        <v>56</v>
      </c>
      <c r="B59" s="11">
        <f>June!B59-May!B59</f>
        <v>206</v>
      </c>
      <c r="C59" s="11">
        <f>June!C59-May!C59</f>
        <v>14</v>
      </c>
      <c r="D59" s="11">
        <f>June!D59-May!D59</f>
        <v>38</v>
      </c>
      <c r="E59" s="11">
        <f>June!E59-May!E59</f>
        <v>120</v>
      </c>
      <c r="F59" s="10">
        <f t="shared" si="0"/>
        <v>378</v>
      </c>
    </row>
    <row r="60" spans="1:6" x14ac:dyDescent="0.25">
      <c r="A60" s="1" t="s">
        <v>57</v>
      </c>
      <c r="B60" s="11">
        <f>June!B60-May!B60</f>
        <v>21</v>
      </c>
      <c r="C60" s="11">
        <f>June!C60-May!C60</f>
        <v>-36</v>
      </c>
      <c r="D60" s="11">
        <f>June!D60-May!D60</f>
        <v>64</v>
      </c>
      <c r="E60" s="11">
        <f>June!E60-May!E60</f>
        <v>231</v>
      </c>
      <c r="F60" s="10">
        <f t="shared" si="0"/>
        <v>280</v>
      </c>
    </row>
    <row r="61" spans="1:6" x14ac:dyDescent="0.25">
      <c r="A61" s="1" t="s">
        <v>58</v>
      </c>
      <c r="B61" s="11">
        <f>June!B61-May!B61</f>
        <v>5</v>
      </c>
      <c r="C61" s="11">
        <f>June!C61-May!C61</f>
        <v>128</v>
      </c>
      <c r="D61" s="11">
        <f>June!D61-May!D61</f>
        <v>46</v>
      </c>
      <c r="E61" s="11">
        <f>June!E61-May!E61</f>
        <v>112</v>
      </c>
      <c r="F61" s="10">
        <f t="shared" si="0"/>
        <v>291</v>
      </c>
    </row>
    <row r="62" spans="1:6" x14ac:dyDescent="0.25">
      <c r="A62" s="1" t="s">
        <v>59</v>
      </c>
      <c r="B62" s="11">
        <f>June!B62-May!B62</f>
        <v>-202</v>
      </c>
      <c r="C62" s="11">
        <f>June!C62-May!C62</f>
        <v>-302</v>
      </c>
      <c r="D62" s="11">
        <f>June!D62-May!D62</f>
        <v>56</v>
      </c>
      <c r="E62" s="11">
        <f>June!E62-May!E62</f>
        <v>-376</v>
      </c>
      <c r="F62" s="10">
        <f t="shared" si="0"/>
        <v>-824</v>
      </c>
    </row>
    <row r="63" spans="1:6" x14ac:dyDescent="0.25">
      <c r="A63" s="1" t="s">
        <v>60</v>
      </c>
      <c r="B63" s="11">
        <f>June!B63-May!B63</f>
        <v>-193</v>
      </c>
      <c r="C63" s="11">
        <f>June!C63-May!C63</f>
        <v>-194</v>
      </c>
      <c r="D63" s="11">
        <f>June!D63-May!D63</f>
        <v>41</v>
      </c>
      <c r="E63" s="11">
        <f>June!E63-May!E63</f>
        <v>-75</v>
      </c>
      <c r="F63" s="10">
        <f t="shared" si="0"/>
        <v>-421</v>
      </c>
    </row>
    <row r="64" spans="1:6" x14ac:dyDescent="0.25">
      <c r="A64" s="1" t="s">
        <v>61</v>
      </c>
      <c r="B64" s="11">
        <f>June!B64-May!B64</f>
        <v>185</v>
      </c>
      <c r="C64" s="11">
        <f>June!C64-May!C64</f>
        <v>-4</v>
      </c>
      <c r="D64" s="11">
        <f>June!D64-May!D64</f>
        <v>20</v>
      </c>
      <c r="E64" s="11">
        <f>June!E64-May!E64</f>
        <v>40</v>
      </c>
      <c r="F64" s="10">
        <f t="shared" si="0"/>
        <v>241</v>
      </c>
    </row>
    <row r="65" spans="1:6" x14ac:dyDescent="0.25">
      <c r="A65" s="1" t="s">
        <v>62</v>
      </c>
      <c r="B65" s="11">
        <f>June!B65-May!B65</f>
        <v>5</v>
      </c>
      <c r="C65" s="11">
        <f>June!C65-May!C65</f>
        <v>-7</v>
      </c>
      <c r="D65" s="11">
        <f>June!D65-May!D65</f>
        <v>5</v>
      </c>
      <c r="E65" s="11">
        <f>June!E65-May!E65</f>
        <v>16</v>
      </c>
      <c r="F65" s="10">
        <f t="shared" si="0"/>
        <v>19</v>
      </c>
    </row>
    <row r="66" spans="1:6" x14ac:dyDescent="0.25">
      <c r="A66" s="1" t="s">
        <v>63</v>
      </c>
      <c r="B66" s="11">
        <f>June!B66-May!B66</f>
        <v>-1</v>
      </c>
      <c r="C66" s="11">
        <f>June!C66-May!C66</f>
        <v>-39</v>
      </c>
      <c r="D66" s="11">
        <f>June!D66-May!D66</f>
        <v>3</v>
      </c>
      <c r="E66" s="11">
        <f>June!E66-May!E66</f>
        <v>-1</v>
      </c>
      <c r="F66" s="10">
        <f t="shared" si="0"/>
        <v>-38</v>
      </c>
    </row>
    <row r="67" spans="1:6" x14ac:dyDescent="0.25">
      <c r="A67" s="1" t="s">
        <v>64</v>
      </c>
      <c r="B67" s="11">
        <f>June!B67-May!B67</f>
        <v>6</v>
      </c>
      <c r="C67" s="11">
        <f>June!C67-May!C67</f>
        <v>-4</v>
      </c>
      <c r="D67" s="11">
        <f>June!D67-May!D67</f>
        <v>0</v>
      </c>
      <c r="E67" s="11">
        <f>June!E67-May!E67</f>
        <v>7</v>
      </c>
      <c r="F67" s="10">
        <f t="shared" si="0"/>
        <v>9</v>
      </c>
    </row>
    <row r="68" spans="1:6" x14ac:dyDescent="0.25">
      <c r="A68" s="1" t="s">
        <v>65</v>
      </c>
      <c r="B68" s="11">
        <f>June!B68-May!B68</f>
        <v>287</v>
      </c>
      <c r="C68" s="11">
        <f>June!C68-May!C68</f>
        <v>97</v>
      </c>
      <c r="D68" s="11">
        <f>June!D68-May!D68</f>
        <v>99</v>
      </c>
      <c r="E68" s="11">
        <f>June!E68-May!E68</f>
        <v>479</v>
      </c>
      <c r="F68" s="10">
        <f t="shared" si="0"/>
        <v>962</v>
      </c>
    </row>
    <row r="69" spans="1:6" x14ac:dyDescent="0.25">
      <c r="A69" s="1" t="s">
        <v>66</v>
      </c>
      <c r="B69" s="11">
        <f>June!B69-May!B69</f>
        <v>18</v>
      </c>
      <c r="C69" s="11">
        <f>June!C69-May!C69</f>
        <v>-12</v>
      </c>
      <c r="D69" s="11">
        <f>June!D69-May!D69</f>
        <v>1</v>
      </c>
      <c r="E69" s="11">
        <f>June!E69-May!E69</f>
        <v>17</v>
      </c>
      <c r="F69" s="10">
        <f t="shared" si="0"/>
        <v>24</v>
      </c>
    </row>
    <row r="70" spans="1:6" x14ac:dyDescent="0.25">
      <c r="A70" s="1" t="s">
        <v>67</v>
      </c>
      <c r="B70" s="11">
        <f>June!B70-May!B70</f>
        <v>136</v>
      </c>
      <c r="C70" s="11">
        <f>June!C70-May!C70</f>
        <v>15</v>
      </c>
      <c r="D70" s="11">
        <f>June!D70-May!D70</f>
        <v>-114</v>
      </c>
      <c r="E70" s="11">
        <f>June!E70-May!E70</f>
        <v>214</v>
      </c>
      <c r="F70" s="10">
        <f t="shared" ref="F70:F71" si="1">SUM(B70:E70)</f>
        <v>251</v>
      </c>
    </row>
    <row r="71" spans="1:6" ht="15.75" thickBot="1" x14ac:dyDescent="0.3">
      <c r="A71" s="1" t="s">
        <v>68</v>
      </c>
      <c r="B71" s="11">
        <f>June!B71-May!B71</f>
        <v>17</v>
      </c>
      <c r="C71" s="11">
        <f>June!C71-May!C71</f>
        <v>1</v>
      </c>
      <c r="D71" s="11">
        <f>June!D71-May!D71</f>
        <v>1</v>
      </c>
      <c r="E71" s="11">
        <f>June!E71-May!E71</f>
        <v>16</v>
      </c>
      <c r="F71" s="10">
        <f t="shared" si="1"/>
        <v>35</v>
      </c>
    </row>
    <row r="72" spans="1:6" ht="16.5" thickTop="1" thickBot="1" x14ac:dyDescent="0.3">
      <c r="A72" s="3" t="s">
        <v>1</v>
      </c>
      <c r="B72" s="8">
        <f>SUM(B5:B71)</f>
        <v>-2683</v>
      </c>
      <c r="C72" s="8">
        <f>SUM(C5:C71)</f>
        <v>-10213</v>
      </c>
      <c r="D72" s="8">
        <f>SUM(D5:D71)</f>
        <v>2375</v>
      </c>
      <c r="E72" s="8">
        <f>SUM(E5:E71)</f>
        <v>57</v>
      </c>
      <c r="F72" s="8">
        <f>SUM(F5:F71)</f>
        <v>-10464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105</v>
      </c>
      <c r="B1" s="17"/>
      <c r="C1" s="17"/>
      <c r="D1" s="17"/>
      <c r="E1" s="17"/>
      <c r="F1" s="18"/>
    </row>
    <row r="2" spans="1:6" x14ac:dyDescent="0.25">
      <c r="A2" s="13" t="s">
        <v>86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July!B5-June!B5</f>
        <v>51</v>
      </c>
      <c r="C5" s="11">
        <f>July!C5-June!C5</f>
        <v>64</v>
      </c>
      <c r="D5" s="11">
        <f>July!D5-June!D5</f>
        <v>37</v>
      </c>
      <c r="E5" s="11">
        <f>July!E5-June!E5</f>
        <v>189</v>
      </c>
      <c r="F5" s="10">
        <f>SUM(B5:E5)</f>
        <v>341</v>
      </c>
    </row>
    <row r="6" spans="1:6" x14ac:dyDescent="0.25">
      <c r="A6" s="1" t="s">
        <v>3</v>
      </c>
      <c r="B6" s="11">
        <f>July!B6-June!B6</f>
        <v>-8</v>
      </c>
      <c r="C6" s="11">
        <f>July!C6-June!C6</f>
        <v>-34</v>
      </c>
      <c r="D6" s="11">
        <f>July!D6-June!D6</f>
        <v>2</v>
      </c>
      <c r="E6" s="11">
        <f>July!E6-June!E6</f>
        <v>-6</v>
      </c>
      <c r="F6" s="10">
        <f t="shared" ref="F6:F69" si="0">SUM(B6:E6)</f>
        <v>-46</v>
      </c>
    </row>
    <row r="7" spans="1:6" x14ac:dyDescent="0.25">
      <c r="A7" s="1" t="s">
        <v>4</v>
      </c>
      <c r="B7" s="11">
        <f>July!B7-June!B7</f>
        <v>180</v>
      </c>
      <c r="C7" s="11">
        <f>July!C7-June!C7</f>
        <v>7</v>
      </c>
      <c r="D7" s="11">
        <f>July!D7-June!D7</f>
        <v>19</v>
      </c>
      <c r="E7" s="11">
        <f>July!E7-June!E7</f>
        <v>166</v>
      </c>
      <c r="F7" s="10">
        <f t="shared" si="0"/>
        <v>372</v>
      </c>
    </row>
    <row r="8" spans="1:6" x14ac:dyDescent="0.25">
      <c r="A8" s="1" t="s">
        <v>5</v>
      </c>
      <c r="B8" s="11">
        <f>July!B8-June!B8</f>
        <v>30</v>
      </c>
      <c r="C8" s="11">
        <f>July!C8-June!C8</f>
        <v>-18</v>
      </c>
      <c r="D8" s="11">
        <f>July!D8-June!D8</f>
        <v>1</v>
      </c>
      <c r="E8" s="11">
        <f>July!E8-June!E8</f>
        <v>12</v>
      </c>
      <c r="F8" s="10">
        <f t="shared" si="0"/>
        <v>25</v>
      </c>
    </row>
    <row r="9" spans="1:6" x14ac:dyDescent="0.25">
      <c r="A9" s="1" t="s">
        <v>6</v>
      </c>
      <c r="B9" s="11">
        <f>July!B9-June!B9</f>
        <v>15</v>
      </c>
      <c r="C9" s="11">
        <f>July!C9-June!C9</f>
        <v>-205</v>
      </c>
      <c r="D9" s="11">
        <f>July!D9-June!D9</f>
        <v>174</v>
      </c>
      <c r="E9" s="11">
        <f>July!E9-June!E9</f>
        <v>357</v>
      </c>
      <c r="F9" s="10">
        <f t="shared" si="0"/>
        <v>341</v>
      </c>
    </row>
    <row r="10" spans="1:6" x14ac:dyDescent="0.25">
      <c r="A10" s="1" t="s">
        <v>7</v>
      </c>
      <c r="B10" s="11">
        <f>July!B10-June!B10</f>
        <v>-161</v>
      </c>
      <c r="C10" s="11">
        <f>July!C10-June!C10</f>
        <v>698</v>
      </c>
      <c r="D10" s="11">
        <f>July!D10-June!D10</f>
        <v>242</v>
      </c>
      <c r="E10" s="11">
        <f>July!E10-June!E10</f>
        <v>728</v>
      </c>
      <c r="F10" s="10">
        <f t="shared" si="0"/>
        <v>1507</v>
      </c>
    </row>
    <row r="11" spans="1:6" x14ac:dyDescent="0.25">
      <c r="A11" s="1" t="s">
        <v>8</v>
      </c>
      <c r="B11" s="11">
        <f>July!B11-June!B11</f>
        <v>0</v>
      </c>
      <c r="C11" s="11">
        <f>July!C11-June!C11</f>
        <v>-11</v>
      </c>
      <c r="D11" s="11">
        <f>July!D11-June!D11</f>
        <v>1</v>
      </c>
      <c r="E11" s="11">
        <f>July!E11-June!E11</f>
        <v>0</v>
      </c>
      <c r="F11" s="10">
        <f t="shared" si="0"/>
        <v>-10</v>
      </c>
    </row>
    <row r="12" spans="1:6" x14ac:dyDescent="0.25">
      <c r="A12" s="1" t="s">
        <v>9</v>
      </c>
      <c r="B12" s="11">
        <f>July!B12-June!B12</f>
        <v>134</v>
      </c>
      <c r="C12" s="11">
        <f>July!C12-June!C12</f>
        <v>47</v>
      </c>
      <c r="D12" s="11">
        <f>July!D12-June!D12</f>
        <v>40</v>
      </c>
      <c r="E12" s="11">
        <f>July!E12-June!E12</f>
        <v>132</v>
      </c>
      <c r="F12" s="10">
        <f t="shared" si="0"/>
        <v>353</v>
      </c>
    </row>
    <row r="13" spans="1:6" x14ac:dyDescent="0.25">
      <c r="A13" s="1" t="s">
        <v>10</v>
      </c>
      <c r="B13" s="11">
        <f>July!B13-June!B13</f>
        <v>187</v>
      </c>
      <c r="C13" s="11">
        <f>July!C13-June!C13</f>
        <v>-28</v>
      </c>
      <c r="D13" s="11">
        <f>July!D13-June!D13</f>
        <v>21</v>
      </c>
      <c r="E13" s="11">
        <f>July!E13-June!E13</f>
        <v>106</v>
      </c>
      <c r="F13" s="10">
        <f t="shared" si="0"/>
        <v>286</v>
      </c>
    </row>
    <row r="14" spans="1:6" x14ac:dyDescent="0.25">
      <c r="A14" s="1" t="s">
        <v>11</v>
      </c>
      <c r="B14" s="11">
        <f>July!B14-June!B14</f>
        <v>-131</v>
      </c>
      <c r="C14" s="11">
        <f>July!C14-June!C14</f>
        <v>-99</v>
      </c>
      <c r="D14" s="11">
        <f>July!D14-June!D14</f>
        <v>44</v>
      </c>
      <c r="E14" s="11">
        <f>July!E14-June!E14</f>
        <v>-32</v>
      </c>
      <c r="F14" s="10">
        <f t="shared" si="0"/>
        <v>-218</v>
      </c>
    </row>
    <row r="15" spans="1:6" x14ac:dyDescent="0.25">
      <c r="A15" s="1" t="s">
        <v>12</v>
      </c>
      <c r="B15" s="11">
        <f>July!B15-June!B15</f>
        <v>352</v>
      </c>
      <c r="C15" s="11">
        <f>July!C15-June!C15</f>
        <v>180</v>
      </c>
      <c r="D15" s="11">
        <f>July!D15-June!D15</f>
        <v>29</v>
      </c>
      <c r="E15" s="11">
        <f>July!E15-June!E15</f>
        <v>399</v>
      </c>
      <c r="F15" s="10">
        <f t="shared" si="0"/>
        <v>960</v>
      </c>
    </row>
    <row r="16" spans="1:6" x14ac:dyDescent="0.25">
      <c r="A16" s="1" t="s">
        <v>13</v>
      </c>
      <c r="B16" s="11">
        <f>July!B16-June!B16</f>
        <v>57</v>
      </c>
      <c r="C16" s="11">
        <f>July!C16-June!C16</f>
        <v>1</v>
      </c>
      <c r="D16" s="11">
        <f>July!D16-June!D16</f>
        <v>10</v>
      </c>
      <c r="E16" s="11">
        <f>July!E16-June!E16</f>
        <v>40</v>
      </c>
      <c r="F16" s="10">
        <f t="shared" si="0"/>
        <v>108</v>
      </c>
    </row>
    <row r="17" spans="1:6" x14ac:dyDescent="0.25">
      <c r="A17" s="1" t="s">
        <v>14</v>
      </c>
      <c r="B17" s="11">
        <f>July!B17-June!B17</f>
        <v>20</v>
      </c>
      <c r="C17" s="11">
        <f>July!C17-June!C17</f>
        <v>-13</v>
      </c>
      <c r="D17" s="11">
        <f>July!D17-June!D17</f>
        <v>1</v>
      </c>
      <c r="E17" s="11">
        <f>July!E17-June!E17</f>
        <v>20</v>
      </c>
      <c r="F17" s="10">
        <f t="shared" si="0"/>
        <v>28</v>
      </c>
    </row>
    <row r="18" spans="1:6" x14ac:dyDescent="0.25">
      <c r="A18" s="1" t="s">
        <v>15</v>
      </c>
      <c r="B18" s="11">
        <f>July!B18-June!B18</f>
        <v>-1</v>
      </c>
      <c r="C18" s="11">
        <f>July!C18-June!C18</f>
        <v>-11</v>
      </c>
      <c r="D18" s="11">
        <f>July!D18-June!D18</f>
        <v>3</v>
      </c>
      <c r="E18" s="11">
        <f>July!E18-June!E18</f>
        <v>3</v>
      </c>
      <c r="F18" s="10">
        <f t="shared" si="0"/>
        <v>-6</v>
      </c>
    </row>
    <row r="19" spans="1:6" x14ac:dyDescent="0.25">
      <c r="A19" s="1" t="s">
        <v>16</v>
      </c>
      <c r="B19" s="11">
        <f>July!B19-June!B19</f>
        <v>-482</v>
      </c>
      <c r="C19" s="11">
        <f>July!C19-June!C19</f>
        <v>-876</v>
      </c>
      <c r="D19" s="11">
        <f>July!D19-June!D19</f>
        <v>133</v>
      </c>
      <c r="E19" s="11">
        <f>July!E19-June!E19</f>
        <v>-82</v>
      </c>
      <c r="F19" s="10">
        <f t="shared" si="0"/>
        <v>-1307</v>
      </c>
    </row>
    <row r="20" spans="1:6" x14ac:dyDescent="0.25">
      <c r="A20" s="1" t="s">
        <v>17</v>
      </c>
      <c r="B20" s="11">
        <f>July!B20-June!B20</f>
        <v>115</v>
      </c>
      <c r="C20" s="11">
        <f>July!C20-June!C20</f>
        <v>-26</v>
      </c>
      <c r="D20" s="11">
        <f>July!D20-June!D20</f>
        <v>61</v>
      </c>
      <c r="E20" s="11">
        <f>July!E20-June!E20</f>
        <v>194</v>
      </c>
      <c r="F20" s="10">
        <f t="shared" si="0"/>
        <v>344</v>
      </c>
    </row>
    <row r="21" spans="1:6" x14ac:dyDescent="0.25">
      <c r="A21" s="1" t="s">
        <v>18</v>
      </c>
      <c r="B21" s="11">
        <f>July!B21-June!B21</f>
        <v>16</v>
      </c>
      <c r="C21" s="11">
        <f>July!C21-June!C21</f>
        <v>-53</v>
      </c>
      <c r="D21" s="11">
        <f>July!D21-June!D21</f>
        <v>9</v>
      </c>
      <c r="E21" s="11">
        <f>July!E21-June!E21</f>
        <v>-43</v>
      </c>
      <c r="F21" s="10">
        <f t="shared" si="0"/>
        <v>-71</v>
      </c>
    </row>
    <row r="22" spans="1:6" x14ac:dyDescent="0.25">
      <c r="A22" s="1" t="s">
        <v>19</v>
      </c>
      <c r="B22" s="11">
        <f>July!B22-June!B22</f>
        <v>20</v>
      </c>
      <c r="C22" s="11">
        <f>July!C22-June!C22</f>
        <v>8</v>
      </c>
      <c r="D22" s="11">
        <f>July!D22-June!D22</f>
        <v>2</v>
      </c>
      <c r="E22" s="11">
        <f>July!E22-June!E22</f>
        <v>10</v>
      </c>
      <c r="F22" s="10">
        <f t="shared" si="0"/>
        <v>40</v>
      </c>
    </row>
    <row r="23" spans="1:6" x14ac:dyDescent="0.25">
      <c r="A23" s="1" t="s">
        <v>20</v>
      </c>
      <c r="B23" s="11">
        <f>July!B23-June!B23</f>
        <v>14</v>
      </c>
      <c r="C23" s="11">
        <f>July!C23-June!C23</f>
        <v>-17</v>
      </c>
      <c r="D23" s="11">
        <f>July!D23-June!D23</f>
        <v>3</v>
      </c>
      <c r="E23" s="11">
        <f>July!E23-June!E23</f>
        <v>-4</v>
      </c>
      <c r="F23" s="10">
        <f t="shared" si="0"/>
        <v>-4</v>
      </c>
    </row>
    <row r="24" spans="1:6" x14ac:dyDescent="0.25">
      <c r="A24" s="1" t="s">
        <v>21</v>
      </c>
      <c r="B24" s="11">
        <f>July!B24-June!B24</f>
        <v>-27</v>
      </c>
      <c r="C24" s="11">
        <f>July!C24-June!C24</f>
        <v>-45</v>
      </c>
      <c r="D24" s="11">
        <f>July!D24-June!D24</f>
        <v>-2</v>
      </c>
      <c r="E24" s="11">
        <f>July!E24-June!E24</f>
        <v>-15</v>
      </c>
      <c r="F24" s="10">
        <f t="shared" si="0"/>
        <v>-89</v>
      </c>
    </row>
    <row r="25" spans="1:6" x14ac:dyDescent="0.25">
      <c r="A25" s="1" t="s">
        <v>22</v>
      </c>
      <c r="B25" s="11">
        <f>July!B25-June!B25</f>
        <v>5</v>
      </c>
      <c r="C25" s="11">
        <f>July!C25-June!C25</f>
        <v>-7</v>
      </c>
      <c r="D25" s="11">
        <f>July!D25-June!D25</f>
        <v>-1</v>
      </c>
      <c r="E25" s="11">
        <f>July!E25-June!E25</f>
        <v>0</v>
      </c>
      <c r="F25" s="10">
        <f t="shared" si="0"/>
        <v>-3</v>
      </c>
    </row>
    <row r="26" spans="1:6" x14ac:dyDescent="0.25">
      <c r="A26" s="1" t="s">
        <v>23</v>
      </c>
      <c r="B26" s="11">
        <f>July!B26-June!B26</f>
        <v>-197</v>
      </c>
      <c r="C26" s="11">
        <f>July!C26-June!C26</f>
        <v>-280</v>
      </c>
      <c r="D26" s="11">
        <f>July!D26-June!D26</f>
        <v>3</v>
      </c>
      <c r="E26" s="11">
        <f>July!E26-June!E26</f>
        <v>-132</v>
      </c>
      <c r="F26" s="10">
        <f t="shared" si="0"/>
        <v>-606</v>
      </c>
    </row>
    <row r="27" spans="1:6" x14ac:dyDescent="0.25">
      <c r="A27" s="1" t="s">
        <v>24</v>
      </c>
      <c r="B27" s="11">
        <f>July!B27-June!B27</f>
        <v>15</v>
      </c>
      <c r="C27" s="11">
        <f>July!C27-June!C27</f>
        <v>0</v>
      </c>
      <c r="D27" s="11">
        <f>July!D27-June!D27</f>
        <v>4</v>
      </c>
      <c r="E27" s="11">
        <f>July!E27-June!E27</f>
        <v>8</v>
      </c>
      <c r="F27" s="10">
        <f t="shared" si="0"/>
        <v>27</v>
      </c>
    </row>
    <row r="28" spans="1:6" x14ac:dyDescent="0.25">
      <c r="A28" s="1" t="s">
        <v>25</v>
      </c>
      <c r="B28" s="11">
        <f>July!B28-June!B28</f>
        <v>8</v>
      </c>
      <c r="C28" s="11">
        <f>July!C28-June!C28</f>
        <v>-2</v>
      </c>
      <c r="D28" s="11">
        <f>July!D28-June!D28</f>
        <v>2</v>
      </c>
      <c r="E28" s="11">
        <f>July!E28-June!E28</f>
        <v>10</v>
      </c>
      <c r="F28" s="10">
        <f t="shared" si="0"/>
        <v>18</v>
      </c>
    </row>
    <row r="29" spans="1:6" x14ac:dyDescent="0.25">
      <c r="A29" s="1" t="s">
        <v>26</v>
      </c>
      <c r="B29" s="11">
        <f>July!B29-June!B29</f>
        <v>31</v>
      </c>
      <c r="C29" s="11">
        <f>July!C29-June!C29</f>
        <v>-4</v>
      </c>
      <c r="D29" s="11">
        <f>July!D29-June!D29</f>
        <v>5</v>
      </c>
      <c r="E29" s="11">
        <f>July!E29-June!E29</f>
        <v>25</v>
      </c>
      <c r="F29" s="10">
        <f t="shared" si="0"/>
        <v>57</v>
      </c>
    </row>
    <row r="30" spans="1:6" x14ac:dyDescent="0.25">
      <c r="A30" s="1" t="s">
        <v>27</v>
      </c>
      <c r="B30" s="11">
        <f>July!B30-June!B30</f>
        <v>-39</v>
      </c>
      <c r="C30" s="11">
        <f>July!C30-June!C30</f>
        <v>1</v>
      </c>
      <c r="D30" s="11">
        <f>July!D30-June!D30</f>
        <v>53</v>
      </c>
      <c r="E30" s="11">
        <f>July!E30-June!E30</f>
        <v>69</v>
      </c>
      <c r="F30" s="10">
        <f t="shared" si="0"/>
        <v>84</v>
      </c>
    </row>
    <row r="31" spans="1:6" x14ac:dyDescent="0.25">
      <c r="A31" s="1" t="s">
        <v>28</v>
      </c>
      <c r="B31" s="11">
        <f>July!B31-June!B31</f>
        <v>11</v>
      </c>
      <c r="C31" s="11">
        <f>July!C31-June!C31</f>
        <v>-8</v>
      </c>
      <c r="D31" s="11">
        <f>July!D31-June!D31</f>
        <v>13</v>
      </c>
      <c r="E31" s="11">
        <f>July!E31-June!E31</f>
        <v>61</v>
      </c>
      <c r="F31" s="10">
        <f t="shared" si="0"/>
        <v>77</v>
      </c>
    </row>
    <row r="32" spans="1:6" x14ac:dyDescent="0.25">
      <c r="A32" s="1" t="s">
        <v>29</v>
      </c>
      <c r="B32" s="11">
        <f>July!B32-June!B32</f>
        <v>-392</v>
      </c>
      <c r="C32" s="11">
        <f>July!C32-June!C32</f>
        <v>-448</v>
      </c>
      <c r="D32" s="11">
        <f>July!D32-June!D32</f>
        <v>231</v>
      </c>
      <c r="E32" s="11">
        <f>July!E32-June!E32</f>
        <v>264</v>
      </c>
      <c r="F32" s="10">
        <f t="shared" si="0"/>
        <v>-345</v>
      </c>
    </row>
    <row r="33" spans="1:6" x14ac:dyDescent="0.25">
      <c r="A33" s="1" t="s">
        <v>30</v>
      </c>
      <c r="B33" s="11">
        <f>July!B33-June!B33</f>
        <v>26</v>
      </c>
      <c r="C33" s="11">
        <f>July!C33-June!C33</f>
        <v>-9</v>
      </c>
      <c r="D33" s="11">
        <f>July!D33-June!D33</f>
        <v>2</v>
      </c>
      <c r="E33" s="11">
        <f>July!E33-June!E33</f>
        <v>7</v>
      </c>
      <c r="F33" s="10">
        <f t="shared" si="0"/>
        <v>26</v>
      </c>
    </row>
    <row r="34" spans="1:6" x14ac:dyDescent="0.25">
      <c r="A34" s="1" t="s">
        <v>31</v>
      </c>
      <c r="B34" s="11">
        <f>July!B34-June!B34</f>
        <v>174</v>
      </c>
      <c r="C34" s="11">
        <f>July!C34-June!C34</f>
        <v>47</v>
      </c>
      <c r="D34" s="11">
        <f>July!D34-June!D34</f>
        <v>41</v>
      </c>
      <c r="E34" s="11">
        <f>July!E34-June!E34</f>
        <v>181</v>
      </c>
      <c r="F34" s="10">
        <f t="shared" si="0"/>
        <v>443</v>
      </c>
    </row>
    <row r="35" spans="1:6" x14ac:dyDescent="0.25">
      <c r="A35" s="1" t="s">
        <v>32</v>
      </c>
      <c r="B35" s="11">
        <f>July!B35-June!B35</f>
        <v>11</v>
      </c>
      <c r="C35" s="11">
        <f>July!C35-June!C35</f>
        <v>-37</v>
      </c>
      <c r="D35" s="11">
        <f>July!D35-June!D35</f>
        <v>3</v>
      </c>
      <c r="E35" s="11">
        <f>July!E35-June!E35</f>
        <v>2</v>
      </c>
      <c r="F35" s="10">
        <f t="shared" si="0"/>
        <v>-21</v>
      </c>
    </row>
    <row r="36" spans="1:6" x14ac:dyDescent="0.25">
      <c r="A36" s="1" t="s">
        <v>33</v>
      </c>
      <c r="B36" s="11">
        <f>July!B36-June!B36</f>
        <v>1</v>
      </c>
      <c r="C36" s="11">
        <f>July!C36-June!C36</f>
        <v>-34</v>
      </c>
      <c r="D36" s="11">
        <f>July!D36-June!D36</f>
        <v>0</v>
      </c>
      <c r="E36" s="11">
        <f>July!E36-June!E36</f>
        <v>-5</v>
      </c>
      <c r="F36" s="10">
        <f t="shared" si="0"/>
        <v>-38</v>
      </c>
    </row>
    <row r="37" spans="1:6" x14ac:dyDescent="0.25">
      <c r="A37" s="1" t="s">
        <v>34</v>
      </c>
      <c r="B37" s="11">
        <f>July!B37-June!B37</f>
        <v>1</v>
      </c>
      <c r="C37" s="11">
        <f>July!C37-June!C37</f>
        <v>-9</v>
      </c>
      <c r="D37" s="11">
        <f>July!D37-June!D37</f>
        <v>0</v>
      </c>
      <c r="E37" s="11">
        <f>July!E37-June!E37</f>
        <v>-2</v>
      </c>
      <c r="F37" s="10">
        <f t="shared" si="0"/>
        <v>-10</v>
      </c>
    </row>
    <row r="38" spans="1:6" x14ac:dyDescent="0.25">
      <c r="A38" s="1" t="s">
        <v>35</v>
      </c>
      <c r="B38" s="11">
        <f>July!B38-June!B38</f>
        <v>-2883</v>
      </c>
      <c r="C38" s="11">
        <f>July!C38-June!C38</f>
        <v>-3140</v>
      </c>
      <c r="D38" s="11">
        <f>July!D38-June!D38</f>
        <v>14</v>
      </c>
      <c r="E38" s="11">
        <f>July!E38-June!E38</f>
        <v>-2905</v>
      </c>
      <c r="F38" s="10">
        <f t="shared" si="0"/>
        <v>-8914</v>
      </c>
    </row>
    <row r="39" spans="1:6" x14ac:dyDescent="0.25">
      <c r="A39" s="1" t="s">
        <v>36</v>
      </c>
      <c r="B39" s="11">
        <f>July!B39-June!B39</f>
        <v>-1329</v>
      </c>
      <c r="C39" s="11">
        <f>July!C39-June!C39</f>
        <v>-1287</v>
      </c>
      <c r="D39" s="11">
        <f>July!D39-June!D39</f>
        <v>78</v>
      </c>
      <c r="E39" s="11">
        <f>July!E39-June!E39</f>
        <v>-1337</v>
      </c>
      <c r="F39" s="10">
        <f t="shared" si="0"/>
        <v>-3875</v>
      </c>
    </row>
    <row r="40" spans="1:6" x14ac:dyDescent="0.25">
      <c r="A40" s="1" t="s">
        <v>37</v>
      </c>
      <c r="B40" s="11">
        <f>July!B40-June!B40</f>
        <v>30</v>
      </c>
      <c r="C40" s="11">
        <f>July!C40-June!C40</f>
        <v>24</v>
      </c>
      <c r="D40" s="11">
        <f>July!D40-June!D40</f>
        <v>38</v>
      </c>
      <c r="E40" s="11">
        <f>July!E40-June!E40</f>
        <v>120</v>
      </c>
      <c r="F40" s="10">
        <f t="shared" si="0"/>
        <v>212</v>
      </c>
    </row>
    <row r="41" spans="1:6" x14ac:dyDescent="0.25">
      <c r="A41" s="1" t="s">
        <v>38</v>
      </c>
      <c r="B41" s="11">
        <f>July!B41-June!B41</f>
        <v>31</v>
      </c>
      <c r="C41" s="11">
        <f>July!C41-June!C41</f>
        <v>-5</v>
      </c>
      <c r="D41" s="11">
        <f>July!D41-June!D41</f>
        <v>3</v>
      </c>
      <c r="E41" s="11">
        <f>July!E41-June!E41</f>
        <v>38</v>
      </c>
      <c r="F41" s="10">
        <f t="shared" si="0"/>
        <v>67</v>
      </c>
    </row>
    <row r="42" spans="1:6" x14ac:dyDescent="0.25">
      <c r="A42" s="1" t="s">
        <v>39</v>
      </c>
      <c r="B42" s="11">
        <f>July!B42-June!B42</f>
        <v>10</v>
      </c>
      <c r="C42" s="11">
        <f>July!C42-June!C42</f>
        <v>1</v>
      </c>
      <c r="D42" s="11">
        <f>July!D42-June!D42</f>
        <v>0</v>
      </c>
      <c r="E42" s="11">
        <f>July!E42-June!E42</f>
        <v>2</v>
      </c>
      <c r="F42" s="10">
        <f t="shared" si="0"/>
        <v>13</v>
      </c>
    </row>
    <row r="43" spans="1:6" x14ac:dyDescent="0.25">
      <c r="A43" s="1" t="s">
        <v>40</v>
      </c>
      <c r="B43" s="11">
        <f>July!B43-June!B43</f>
        <v>-3</v>
      </c>
      <c r="C43" s="11">
        <f>July!C43-June!C43</f>
        <v>6</v>
      </c>
      <c r="D43" s="11">
        <f>July!D43-June!D43</f>
        <v>4</v>
      </c>
      <c r="E43" s="11">
        <f>July!E43-June!E43</f>
        <v>-1</v>
      </c>
      <c r="F43" s="10">
        <f t="shared" si="0"/>
        <v>6</v>
      </c>
    </row>
    <row r="44" spans="1:6" x14ac:dyDescent="0.25">
      <c r="A44" s="1" t="s">
        <v>41</v>
      </c>
      <c r="B44" s="11">
        <f>July!B44-June!B44</f>
        <v>-205</v>
      </c>
      <c r="C44" s="11">
        <f>July!C44-June!C44</f>
        <v>-276</v>
      </c>
      <c r="D44" s="11">
        <f>July!D44-June!D44</f>
        <v>44</v>
      </c>
      <c r="E44" s="11">
        <f>July!E44-June!E44</f>
        <v>-325</v>
      </c>
      <c r="F44" s="10">
        <f t="shared" si="0"/>
        <v>-762</v>
      </c>
    </row>
    <row r="45" spans="1:6" x14ac:dyDescent="0.25">
      <c r="A45" s="1" t="s">
        <v>42</v>
      </c>
      <c r="B45" s="11">
        <f>July!B45-June!B45</f>
        <v>207</v>
      </c>
      <c r="C45" s="11">
        <f>July!C45-June!C45</f>
        <v>130</v>
      </c>
      <c r="D45" s="11">
        <f>July!D45-June!D45</f>
        <v>36</v>
      </c>
      <c r="E45" s="11">
        <f>July!E45-June!E45</f>
        <v>326</v>
      </c>
      <c r="F45" s="10">
        <f t="shared" si="0"/>
        <v>699</v>
      </c>
    </row>
    <row r="46" spans="1:6" x14ac:dyDescent="0.25">
      <c r="A46" s="1" t="s">
        <v>43</v>
      </c>
      <c r="B46" s="11">
        <f>July!B46-June!B46</f>
        <v>102</v>
      </c>
      <c r="C46" s="11">
        <f>July!C46-June!C46</f>
        <v>65</v>
      </c>
      <c r="D46" s="11">
        <f>July!D46-June!D46</f>
        <v>40</v>
      </c>
      <c r="E46" s="11">
        <f>July!E46-June!E46</f>
        <v>151</v>
      </c>
      <c r="F46" s="10">
        <f t="shared" si="0"/>
        <v>358</v>
      </c>
    </row>
    <row r="47" spans="1:6" x14ac:dyDescent="0.25">
      <c r="A47" s="1" t="s">
        <v>44</v>
      </c>
      <c r="B47" s="11">
        <f>July!B47-June!B47</f>
        <v>-978</v>
      </c>
      <c r="C47" s="11">
        <f>July!C47-June!C47</f>
        <v>-2700</v>
      </c>
      <c r="D47" s="11">
        <f>July!D47-June!D47</f>
        <v>278</v>
      </c>
      <c r="E47" s="11">
        <f>July!E47-June!E47</f>
        <v>-941</v>
      </c>
      <c r="F47" s="10">
        <f t="shared" si="0"/>
        <v>-4341</v>
      </c>
    </row>
    <row r="48" spans="1:6" x14ac:dyDescent="0.25">
      <c r="A48" s="1" t="s">
        <v>45</v>
      </c>
      <c r="B48" s="11">
        <f>July!B48-June!B48</f>
        <v>-36</v>
      </c>
      <c r="C48" s="11">
        <f>July!C48-June!C48</f>
        <v>-46</v>
      </c>
      <c r="D48" s="11">
        <f>July!D48-June!D48</f>
        <v>37</v>
      </c>
      <c r="E48" s="11">
        <f>July!E48-June!E48</f>
        <v>35</v>
      </c>
      <c r="F48" s="10">
        <f t="shared" si="0"/>
        <v>-10</v>
      </c>
    </row>
    <row r="49" spans="1:6" x14ac:dyDescent="0.25">
      <c r="A49" s="1" t="s">
        <v>46</v>
      </c>
      <c r="B49" s="11">
        <f>July!B49-June!B49</f>
        <v>151</v>
      </c>
      <c r="C49" s="11">
        <f>July!C49-June!C49</f>
        <v>23</v>
      </c>
      <c r="D49" s="11">
        <f>July!D49-June!D49</f>
        <v>16</v>
      </c>
      <c r="E49" s="11">
        <f>July!E49-June!E49</f>
        <v>91</v>
      </c>
      <c r="F49" s="10">
        <f t="shared" si="0"/>
        <v>281</v>
      </c>
    </row>
    <row r="50" spans="1:6" x14ac:dyDescent="0.25">
      <c r="A50" s="1" t="s">
        <v>47</v>
      </c>
      <c r="B50" s="11">
        <f>July!B50-June!B50</f>
        <v>-3595</v>
      </c>
      <c r="C50" s="11">
        <f>July!C50-June!C50</f>
        <v>-1790</v>
      </c>
      <c r="D50" s="11">
        <f>July!D50-June!D50</f>
        <v>10</v>
      </c>
      <c r="E50" s="11">
        <f>July!E50-June!E50</f>
        <v>-2445</v>
      </c>
      <c r="F50" s="10">
        <f t="shared" si="0"/>
        <v>-7820</v>
      </c>
    </row>
    <row r="51" spans="1:6" x14ac:dyDescent="0.25">
      <c r="A51" s="1" t="s">
        <v>48</v>
      </c>
      <c r="B51" s="11">
        <f>July!B51-June!B51</f>
        <v>26</v>
      </c>
      <c r="C51" s="11">
        <f>July!C51-June!C51</f>
        <v>4</v>
      </c>
      <c r="D51" s="11">
        <f>July!D51-June!D51</f>
        <v>10</v>
      </c>
      <c r="E51" s="11">
        <f>July!E51-June!E51</f>
        <v>7</v>
      </c>
      <c r="F51" s="10">
        <f t="shared" si="0"/>
        <v>47</v>
      </c>
    </row>
    <row r="52" spans="1:6" x14ac:dyDescent="0.25">
      <c r="A52" s="1" t="s">
        <v>49</v>
      </c>
      <c r="B52" s="11">
        <f>July!B52-June!B52</f>
        <v>-1293</v>
      </c>
      <c r="C52" s="11">
        <f>July!C52-June!C52</f>
        <v>-3813</v>
      </c>
      <c r="D52" s="11">
        <f>July!D52-June!D52</f>
        <v>158</v>
      </c>
      <c r="E52" s="11">
        <f>July!E52-June!E52</f>
        <v>-3008</v>
      </c>
      <c r="F52" s="10">
        <f t="shared" si="0"/>
        <v>-7956</v>
      </c>
    </row>
    <row r="53" spans="1:6" x14ac:dyDescent="0.25">
      <c r="A53" s="1" t="s">
        <v>50</v>
      </c>
      <c r="B53" s="11">
        <f>July!B53-June!B53</f>
        <v>-75</v>
      </c>
      <c r="C53" s="11">
        <f>July!C53-June!C53</f>
        <v>-113</v>
      </c>
      <c r="D53" s="11">
        <f>July!D53-June!D53</f>
        <v>19</v>
      </c>
      <c r="E53" s="11">
        <f>July!E53-June!E53</f>
        <v>384</v>
      </c>
      <c r="F53" s="10">
        <f t="shared" si="0"/>
        <v>215</v>
      </c>
    </row>
    <row r="54" spans="1:6" x14ac:dyDescent="0.25">
      <c r="A54" s="1" t="s">
        <v>51</v>
      </c>
      <c r="B54" s="11">
        <f>July!B54-June!B54</f>
        <v>285</v>
      </c>
      <c r="C54" s="11">
        <f>July!C54-June!C54</f>
        <v>147</v>
      </c>
      <c r="D54" s="11">
        <f>July!D54-June!D54</f>
        <v>361</v>
      </c>
      <c r="E54" s="11">
        <f>July!E54-June!E54</f>
        <v>636</v>
      </c>
      <c r="F54" s="10">
        <f t="shared" si="0"/>
        <v>1429</v>
      </c>
    </row>
    <row r="55" spans="1:6" x14ac:dyDescent="0.25">
      <c r="A55" s="1" t="s">
        <v>52</v>
      </c>
      <c r="B55" s="11">
        <f>July!B55-June!B55</f>
        <v>353</v>
      </c>
      <c r="C55" s="11">
        <f>July!C55-June!C55</f>
        <v>334</v>
      </c>
      <c r="D55" s="11">
        <f>July!D55-June!D55</f>
        <v>107</v>
      </c>
      <c r="E55" s="11">
        <f>July!E55-June!E55</f>
        <v>581</v>
      </c>
      <c r="F55" s="10">
        <f t="shared" si="0"/>
        <v>1375</v>
      </c>
    </row>
    <row r="56" spans="1:6" x14ac:dyDescent="0.25">
      <c r="A56" s="1" t="s">
        <v>53</v>
      </c>
      <c r="B56" s="11">
        <f>July!B56-June!B56</f>
        <v>120</v>
      </c>
      <c r="C56" s="11">
        <f>July!C56-June!C56</f>
        <v>368</v>
      </c>
      <c r="D56" s="11">
        <f>July!D56-June!D56</f>
        <v>205</v>
      </c>
      <c r="E56" s="11">
        <f>July!E56-June!E56</f>
        <v>748</v>
      </c>
      <c r="F56" s="10">
        <f t="shared" si="0"/>
        <v>1441</v>
      </c>
    </row>
    <row r="57" spans="1:6" x14ac:dyDescent="0.25">
      <c r="A57" s="1" t="s">
        <v>54</v>
      </c>
      <c r="B57" s="11">
        <f>July!B57-June!B57</f>
        <v>-746</v>
      </c>
      <c r="C57" s="11">
        <f>July!C57-June!C57</f>
        <v>-1068</v>
      </c>
      <c r="D57" s="11">
        <f>July!D57-June!D57</f>
        <v>94</v>
      </c>
      <c r="E57" s="11">
        <f>July!E57-June!E57</f>
        <v>-422</v>
      </c>
      <c r="F57" s="10">
        <f t="shared" si="0"/>
        <v>-2142</v>
      </c>
    </row>
    <row r="58" spans="1:6" x14ac:dyDescent="0.25">
      <c r="A58" s="1" t="s">
        <v>55</v>
      </c>
      <c r="B58" s="11">
        <f>July!B58-June!B58</f>
        <v>30</v>
      </c>
      <c r="C58" s="11">
        <f>July!C58-June!C58</f>
        <v>-45</v>
      </c>
      <c r="D58" s="11">
        <f>July!D58-June!D58</f>
        <v>7</v>
      </c>
      <c r="E58" s="11">
        <f>July!E58-June!E58</f>
        <v>36</v>
      </c>
      <c r="F58" s="10">
        <f t="shared" si="0"/>
        <v>28</v>
      </c>
    </row>
    <row r="59" spans="1:6" x14ac:dyDescent="0.25">
      <c r="A59" s="1" t="s">
        <v>56</v>
      </c>
      <c r="B59" s="11">
        <f>July!B59-June!B59</f>
        <v>-4646</v>
      </c>
      <c r="C59" s="11">
        <f>July!C59-June!C59</f>
        <v>-2047</v>
      </c>
      <c r="D59" s="11">
        <f>July!D59-June!D59</f>
        <v>-18</v>
      </c>
      <c r="E59" s="11">
        <f>July!E59-June!E59</f>
        <v>-2997</v>
      </c>
      <c r="F59" s="10">
        <f t="shared" si="0"/>
        <v>-9708</v>
      </c>
    </row>
    <row r="60" spans="1:6" x14ac:dyDescent="0.25">
      <c r="A60" s="1" t="s">
        <v>57</v>
      </c>
      <c r="B60" s="11">
        <f>July!B60-June!B60</f>
        <v>281</v>
      </c>
      <c r="C60" s="11">
        <f>July!C60-June!C60</f>
        <v>155</v>
      </c>
      <c r="D60" s="11">
        <f>July!D60-June!D60</f>
        <v>86</v>
      </c>
      <c r="E60" s="11">
        <f>July!E60-June!E60</f>
        <v>315</v>
      </c>
      <c r="F60" s="10">
        <f t="shared" si="0"/>
        <v>837</v>
      </c>
    </row>
    <row r="61" spans="1:6" x14ac:dyDescent="0.25">
      <c r="A61" s="1" t="s">
        <v>58</v>
      </c>
      <c r="B61" s="11">
        <f>July!B61-June!B61</f>
        <v>-75</v>
      </c>
      <c r="C61" s="11">
        <f>July!C61-June!C61</f>
        <v>10</v>
      </c>
      <c r="D61" s="11">
        <f>July!D61-June!D61</f>
        <v>59</v>
      </c>
      <c r="E61" s="11">
        <f>July!E61-June!E61</f>
        <v>222</v>
      </c>
      <c r="F61" s="10">
        <f t="shared" si="0"/>
        <v>216</v>
      </c>
    </row>
    <row r="62" spans="1:6" x14ac:dyDescent="0.25">
      <c r="A62" s="1" t="s">
        <v>59</v>
      </c>
      <c r="B62" s="11">
        <f>July!B62-June!B62</f>
        <v>337</v>
      </c>
      <c r="C62" s="11">
        <f>July!C62-June!C62</f>
        <v>184</v>
      </c>
      <c r="D62" s="11">
        <f>July!D62-June!D62</f>
        <v>72</v>
      </c>
      <c r="E62" s="11">
        <f>July!E62-June!E62</f>
        <v>251</v>
      </c>
      <c r="F62" s="10">
        <f t="shared" si="0"/>
        <v>844</v>
      </c>
    </row>
    <row r="63" spans="1:6" x14ac:dyDescent="0.25">
      <c r="A63" s="1" t="s">
        <v>60</v>
      </c>
      <c r="B63" s="11">
        <f>July!B63-June!B63</f>
        <v>24</v>
      </c>
      <c r="C63" s="11">
        <f>July!C63-June!C63</f>
        <v>-7</v>
      </c>
      <c r="D63" s="11">
        <f>July!D63-June!D63</f>
        <v>61</v>
      </c>
      <c r="E63" s="11">
        <f>July!E63-June!E63</f>
        <v>151</v>
      </c>
      <c r="F63" s="10">
        <f t="shared" si="0"/>
        <v>229</v>
      </c>
    </row>
    <row r="64" spans="1:6" x14ac:dyDescent="0.25">
      <c r="A64" s="1" t="s">
        <v>61</v>
      </c>
      <c r="B64" s="11">
        <f>July!B64-June!B64</f>
        <v>119</v>
      </c>
      <c r="C64" s="11">
        <f>July!C64-June!C64</f>
        <v>-3</v>
      </c>
      <c r="D64" s="11">
        <f>July!D64-June!D64</f>
        <v>13</v>
      </c>
      <c r="E64" s="11">
        <f>July!E64-June!E64</f>
        <v>66</v>
      </c>
      <c r="F64" s="10">
        <f t="shared" si="0"/>
        <v>195</v>
      </c>
    </row>
    <row r="65" spans="1:6" x14ac:dyDescent="0.25">
      <c r="A65" s="1" t="s">
        <v>62</v>
      </c>
      <c r="B65" s="11">
        <f>July!B65-June!B65</f>
        <v>15</v>
      </c>
      <c r="C65" s="11">
        <f>July!C65-June!C65</f>
        <v>-35</v>
      </c>
      <c r="D65" s="11">
        <f>July!D65-June!D65</f>
        <v>14</v>
      </c>
      <c r="E65" s="11">
        <f>July!E65-June!E65</f>
        <v>8</v>
      </c>
      <c r="F65" s="10">
        <f t="shared" si="0"/>
        <v>2</v>
      </c>
    </row>
    <row r="66" spans="1:6" x14ac:dyDescent="0.25">
      <c r="A66" s="1" t="s">
        <v>63</v>
      </c>
      <c r="B66" s="11">
        <f>July!B66-June!B66</f>
        <v>-6</v>
      </c>
      <c r="C66" s="11">
        <f>July!C66-June!C66</f>
        <v>-42</v>
      </c>
      <c r="D66" s="11">
        <f>July!D66-June!D66</f>
        <v>1</v>
      </c>
      <c r="E66" s="11">
        <f>July!E66-June!E66</f>
        <v>0</v>
      </c>
      <c r="F66" s="10">
        <f t="shared" si="0"/>
        <v>-47</v>
      </c>
    </row>
    <row r="67" spans="1:6" x14ac:dyDescent="0.25">
      <c r="A67" s="1" t="s">
        <v>64</v>
      </c>
      <c r="B67" s="11">
        <f>July!B67-June!B67</f>
        <v>5</v>
      </c>
      <c r="C67" s="11">
        <f>July!C67-June!C67</f>
        <v>-11</v>
      </c>
      <c r="D67" s="11">
        <f>July!D67-June!D67</f>
        <v>-5</v>
      </c>
      <c r="E67" s="11">
        <f>July!E67-June!E67</f>
        <v>0</v>
      </c>
      <c r="F67" s="10">
        <f t="shared" si="0"/>
        <v>-11</v>
      </c>
    </row>
    <row r="68" spans="1:6" x14ac:dyDescent="0.25">
      <c r="A68" s="1" t="s">
        <v>65</v>
      </c>
      <c r="B68" s="11">
        <f>July!B68-June!B68</f>
        <v>134</v>
      </c>
      <c r="C68" s="11">
        <f>July!C68-June!C68</f>
        <v>-21</v>
      </c>
      <c r="D68" s="11">
        <f>July!D68-June!D68</f>
        <v>97</v>
      </c>
      <c r="E68" s="11">
        <f>July!E68-June!E68</f>
        <v>307</v>
      </c>
      <c r="F68" s="10">
        <f t="shared" si="0"/>
        <v>517</v>
      </c>
    </row>
    <row r="69" spans="1:6" x14ac:dyDescent="0.25">
      <c r="A69" s="1" t="s">
        <v>66</v>
      </c>
      <c r="B69" s="11">
        <f>July!B69-June!B69</f>
        <v>22</v>
      </c>
      <c r="C69" s="11">
        <f>July!C69-June!C69</f>
        <v>8</v>
      </c>
      <c r="D69" s="11">
        <f>July!D69-June!D69</f>
        <v>2</v>
      </c>
      <c r="E69" s="11">
        <f>July!E69-June!E69</f>
        <v>11</v>
      </c>
      <c r="F69" s="10">
        <f t="shared" si="0"/>
        <v>43</v>
      </c>
    </row>
    <row r="70" spans="1:6" x14ac:dyDescent="0.25">
      <c r="A70" s="1" t="s">
        <v>67</v>
      </c>
      <c r="B70" s="11">
        <f>July!B70-June!B70</f>
        <v>94</v>
      </c>
      <c r="C70" s="11">
        <f>July!C70-June!C70</f>
        <v>7</v>
      </c>
      <c r="D70" s="11">
        <f>July!D70-June!D70</f>
        <v>23</v>
      </c>
      <c r="E70" s="11">
        <f>July!E70-June!E70</f>
        <v>34</v>
      </c>
      <c r="F70" s="10">
        <f t="shared" ref="F70:F71" si="1">SUM(B70:E70)</f>
        <v>158</v>
      </c>
    </row>
    <row r="71" spans="1:6" ht="15.75" thickBot="1" x14ac:dyDescent="0.3">
      <c r="A71" s="1" t="s">
        <v>68</v>
      </c>
      <c r="B71" s="11">
        <f>July!B71-June!B71</f>
        <v>25</v>
      </c>
      <c r="C71" s="11">
        <f>July!C71-June!C71</f>
        <v>-1</v>
      </c>
      <c r="D71" s="11">
        <f>July!D71-June!D71</f>
        <v>0</v>
      </c>
      <c r="E71" s="11">
        <f>July!E71-June!E71</f>
        <v>13</v>
      </c>
      <c r="F71" s="10">
        <f t="shared" si="1"/>
        <v>37</v>
      </c>
    </row>
    <row r="72" spans="1:6" ht="16.5" thickTop="1" thickBot="1" x14ac:dyDescent="0.3">
      <c r="A72" s="3" t="s">
        <v>1</v>
      </c>
      <c r="B72" s="8">
        <f>SUM(B5:B71)</f>
        <v>-13433</v>
      </c>
      <c r="C72" s="8">
        <f>SUM(C5:C71)</f>
        <v>-16205</v>
      </c>
      <c r="D72" s="8">
        <f>SUM(D5:D71)</f>
        <v>3150</v>
      </c>
      <c r="E72" s="8">
        <f>SUM(E5:E71)</f>
        <v>-7186</v>
      </c>
      <c r="F72" s="8">
        <f>SUM(F5:F71)</f>
        <v>-33674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106</v>
      </c>
      <c r="B1" s="17"/>
      <c r="C1" s="17"/>
      <c r="D1" s="17"/>
      <c r="E1" s="17"/>
      <c r="F1" s="18"/>
    </row>
    <row r="2" spans="1:6" x14ac:dyDescent="0.25">
      <c r="A2" s="13" t="s">
        <v>112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August!B5-July!B5</f>
        <v>154</v>
      </c>
      <c r="C5" s="11">
        <f>August!C5-July!C5</f>
        <v>207</v>
      </c>
      <c r="D5" s="11">
        <f>August!D5-July!D5</f>
        <v>29</v>
      </c>
      <c r="E5" s="11">
        <f>August!E5-July!E5</f>
        <v>293</v>
      </c>
      <c r="F5" s="10">
        <f>SUM(B5:E5)</f>
        <v>683</v>
      </c>
    </row>
    <row r="6" spans="1:6" x14ac:dyDescent="0.25">
      <c r="A6" s="1" t="s">
        <v>3</v>
      </c>
      <c r="B6" s="11">
        <f>August!B6-July!B6</f>
        <v>11</v>
      </c>
      <c r="C6" s="11">
        <f>August!C6-July!C6</f>
        <v>-17</v>
      </c>
      <c r="D6" s="11">
        <f>August!D6-July!D6</f>
        <v>1</v>
      </c>
      <c r="E6" s="11">
        <f>August!E6-July!E6</f>
        <v>-1</v>
      </c>
      <c r="F6" s="10">
        <f t="shared" ref="F6:F69" si="0">SUM(B6:E6)</f>
        <v>-6</v>
      </c>
    </row>
    <row r="7" spans="1:6" x14ac:dyDescent="0.25">
      <c r="A7" s="1" t="s">
        <v>4</v>
      </c>
      <c r="B7" s="11">
        <f>August!B7-July!B7</f>
        <v>-28</v>
      </c>
      <c r="C7" s="11">
        <f>August!C7-July!C7</f>
        <v>-105</v>
      </c>
      <c r="D7" s="11">
        <f>August!D7-July!D7</f>
        <v>24</v>
      </c>
      <c r="E7" s="11">
        <f>August!E7-July!E7</f>
        <v>-7</v>
      </c>
      <c r="F7" s="10">
        <f t="shared" si="0"/>
        <v>-116</v>
      </c>
    </row>
    <row r="8" spans="1:6" x14ac:dyDescent="0.25">
      <c r="A8" s="1" t="s">
        <v>5</v>
      </c>
      <c r="B8" s="11">
        <f>August!B8-July!B8</f>
        <v>29</v>
      </c>
      <c r="C8" s="11">
        <f>August!C8-July!C8</f>
        <v>-2</v>
      </c>
      <c r="D8" s="11">
        <f>August!D8-July!D8</f>
        <v>2</v>
      </c>
      <c r="E8" s="11">
        <f>August!E8-July!E8</f>
        <v>19</v>
      </c>
      <c r="F8" s="10">
        <f t="shared" si="0"/>
        <v>48</v>
      </c>
    </row>
    <row r="9" spans="1:6" x14ac:dyDescent="0.25">
      <c r="A9" s="1" t="s">
        <v>6</v>
      </c>
      <c r="B9" s="11">
        <f>August!B9-July!B9</f>
        <v>-519</v>
      </c>
      <c r="C9" s="11">
        <f>August!C9-July!C9</f>
        <v>-445</v>
      </c>
      <c r="D9" s="11">
        <f>August!D9-July!D9</f>
        <v>162</v>
      </c>
      <c r="E9" s="11">
        <f>August!E9-July!E9</f>
        <v>33</v>
      </c>
      <c r="F9" s="10">
        <f t="shared" si="0"/>
        <v>-769</v>
      </c>
    </row>
    <row r="10" spans="1:6" x14ac:dyDescent="0.25">
      <c r="A10" s="1" t="s">
        <v>7</v>
      </c>
      <c r="B10" s="11">
        <f>August!B10-July!B10</f>
        <v>-239</v>
      </c>
      <c r="C10" s="11">
        <f>August!C10-July!C10</f>
        <v>-210</v>
      </c>
      <c r="D10" s="11">
        <f>August!D10-July!D10</f>
        <v>153</v>
      </c>
      <c r="E10" s="11">
        <f>August!E10-July!E10</f>
        <v>720</v>
      </c>
      <c r="F10" s="10">
        <f t="shared" si="0"/>
        <v>424</v>
      </c>
    </row>
    <row r="11" spans="1:6" x14ac:dyDescent="0.25">
      <c r="A11" s="1" t="s">
        <v>8</v>
      </c>
      <c r="B11" s="11">
        <f>August!B11-July!B11</f>
        <v>9</v>
      </c>
      <c r="C11" s="11">
        <f>August!C11-July!C11</f>
        <v>-6</v>
      </c>
      <c r="D11" s="11">
        <f>August!D11-July!D11</f>
        <v>0</v>
      </c>
      <c r="E11" s="11">
        <f>August!E11-July!E11</f>
        <v>1</v>
      </c>
      <c r="F11" s="10">
        <f t="shared" si="0"/>
        <v>4</v>
      </c>
    </row>
    <row r="12" spans="1:6" x14ac:dyDescent="0.25">
      <c r="A12" s="1" t="s">
        <v>9</v>
      </c>
      <c r="B12" s="11">
        <f>August!B12-July!B12</f>
        <v>227</v>
      </c>
      <c r="C12" s="11">
        <f>August!C12-July!C12</f>
        <v>35</v>
      </c>
      <c r="D12" s="11">
        <f>August!D12-July!D12</f>
        <v>38</v>
      </c>
      <c r="E12" s="11">
        <f>August!E12-July!E12</f>
        <v>179</v>
      </c>
      <c r="F12" s="10">
        <f t="shared" si="0"/>
        <v>479</v>
      </c>
    </row>
    <row r="13" spans="1:6" x14ac:dyDescent="0.25">
      <c r="A13" s="1" t="s">
        <v>10</v>
      </c>
      <c r="B13" s="11">
        <f>August!B13-July!B13</f>
        <v>163</v>
      </c>
      <c r="C13" s="11">
        <f>August!C13-July!C13</f>
        <v>21</v>
      </c>
      <c r="D13" s="11">
        <f>August!D13-July!D13</f>
        <v>45</v>
      </c>
      <c r="E13" s="11">
        <f>August!E13-July!E13</f>
        <v>80</v>
      </c>
      <c r="F13" s="10">
        <f t="shared" si="0"/>
        <v>309</v>
      </c>
    </row>
    <row r="14" spans="1:6" x14ac:dyDescent="0.25">
      <c r="A14" s="1" t="s">
        <v>11</v>
      </c>
      <c r="B14" s="11">
        <f>August!B14-July!B14</f>
        <v>-41</v>
      </c>
      <c r="C14" s="11">
        <f>August!C14-July!C14</f>
        <v>43</v>
      </c>
      <c r="D14" s="11">
        <f>August!D14-July!D14</f>
        <v>49</v>
      </c>
      <c r="E14" s="11">
        <f>August!E14-July!E14</f>
        <v>72</v>
      </c>
      <c r="F14" s="10">
        <f t="shared" si="0"/>
        <v>123</v>
      </c>
    </row>
    <row r="15" spans="1:6" x14ac:dyDescent="0.25">
      <c r="A15" s="1" t="s">
        <v>12</v>
      </c>
      <c r="B15" s="11">
        <f>August!B15-July!B15</f>
        <v>-34</v>
      </c>
      <c r="C15" s="11">
        <f>August!C15-July!C15</f>
        <v>74</v>
      </c>
      <c r="D15" s="11">
        <f>August!D15-July!D15</f>
        <v>26</v>
      </c>
      <c r="E15" s="11">
        <f>August!E15-July!E15</f>
        <v>205</v>
      </c>
      <c r="F15" s="10">
        <f t="shared" si="0"/>
        <v>271</v>
      </c>
    </row>
    <row r="16" spans="1:6" x14ac:dyDescent="0.25">
      <c r="A16" s="1" t="s">
        <v>13</v>
      </c>
      <c r="B16" s="11">
        <f>August!B16-July!B16</f>
        <v>54</v>
      </c>
      <c r="C16" s="11">
        <f>August!C16-July!C16</f>
        <v>14</v>
      </c>
      <c r="D16" s="11">
        <f>August!D16-July!D16</f>
        <v>6</v>
      </c>
      <c r="E16" s="11">
        <f>August!E16-July!E16</f>
        <v>26</v>
      </c>
      <c r="F16" s="10">
        <f t="shared" si="0"/>
        <v>100</v>
      </c>
    </row>
    <row r="17" spans="1:6" x14ac:dyDescent="0.25">
      <c r="A17" s="1" t="s">
        <v>14</v>
      </c>
      <c r="B17" s="11">
        <f>August!B17-July!B17</f>
        <v>16</v>
      </c>
      <c r="C17" s="11">
        <f>August!C17-July!C17</f>
        <v>-4</v>
      </c>
      <c r="D17" s="11">
        <f>August!D17-July!D17</f>
        <v>3</v>
      </c>
      <c r="E17" s="11">
        <f>August!E17-July!E17</f>
        <v>35</v>
      </c>
      <c r="F17" s="10">
        <f t="shared" si="0"/>
        <v>50</v>
      </c>
    </row>
    <row r="18" spans="1:6" x14ac:dyDescent="0.25">
      <c r="A18" s="1" t="s">
        <v>15</v>
      </c>
      <c r="B18" s="11">
        <f>August!B18-July!B18</f>
        <v>-4</v>
      </c>
      <c r="C18" s="11">
        <f>August!C18-July!C18</f>
        <v>-7</v>
      </c>
      <c r="D18" s="11">
        <f>August!D18-July!D18</f>
        <v>1</v>
      </c>
      <c r="E18" s="11">
        <f>August!E18-July!E18</f>
        <v>4</v>
      </c>
      <c r="F18" s="10">
        <f t="shared" si="0"/>
        <v>-6</v>
      </c>
    </row>
    <row r="19" spans="1:6" x14ac:dyDescent="0.25">
      <c r="A19" s="1" t="s">
        <v>16</v>
      </c>
      <c r="B19" s="11">
        <f>August!B19-July!B19</f>
        <v>-1</v>
      </c>
      <c r="C19" s="11">
        <f>August!C19-July!C19</f>
        <v>340</v>
      </c>
      <c r="D19" s="11">
        <f>August!D19-July!D19</f>
        <v>167</v>
      </c>
      <c r="E19" s="11">
        <f>August!E19-July!E19</f>
        <v>575</v>
      </c>
      <c r="F19" s="10">
        <f t="shared" si="0"/>
        <v>1081</v>
      </c>
    </row>
    <row r="20" spans="1:6" x14ac:dyDescent="0.25">
      <c r="A20" s="1" t="s">
        <v>17</v>
      </c>
      <c r="B20" s="11">
        <f>August!B20-July!B20</f>
        <v>203</v>
      </c>
      <c r="C20" s="11">
        <f>August!C20-July!C20</f>
        <v>56</v>
      </c>
      <c r="D20" s="11">
        <f>August!D20-July!D20</f>
        <v>70</v>
      </c>
      <c r="E20" s="11">
        <f>August!E20-July!E20</f>
        <v>278</v>
      </c>
      <c r="F20" s="10">
        <f t="shared" si="0"/>
        <v>607</v>
      </c>
    </row>
    <row r="21" spans="1:6" x14ac:dyDescent="0.25">
      <c r="A21" s="1" t="s">
        <v>18</v>
      </c>
      <c r="B21" s="11">
        <f>August!B21-July!B21</f>
        <v>97</v>
      </c>
      <c r="C21" s="11">
        <f>August!C21-July!C21</f>
        <v>57</v>
      </c>
      <c r="D21" s="11">
        <f>August!D21-July!D21</f>
        <v>8</v>
      </c>
      <c r="E21" s="11">
        <f>August!E21-July!E21</f>
        <v>130</v>
      </c>
      <c r="F21" s="10">
        <f t="shared" si="0"/>
        <v>292</v>
      </c>
    </row>
    <row r="22" spans="1:6" x14ac:dyDescent="0.25">
      <c r="A22" s="1" t="s">
        <v>19</v>
      </c>
      <c r="B22" s="11">
        <f>August!B22-July!B22</f>
        <v>17</v>
      </c>
      <c r="C22" s="11">
        <f>August!C22-July!C22</f>
        <v>9</v>
      </c>
      <c r="D22" s="11">
        <f>August!D22-July!D22</f>
        <v>-1</v>
      </c>
      <c r="E22" s="11">
        <f>August!E22-July!E22</f>
        <v>6</v>
      </c>
      <c r="F22" s="10">
        <f t="shared" si="0"/>
        <v>31</v>
      </c>
    </row>
    <row r="23" spans="1:6" x14ac:dyDescent="0.25">
      <c r="A23" s="1" t="s">
        <v>20</v>
      </c>
      <c r="B23" s="11">
        <f>August!B23-July!B23</f>
        <v>14</v>
      </c>
      <c r="C23" s="11">
        <f>August!C23-July!C23</f>
        <v>2</v>
      </c>
      <c r="D23" s="11">
        <f>August!D23-July!D23</f>
        <v>5</v>
      </c>
      <c r="E23" s="11">
        <f>August!E23-July!E23</f>
        <v>12</v>
      </c>
      <c r="F23" s="10">
        <f t="shared" si="0"/>
        <v>33</v>
      </c>
    </row>
    <row r="24" spans="1:6" x14ac:dyDescent="0.25">
      <c r="A24" s="1" t="s">
        <v>21</v>
      </c>
      <c r="B24" s="11">
        <f>August!B24-July!B24</f>
        <v>17</v>
      </c>
      <c r="C24" s="11">
        <f>August!C24-July!C24</f>
        <v>-16</v>
      </c>
      <c r="D24" s="11">
        <f>August!D24-July!D24</f>
        <v>2</v>
      </c>
      <c r="E24" s="11">
        <f>August!E24-July!E24</f>
        <v>8</v>
      </c>
      <c r="F24" s="10">
        <f t="shared" si="0"/>
        <v>11</v>
      </c>
    </row>
    <row r="25" spans="1:6" x14ac:dyDescent="0.25">
      <c r="A25" s="1" t="s">
        <v>22</v>
      </c>
      <c r="B25" s="11">
        <f>August!B25-July!B25</f>
        <v>-10</v>
      </c>
      <c r="C25" s="11">
        <f>August!C25-July!C25</f>
        <v>-23</v>
      </c>
      <c r="D25" s="11">
        <f>August!D25-July!D25</f>
        <v>3</v>
      </c>
      <c r="E25" s="11">
        <f>August!E25-July!E25</f>
        <v>-5</v>
      </c>
      <c r="F25" s="10">
        <f t="shared" si="0"/>
        <v>-35</v>
      </c>
    </row>
    <row r="26" spans="1:6" x14ac:dyDescent="0.25">
      <c r="A26" s="1" t="s">
        <v>23</v>
      </c>
      <c r="B26" s="11">
        <f>August!B26-July!B26</f>
        <v>13</v>
      </c>
      <c r="C26" s="11">
        <f>August!C26-July!C26</f>
        <v>-3</v>
      </c>
      <c r="D26" s="11">
        <f>August!D26-July!D26</f>
        <v>3</v>
      </c>
      <c r="E26" s="11">
        <f>August!E26-July!E26</f>
        <v>0</v>
      </c>
      <c r="F26" s="10">
        <f t="shared" si="0"/>
        <v>13</v>
      </c>
    </row>
    <row r="27" spans="1:6" x14ac:dyDescent="0.25">
      <c r="A27" s="1" t="s">
        <v>24</v>
      </c>
      <c r="B27" s="11">
        <f>August!B27-July!B27</f>
        <v>3</v>
      </c>
      <c r="C27" s="11">
        <f>August!C27-July!C27</f>
        <v>-9</v>
      </c>
      <c r="D27" s="11">
        <f>August!D27-July!D27</f>
        <v>1</v>
      </c>
      <c r="E27" s="11">
        <f>August!E27-July!E27</f>
        <v>2</v>
      </c>
      <c r="F27" s="10">
        <f t="shared" si="0"/>
        <v>-3</v>
      </c>
    </row>
    <row r="28" spans="1:6" x14ac:dyDescent="0.25">
      <c r="A28" s="1" t="s">
        <v>25</v>
      </c>
      <c r="B28" s="11">
        <f>August!B28-July!B28</f>
        <v>8</v>
      </c>
      <c r="C28" s="11">
        <f>August!C28-July!C28</f>
        <v>-1</v>
      </c>
      <c r="D28" s="11">
        <f>August!D28-July!D28</f>
        <v>1</v>
      </c>
      <c r="E28" s="11">
        <f>August!E28-July!E28</f>
        <v>11</v>
      </c>
      <c r="F28" s="10">
        <f t="shared" si="0"/>
        <v>19</v>
      </c>
    </row>
    <row r="29" spans="1:6" x14ac:dyDescent="0.25">
      <c r="A29" s="1" t="s">
        <v>26</v>
      </c>
      <c r="B29" s="11">
        <f>August!B29-July!B29</f>
        <v>19</v>
      </c>
      <c r="C29" s="11">
        <f>August!C29-July!C29</f>
        <v>7</v>
      </c>
      <c r="D29" s="11">
        <f>August!D29-July!D29</f>
        <v>2</v>
      </c>
      <c r="E29" s="11">
        <f>August!E29-July!E29</f>
        <v>20</v>
      </c>
      <c r="F29" s="10">
        <f t="shared" si="0"/>
        <v>48</v>
      </c>
    </row>
    <row r="30" spans="1:6" x14ac:dyDescent="0.25">
      <c r="A30" s="1" t="s">
        <v>27</v>
      </c>
      <c r="B30" s="11">
        <f>August!B30-July!B30</f>
        <v>-270</v>
      </c>
      <c r="C30" s="11">
        <f>August!C30-July!C30</f>
        <v>-307</v>
      </c>
      <c r="D30" s="11">
        <f>August!D30-July!D30</f>
        <v>35</v>
      </c>
      <c r="E30" s="11">
        <f>August!E30-July!E30</f>
        <v>-192</v>
      </c>
      <c r="F30" s="10">
        <f t="shared" si="0"/>
        <v>-734</v>
      </c>
    </row>
    <row r="31" spans="1:6" x14ac:dyDescent="0.25">
      <c r="A31" s="1" t="s">
        <v>28</v>
      </c>
      <c r="B31" s="11">
        <f>August!B31-July!B31</f>
        <v>76</v>
      </c>
      <c r="C31" s="11">
        <f>August!C31-July!C31</f>
        <v>31</v>
      </c>
      <c r="D31" s="11">
        <f>August!D31-July!D31</f>
        <v>8</v>
      </c>
      <c r="E31" s="11">
        <f>August!E31-July!E31</f>
        <v>101</v>
      </c>
      <c r="F31" s="10">
        <f t="shared" si="0"/>
        <v>216</v>
      </c>
    </row>
    <row r="32" spans="1:6" x14ac:dyDescent="0.25">
      <c r="A32" s="1" t="s">
        <v>29</v>
      </c>
      <c r="B32" s="11">
        <f>August!B32-July!B32</f>
        <v>731</v>
      </c>
      <c r="C32" s="11">
        <f>August!C32-July!C32</f>
        <v>903</v>
      </c>
      <c r="D32" s="11">
        <f>August!D32-July!D32</f>
        <v>211</v>
      </c>
      <c r="E32" s="11">
        <f>August!E32-July!E32</f>
        <v>1586</v>
      </c>
      <c r="F32" s="10">
        <f t="shared" si="0"/>
        <v>3431</v>
      </c>
    </row>
    <row r="33" spans="1:6" x14ac:dyDescent="0.25">
      <c r="A33" s="1" t="s">
        <v>30</v>
      </c>
      <c r="B33" s="11">
        <f>August!B33-July!B33</f>
        <v>10</v>
      </c>
      <c r="C33" s="11">
        <f>August!C33-July!C33</f>
        <v>-15</v>
      </c>
      <c r="D33" s="11">
        <f>August!D33-July!D33</f>
        <v>3</v>
      </c>
      <c r="E33" s="11">
        <f>August!E33-July!E33</f>
        <v>6</v>
      </c>
      <c r="F33" s="10">
        <f t="shared" si="0"/>
        <v>4</v>
      </c>
    </row>
    <row r="34" spans="1:6" x14ac:dyDescent="0.25">
      <c r="A34" s="1" t="s">
        <v>31</v>
      </c>
      <c r="B34" s="11">
        <f>August!B34-July!B34</f>
        <v>101</v>
      </c>
      <c r="C34" s="11">
        <f>August!C34-July!C34</f>
        <v>69</v>
      </c>
      <c r="D34" s="11">
        <f>August!D34-July!D34</f>
        <v>33</v>
      </c>
      <c r="E34" s="11">
        <f>August!E34-July!E34</f>
        <v>157</v>
      </c>
      <c r="F34" s="10">
        <f t="shared" si="0"/>
        <v>360</v>
      </c>
    </row>
    <row r="35" spans="1:6" x14ac:dyDescent="0.25">
      <c r="A35" s="1" t="s">
        <v>32</v>
      </c>
      <c r="B35" s="11">
        <f>August!B35-July!B35</f>
        <v>27</v>
      </c>
      <c r="C35" s="11">
        <f>August!C35-July!C35</f>
        <v>-32</v>
      </c>
      <c r="D35" s="11">
        <f>August!D35-July!D35</f>
        <v>1</v>
      </c>
      <c r="E35" s="11">
        <f>August!E35-July!E35</f>
        <v>12</v>
      </c>
      <c r="F35" s="10">
        <f t="shared" si="0"/>
        <v>8</v>
      </c>
    </row>
    <row r="36" spans="1:6" x14ac:dyDescent="0.25">
      <c r="A36" s="1" t="s">
        <v>33</v>
      </c>
      <c r="B36" s="11">
        <f>August!B36-July!B36</f>
        <v>-1</v>
      </c>
      <c r="C36" s="11">
        <f>August!C36-July!C36</f>
        <v>-15</v>
      </c>
      <c r="D36" s="11">
        <f>August!D36-July!D36</f>
        <v>1</v>
      </c>
      <c r="E36" s="11">
        <f>August!E36-July!E36</f>
        <v>9</v>
      </c>
      <c r="F36" s="10">
        <f t="shared" si="0"/>
        <v>-6</v>
      </c>
    </row>
    <row r="37" spans="1:6" x14ac:dyDescent="0.25">
      <c r="A37" s="1" t="s">
        <v>34</v>
      </c>
      <c r="B37" s="11">
        <f>August!B37-July!B37</f>
        <v>4</v>
      </c>
      <c r="C37" s="11">
        <f>August!C37-July!C37</f>
        <v>-9</v>
      </c>
      <c r="D37" s="11">
        <f>August!D37-July!D37</f>
        <v>1</v>
      </c>
      <c r="E37" s="11">
        <f>August!E37-July!E37</f>
        <v>2</v>
      </c>
      <c r="F37" s="10">
        <f t="shared" si="0"/>
        <v>-2</v>
      </c>
    </row>
    <row r="38" spans="1:6" x14ac:dyDescent="0.25">
      <c r="A38" s="1" t="s">
        <v>35</v>
      </c>
      <c r="B38" s="11">
        <f>August!B38-July!B38</f>
        <v>372</v>
      </c>
      <c r="C38" s="11">
        <f>August!C38-July!C38</f>
        <v>208</v>
      </c>
      <c r="D38" s="11">
        <f>August!D38-July!D38</f>
        <v>38</v>
      </c>
      <c r="E38" s="11">
        <f>August!E38-July!E38</f>
        <v>441</v>
      </c>
      <c r="F38" s="10">
        <f t="shared" si="0"/>
        <v>1059</v>
      </c>
    </row>
    <row r="39" spans="1:6" x14ac:dyDescent="0.25">
      <c r="A39" s="1" t="s">
        <v>36</v>
      </c>
      <c r="B39" s="11">
        <f>August!B39-July!B39</f>
        <v>-1249</v>
      </c>
      <c r="C39" s="11">
        <f>August!C39-July!C39</f>
        <v>-1223</v>
      </c>
      <c r="D39" s="11">
        <f>August!D39-July!D39</f>
        <v>85</v>
      </c>
      <c r="E39" s="11">
        <f>August!E39-July!E39</f>
        <v>-1086</v>
      </c>
      <c r="F39" s="10">
        <f t="shared" si="0"/>
        <v>-3473</v>
      </c>
    </row>
    <row r="40" spans="1:6" x14ac:dyDescent="0.25">
      <c r="A40" s="1" t="s">
        <v>37</v>
      </c>
      <c r="B40" s="11">
        <f>August!B40-July!B40</f>
        <v>84</v>
      </c>
      <c r="C40" s="11">
        <f>August!C40-July!C40</f>
        <v>177</v>
      </c>
      <c r="D40" s="11">
        <f>August!D40-July!D40</f>
        <v>61</v>
      </c>
      <c r="E40" s="11">
        <f>August!E40-July!E40</f>
        <v>264</v>
      </c>
      <c r="F40" s="10">
        <f t="shared" si="0"/>
        <v>586</v>
      </c>
    </row>
    <row r="41" spans="1:6" x14ac:dyDescent="0.25">
      <c r="A41" s="1" t="s">
        <v>38</v>
      </c>
      <c r="B41" s="11">
        <f>August!B41-July!B41</f>
        <v>30</v>
      </c>
      <c r="C41" s="11">
        <f>August!C41-July!C41</f>
        <v>0</v>
      </c>
      <c r="D41" s="11">
        <f>August!D41-July!D41</f>
        <v>4</v>
      </c>
      <c r="E41" s="11">
        <f>August!E41-July!E41</f>
        <v>18</v>
      </c>
      <c r="F41" s="10">
        <f t="shared" si="0"/>
        <v>52</v>
      </c>
    </row>
    <row r="42" spans="1:6" x14ac:dyDescent="0.25">
      <c r="A42" s="1" t="s">
        <v>39</v>
      </c>
      <c r="B42" s="11">
        <f>August!B42-July!B42</f>
        <v>-3</v>
      </c>
      <c r="C42" s="11">
        <f>August!C42-July!C42</f>
        <v>2</v>
      </c>
      <c r="D42" s="11">
        <f>August!D42-July!D42</f>
        <v>1</v>
      </c>
      <c r="E42" s="11">
        <f>August!E42-July!E42</f>
        <v>1</v>
      </c>
      <c r="F42" s="10">
        <f t="shared" si="0"/>
        <v>1</v>
      </c>
    </row>
    <row r="43" spans="1:6" x14ac:dyDescent="0.25">
      <c r="A43" s="1" t="s">
        <v>40</v>
      </c>
      <c r="B43" s="11">
        <f>August!B43-July!B43</f>
        <v>14</v>
      </c>
      <c r="C43" s="11">
        <f>August!C43-July!C43</f>
        <v>-8</v>
      </c>
      <c r="D43" s="11">
        <f>August!D43-July!D43</f>
        <v>2</v>
      </c>
      <c r="E43" s="11">
        <f>August!E43-July!E43</f>
        <v>8</v>
      </c>
      <c r="F43" s="10">
        <f t="shared" si="0"/>
        <v>16</v>
      </c>
    </row>
    <row r="44" spans="1:6" x14ac:dyDescent="0.25">
      <c r="A44" s="1" t="s">
        <v>41</v>
      </c>
      <c r="B44" s="11">
        <f>August!B44-July!B44</f>
        <v>-1066</v>
      </c>
      <c r="C44" s="11">
        <f>August!C44-July!C44</f>
        <v>-784</v>
      </c>
      <c r="D44" s="11">
        <f>August!D44-July!D44</f>
        <v>29</v>
      </c>
      <c r="E44" s="11">
        <f>August!E44-July!E44</f>
        <v>-626</v>
      </c>
      <c r="F44" s="10">
        <f t="shared" si="0"/>
        <v>-2447</v>
      </c>
    </row>
    <row r="45" spans="1:6" x14ac:dyDescent="0.25">
      <c r="A45" s="1" t="s">
        <v>42</v>
      </c>
      <c r="B45" s="11">
        <f>August!B45-July!B45</f>
        <v>333</v>
      </c>
      <c r="C45" s="11">
        <f>August!C45-July!C45</f>
        <v>160</v>
      </c>
      <c r="D45" s="11">
        <f>August!D45-July!D45</f>
        <v>41</v>
      </c>
      <c r="E45" s="11">
        <f>August!E45-July!E45</f>
        <v>320</v>
      </c>
      <c r="F45" s="10">
        <f t="shared" si="0"/>
        <v>854</v>
      </c>
    </row>
    <row r="46" spans="1:6" x14ac:dyDescent="0.25">
      <c r="A46" s="1" t="s">
        <v>43</v>
      </c>
      <c r="B46" s="11">
        <f>August!B46-July!B46</f>
        <v>49</v>
      </c>
      <c r="C46" s="11">
        <f>August!C46-July!C46</f>
        <v>40</v>
      </c>
      <c r="D46" s="11">
        <f>August!D46-July!D46</f>
        <v>43</v>
      </c>
      <c r="E46" s="11">
        <f>August!E46-July!E46</f>
        <v>99</v>
      </c>
      <c r="F46" s="10">
        <f t="shared" si="0"/>
        <v>231</v>
      </c>
    </row>
    <row r="47" spans="1:6" x14ac:dyDescent="0.25">
      <c r="A47" s="1" t="s">
        <v>44</v>
      </c>
      <c r="B47" s="11">
        <f>August!B47-July!B47</f>
        <v>145</v>
      </c>
      <c r="C47" s="11">
        <f>August!C47-July!C47</f>
        <v>596</v>
      </c>
      <c r="D47" s="11">
        <f>August!D47-July!D47</f>
        <v>185</v>
      </c>
      <c r="E47" s="11">
        <f>August!E47-July!E47</f>
        <v>1514</v>
      </c>
      <c r="F47" s="10">
        <f t="shared" si="0"/>
        <v>2440</v>
      </c>
    </row>
    <row r="48" spans="1:6" x14ac:dyDescent="0.25">
      <c r="A48" s="1" t="s">
        <v>45</v>
      </c>
      <c r="B48" s="11">
        <f>August!B48-July!B48</f>
        <v>62</v>
      </c>
      <c r="C48" s="11">
        <f>August!C48-July!C48</f>
        <v>22</v>
      </c>
      <c r="D48" s="11">
        <f>August!D48-July!D48</f>
        <v>25</v>
      </c>
      <c r="E48" s="11">
        <f>August!E48-July!E48</f>
        <v>84</v>
      </c>
      <c r="F48" s="10">
        <f t="shared" si="0"/>
        <v>193</v>
      </c>
    </row>
    <row r="49" spans="1:6" x14ac:dyDescent="0.25">
      <c r="A49" s="1" t="s">
        <v>46</v>
      </c>
      <c r="B49" s="11">
        <f>August!B49-July!B49</f>
        <v>175</v>
      </c>
      <c r="C49" s="11">
        <f>August!C49-July!C49</f>
        <v>52</v>
      </c>
      <c r="D49" s="11">
        <f>August!D49-July!D49</f>
        <v>17</v>
      </c>
      <c r="E49" s="11">
        <f>August!E49-July!E49</f>
        <v>95</v>
      </c>
      <c r="F49" s="10">
        <f t="shared" si="0"/>
        <v>339</v>
      </c>
    </row>
    <row r="50" spans="1:6" x14ac:dyDescent="0.25">
      <c r="A50" s="1" t="s">
        <v>47</v>
      </c>
      <c r="B50" s="11">
        <f>August!B50-July!B50</f>
        <v>241</v>
      </c>
      <c r="C50" s="11">
        <f>August!C50-July!C50</f>
        <v>108</v>
      </c>
      <c r="D50" s="11">
        <f>August!D50-July!D50</f>
        <v>58</v>
      </c>
      <c r="E50" s="11">
        <f>August!E50-July!E50</f>
        <v>266</v>
      </c>
      <c r="F50" s="10">
        <f t="shared" si="0"/>
        <v>673</v>
      </c>
    </row>
    <row r="51" spans="1:6" x14ac:dyDescent="0.25">
      <c r="A51" s="1" t="s">
        <v>48</v>
      </c>
      <c r="B51" s="11">
        <f>August!B51-July!B51</f>
        <v>6</v>
      </c>
      <c r="C51" s="11">
        <f>August!C51-July!C51</f>
        <v>-9</v>
      </c>
      <c r="D51" s="11">
        <f>August!D51-July!D51</f>
        <v>8</v>
      </c>
      <c r="E51" s="11">
        <f>August!E51-July!E51</f>
        <v>3</v>
      </c>
      <c r="F51" s="10">
        <f t="shared" si="0"/>
        <v>8</v>
      </c>
    </row>
    <row r="52" spans="1:6" x14ac:dyDescent="0.25">
      <c r="A52" s="1" t="s">
        <v>49</v>
      </c>
      <c r="B52" s="11">
        <f>August!B52-July!B52</f>
        <v>580</v>
      </c>
      <c r="C52" s="11">
        <f>August!C52-July!C52</f>
        <v>1197</v>
      </c>
      <c r="D52" s="11">
        <f>August!D52-July!D52</f>
        <v>201</v>
      </c>
      <c r="E52" s="11">
        <f>August!E52-July!E52</f>
        <v>1906</v>
      </c>
      <c r="F52" s="10">
        <f t="shared" si="0"/>
        <v>3884</v>
      </c>
    </row>
    <row r="53" spans="1:6" x14ac:dyDescent="0.25">
      <c r="A53" s="1" t="s">
        <v>50</v>
      </c>
      <c r="B53" s="11">
        <f>August!B53-July!B53</f>
        <v>2</v>
      </c>
      <c r="C53" s="11">
        <f>August!C53-July!C53</f>
        <v>32</v>
      </c>
      <c r="D53" s="11">
        <f>August!D53-July!D53</f>
        <v>31</v>
      </c>
      <c r="E53" s="11">
        <f>August!E53-July!E53</f>
        <v>526</v>
      </c>
      <c r="F53" s="10">
        <f t="shared" si="0"/>
        <v>591</v>
      </c>
    </row>
    <row r="54" spans="1:6" x14ac:dyDescent="0.25">
      <c r="A54" s="1" t="s">
        <v>51</v>
      </c>
      <c r="B54" s="11">
        <f>August!B54-July!B54</f>
        <v>496</v>
      </c>
      <c r="C54" s="11">
        <f>August!C54-July!C54</f>
        <v>480</v>
      </c>
      <c r="D54" s="11">
        <f>August!D54-July!D54</f>
        <v>290</v>
      </c>
      <c r="E54" s="11">
        <f>August!E54-July!E54</f>
        <v>1052</v>
      </c>
      <c r="F54" s="10">
        <f t="shared" si="0"/>
        <v>2318</v>
      </c>
    </row>
    <row r="55" spans="1:6" x14ac:dyDescent="0.25">
      <c r="A55" s="1" t="s">
        <v>52</v>
      </c>
      <c r="B55" s="11">
        <f>August!B55-July!B55</f>
        <v>14</v>
      </c>
      <c r="C55" s="11">
        <f>August!C55-July!C55</f>
        <v>-366</v>
      </c>
      <c r="D55" s="11">
        <f>August!D55-July!D55</f>
        <v>91</v>
      </c>
      <c r="E55" s="11">
        <f>August!E55-July!E55</f>
        <v>120</v>
      </c>
      <c r="F55" s="10">
        <f t="shared" si="0"/>
        <v>-141</v>
      </c>
    </row>
    <row r="56" spans="1:6" x14ac:dyDescent="0.25">
      <c r="A56" s="1" t="s">
        <v>53</v>
      </c>
      <c r="B56" s="11">
        <f>August!B56-July!B56</f>
        <v>-2022</v>
      </c>
      <c r="C56" s="11">
        <f>August!C56-July!C56</f>
        <v>-2153</v>
      </c>
      <c r="D56" s="11">
        <f>August!D56-July!D56</f>
        <v>129</v>
      </c>
      <c r="E56" s="11">
        <f>August!E56-July!E56</f>
        <v>-1423</v>
      </c>
      <c r="F56" s="10">
        <f t="shared" si="0"/>
        <v>-5469</v>
      </c>
    </row>
    <row r="57" spans="1:6" x14ac:dyDescent="0.25">
      <c r="A57" s="1" t="s">
        <v>54</v>
      </c>
      <c r="B57" s="11">
        <f>August!B57-July!B57</f>
        <v>336</v>
      </c>
      <c r="C57" s="11">
        <f>August!C57-July!C57</f>
        <v>266</v>
      </c>
      <c r="D57" s="11">
        <f>August!D57-July!D57</f>
        <v>99</v>
      </c>
      <c r="E57" s="11">
        <f>August!E57-July!E57</f>
        <v>724</v>
      </c>
      <c r="F57" s="10">
        <f t="shared" si="0"/>
        <v>1425</v>
      </c>
    </row>
    <row r="58" spans="1:6" x14ac:dyDescent="0.25">
      <c r="A58" s="1" t="s">
        <v>55</v>
      </c>
      <c r="B58" s="11">
        <f>August!B58-July!B58</f>
        <v>44</v>
      </c>
      <c r="C58" s="11">
        <f>August!C58-July!C58</f>
        <v>1</v>
      </c>
      <c r="D58" s="11">
        <f>August!D58-July!D58</f>
        <v>8</v>
      </c>
      <c r="E58" s="11">
        <f>August!E58-July!E58</f>
        <v>66</v>
      </c>
      <c r="F58" s="10">
        <f t="shared" si="0"/>
        <v>119</v>
      </c>
    </row>
    <row r="59" spans="1:6" x14ac:dyDescent="0.25">
      <c r="A59" s="1" t="s">
        <v>56</v>
      </c>
      <c r="B59" s="11">
        <f>August!B59-July!B59</f>
        <v>348</v>
      </c>
      <c r="C59" s="11">
        <f>August!C59-July!C59</f>
        <v>49</v>
      </c>
      <c r="D59" s="11">
        <f>August!D59-July!D59</f>
        <v>63</v>
      </c>
      <c r="E59" s="11">
        <f>August!E59-July!E59</f>
        <v>207</v>
      </c>
      <c r="F59" s="10">
        <f t="shared" si="0"/>
        <v>667</v>
      </c>
    </row>
    <row r="60" spans="1:6" x14ac:dyDescent="0.25">
      <c r="A60" s="1" t="s">
        <v>57</v>
      </c>
      <c r="B60" s="11">
        <f>August!B60-July!B60</f>
        <v>282</v>
      </c>
      <c r="C60" s="11">
        <f>August!C60-July!C60</f>
        <v>263</v>
      </c>
      <c r="D60" s="11">
        <f>August!D60-July!D60</f>
        <v>75</v>
      </c>
      <c r="E60" s="11">
        <f>August!E60-July!E60</f>
        <v>425</v>
      </c>
      <c r="F60" s="10">
        <f t="shared" si="0"/>
        <v>1045</v>
      </c>
    </row>
    <row r="61" spans="1:6" x14ac:dyDescent="0.25">
      <c r="A61" s="1" t="s">
        <v>58</v>
      </c>
      <c r="B61" s="11">
        <f>August!B61-July!B61</f>
        <v>-752</v>
      </c>
      <c r="C61" s="11">
        <f>August!C61-July!C61</f>
        <v>-774</v>
      </c>
      <c r="D61" s="11">
        <f>August!D61-July!D61</f>
        <v>21</v>
      </c>
      <c r="E61" s="11">
        <f>August!E61-July!E61</f>
        <v>-554</v>
      </c>
      <c r="F61" s="10">
        <f t="shared" si="0"/>
        <v>-2059</v>
      </c>
    </row>
    <row r="62" spans="1:6" x14ac:dyDescent="0.25">
      <c r="A62" s="1" t="s">
        <v>59</v>
      </c>
      <c r="B62" s="11">
        <f>August!B62-July!B62</f>
        <v>553</v>
      </c>
      <c r="C62" s="11">
        <f>August!C62-July!C62</f>
        <v>245</v>
      </c>
      <c r="D62" s="11">
        <f>August!D62-July!D62</f>
        <v>73</v>
      </c>
      <c r="E62" s="11">
        <f>August!E62-July!E62</f>
        <v>354</v>
      </c>
      <c r="F62" s="10">
        <f t="shared" si="0"/>
        <v>1225</v>
      </c>
    </row>
    <row r="63" spans="1:6" x14ac:dyDescent="0.25">
      <c r="A63" s="1" t="s">
        <v>60</v>
      </c>
      <c r="B63" s="11">
        <f>August!B63-July!B63</f>
        <v>181</v>
      </c>
      <c r="C63" s="11">
        <f>August!C63-July!C63</f>
        <v>190</v>
      </c>
      <c r="D63" s="11">
        <f>August!D63-July!D63</f>
        <v>60</v>
      </c>
      <c r="E63" s="11">
        <f>August!E63-July!E63</f>
        <v>331</v>
      </c>
      <c r="F63" s="10">
        <f t="shared" si="0"/>
        <v>762</v>
      </c>
    </row>
    <row r="64" spans="1:6" x14ac:dyDescent="0.25">
      <c r="A64" s="1" t="s">
        <v>61</v>
      </c>
      <c r="B64" s="11">
        <f>August!B64-July!B64</f>
        <v>216</v>
      </c>
      <c r="C64" s="11">
        <f>August!C64-July!C64</f>
        <v>67</v>
      </c>
      <c r="D64" s="11">
        <f>August!D64-July!D64</f>
        <v>12</v>
      </c>
      <c r="E64" s="11">
        <f>August!E64-July!E64</f>
        <v>53</v>
      </c>
      <c r="F64" s="10">
        <f t="shared" si="0"/>
        <v>348</v>
      </c>
    </row>
    <row r="65" spans="1:6" x14ac:dyDescent="0.25">
      <c r="A65" s="1" t="s">
        <v>62</v>
      </c>
      <c r="B65" s="11">
        <f>August!B65-July!B65</f>
        <v>-294</v>
      </c>
      <c r="C65" s="11">
        <f>August!C65-July!C65</f>
        <v>-466</v>
      </c>
      <c r="D65" s="11">
        <f>August!D65-July!D65</f>
        <v>-3</v>
      </c>
      <c r="E65" s="11">
        <f>August!E65-July!E65</f>
        <v>-213</v>
      </c>
      <c r="F65" s="10">
        <f t="shared" si="0"/>
        <v>-976</v>
      </c>
    </row>
    <row r="66" spans="1:6" x14ac:dyDescent="0.25">
      <c r="A66" s="1" t="s">
        <v>63</v>
      </c>
      <c r="B66" s="11">
        <f>August!B66-July!B66</f>
        <v>3</v>
      </c>
      <c r="C66" s="11">
        <f>August!C66-July!C66</f>
        <v>-39</v>
      </c>
      <c r="D66" s="11">
        <f>August!D66-July!D66</f>
        <v>1</v>
      </c>
      <c r="E66" s="11">
        <f>August!E66-July!E66</f>
        <v>-7</v>
      </c>
      <c r="F66" s="10">
        <f t="shared" si="0"/>
        <v>-42</v>
      </c>
    </row>
    <row r="67" spans="1:6" x14ac:dyDescent="0.25">
      <c r="A67" s="1" t="s">
        <v>64</v>
      </c>
      <c r="B67" s="11">
        <f>August!B67-July!B67</f>
        <v>-7</v>
      </c>
      <c r="C67" s="11">
        <f>August!C67-July!C67</f>
        <v>-6</v>
      </c>
      <c r="D67" s="11">
        <f>August!D67-July!D67</f>
        <v>-17</v>
      </c>
      <c r="E67" s="11">
        <f>August!E67-July!E67</f>
        <v>17</v>
      </c>
      <c r="F67" s="10">
        <f t="shared" si="0"/>
        <v>-13</v>
      </c>
    </row>
    <row r="68" spans="1:6" x14ac:dyDescent="0.25">
      <c r="A68" s="1" t="s">
        <v>65</v>
      </c>
      <c r="B68" s="11">
        <f>August!B68-July!B68</f>
        <v>-601</v>
      </c>
      <c r="C68" s="11">
        <f>August!C68-July!C68</f>
        <v>-1561</v>
      </c>
      <c r="D68" s="11">
        <f>August!D68-July!D68</f>
        <v>77</v>
      </c>
      <c r="E68" s="11">
        <f>August!E68-July!E68</f>
        <v>-1106</v>
      </c>
      <c r="F68" s="10">
        <f t="shared" si="0"/>
        <v>-3191</v>
      </c>
    </row>
    <row r="69" spans="1:6" x14ac:dyDescent="0.25">
      <c r="A69" s="1" t="s">
        <v>66</v>
      </c>
      <c r="B69" s="11">
        <f>August!B69-July!B69</f>
        <v>4</v>
      </c>
      <c r="C69" s="11">
        <f>August!C69-July!C69</f>
        <v>-6</v>
      </c>
      <c r="D69" s="11">
        <f>August!D69-July!D69</f>
        <v>5</v>
      </c>
      <c r="E69" s="11">
        <f>August!E69-July!E69</f>
        <v>16</v>
      </c>
      <c r="F69" s="10">
        <f t="shared" si="0"/>
        <v>19</v>
      </c>
    </row>
    <row r="70" spans="1:6" x14ac:dyDescent="0.25">
      <c r="A70" s="1" t="s">
        <v>67</v>
      </c>
      <c r="B70" s="11">
        <f>August!B70-July!B70</f>
        <v>129</v>
      </c>
      <c r="C70" s="11">
        <f>August!C70-July!C70</f>
        <v>19</v>
      </c>
      <c r="D70" s="11">
        <f>August!D70-July!D70</f>
        <v>24</v>
      </c>
      <c r="E70" s="11">
        <f>August!E70-July!E70</f>
        <v>61</v>
      </c>
      <c r="F70" s="10">
        <f t="shared" ref="F70:F71" si="1">SUM(B70:E70)</f>
        <v>233</v>
      </c>
    </row>
    <row r="71" spans="1:6" ht="15.75" thickBot="1" x14ac:dyDescent="0.3">
      <c r="A71" s="1" t="s">
        <v>68</v>
      </c>
      <c r="B71" s="11">
        <f>August!B71-July!B71</f>
        <v>18</v>
      </c>
      <c r="C71" s="11">
        <f>August!C71-July!C71</f>
        <v>-17</v>
      </c>
      <c r="D71" s="11">
        <f>August!D71-July!D71</f>
        <v>3</v>
      </c>
      <c r="E71" s="11">
        <f>August!E71-July!E71</f>
        <v>8</v>
      </c>
      <c r="F71" s="10">
        <f t="shared" si="1"/>
        <v>12</v>
      </c>
    </row>
    <row r="72" spans="1:6" ht="16.5" thickTop="1" thickBot="1" x14ac:dyDescent="0.3">
      <c r="A72" s="3" t="s">
        <v>1</v>
      </c>
      <c r="B72" s="8">
        <f>SUM(B5:B71)</f>
        <v>-421</v>
      </c>
      <c r="C72" s="8">
        <f>SUM(C5:C71)</f>
        <v>-2596</v>
      </c>
      <c r="D72" s="8">
        <f>SUM(D5:D71)</f>
        <v>2933</v>
      </c>
      <c r="E72" s="8">
        <f>SUM(E5:E71)</f>
        <v>8341</v>
      </c>
      <c r="F72" s="8">
        <f>SUM(F5:F71)</f>
        <v>8257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1" workbookViewId="0">
      <selection activeCell="F5" sqref="F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107</v>
      </c>
      <c r="B1" s="17"/>
      <c r="C1" s="17"/>
      <c r="D1" s="17"/>
      <c r="E1" s="17"/>
      <c r="F1" s="18"/>
    </row>
    <row r="2" spans="1:6" x14ac:dyDescent="0.25">
      <c r="A2" s="13" t="s">
        <v>114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September!B5-August!B5</f>
        <v>72</v>
      </c>
      <c r="C5" s="11">
        <f>September!C5-August!C5</f>
        <v>84</v>
      </c>
      <c r="D5" s="11">
        <f>September!D5-August!D5</f>
        <v>33</v>
      </c>
      <c r="E5" s="11">
        <f>September!E5-August!E5</f>
        <v>182</v>
      </c>
      <c r="F5" s="10">
        <f>SUM(B5:E5)</f>
        <v>371</v>
      </c>
    </row>
    <row r="6" spans="1:6" x14ac:dyDescent="0.25">
      <c r="A6" s="1" t="s">
        <v>3</v>
      </c>
      <c r="B6" s="11">
        <f>September!B6-August!B6</f>
        <v>15</v>
      </c>
      <c r="C6" s="11">
        <f>September!C6-August!C6</f>
        <v>-5</v>
      </c>
      <c r="D6" s="11">
        <f>September!D6-August!D6</f>
        <v>0</v>
      </c>
      <c r="E6" s="11">
        <f>September!E6-August!E6</f>
        <v>8</v>
      </c>
      <c r="F6" s="10">
        <f t="shared" ref="F6:F69" si="0">SUM(B6:E6)</f>
        <v>18</v>
      </c>
    </row>
    <row r="7" spans="1:6" x14ac:dyDescent="0.25">
      <c r="A7" s="1" t="s">
        <v>4</v>
      </c>
      <c r="B7" s="11">
        <f>September!B7-August!B7</f>
        <v>131</v>
      </c>
      <c r="C7" s="11">
        <f>September!C7-August!C7</f>
        <v>13</v>
      </c>
      <c r="D7" s="11">
        <f>September!D7-August!D7</f>
        <v>24</v>
      </c>
      <c r="E7" s="11">
        <f>September!E7-August!E7</f>
        <v>148</v>
      </c>
      <c r="F7" s="10">
        <f t="shared" si="0"/>
        <v>316</v>
      </c>
    </row>
    <row r="8" spans="1:6" x14ac:dyDescent="0.25">
      <c r="A8" s="1" t="s">
        <v>5</v>
      </c>
      <c r="B8" s="11">
        <f>September!B8-August!B8</f>
        <v>27</v>
      </c>
      <c r="C8" s="11">
        <f>September!C8-August!C8</f>
        <v>-9</v>
      </c>
      <c r="D8" s="11">
        <f>September!D8-August!D8</f>
        <v>3</v>
      </c>
      <c r="E8" s="11">
        <f>September!E8-August!E8</f>
        <v>15</v>
      </c>
      <c r="F8" s="10">
        <f t="shared" si="0"/>
        <v>36</v>
      </c>
    </row>
    <row r="9" spans="1:6" x14ac:dyDescent="0.25">
      <c r="A9" s="1" t="s">
        <v>6</v>
      </c>
      <c r="B9" s="11">
        <f>September!B9-August!B9</f>
        <v>186</v>
      </c>
      <c r="C9" s="11">
        <f>September!C9-August!C9</f>
        <v>90</v>
      </c>
      <c r="D9" s="11">
        <f>September!D9-August!D9</f>
        <v>163</v>
      </c>
      <c r="E9" s="11">
        <f>September!E9-August!E9</f>
        <v>464</v>
      </c>
      <c r="F9" s="10">
        <f t="shared" si="0"/>
        <v>903</v>
      </c>
    </row>
    <row r="10" spans="1:6" x14ac:dyDescent="0.25">
      <c r="A10" s="1" t="s">
        <v>7</v>
      </c>
      <c r="B10" s="11">
        <f>September!B10-August!B10</f>
        <v>-1503</v>
      </c>
      <c r="C10" s="11">
        <f>September!C10-August!C10</f>
        <v>-3052</v>
      </c>
      <c r="D10" s="11">
        <f>September!D10-August!D10</f>
        <v>353</v>
      </c>
      <c r="E10" s="11">
        <f>September!E10-August!E10</f>
        <v>-593</v>
      </c>
      <c r="F10" s="10">
        <f t="shared" si="0"/>
        <v>-4795</v>
      </c>
    </row>
    <row r="11" spans="1:6" x14ac:dyDescent="0.25">
      <c r="A11" s="1" t="s">
        <v>8</v>
      </c>
      <c r="B11" s="11">
        <f>September!B11-August!B11</f>
        <v>26</v>
      </c>
      <c r="C11" s="11">
        <f>September!C11-August!C11</f>
        <v>-10</v>
      </c>
      <c r="D11" s="11">
        <f>September!D11-August!D11</f>
        <v>0</v>
      </c>
      <c r="E11" s="11">
        <f>September!E11-August!E11</f>
        <v>3</v>
      </c>
      <c r="F11" s="10">
        <f t="shared" si="0"/>
        <v>19</v>
      </c>
    </row>
    <row r="12" spans="1:6" x14ac:dyDescent="0.25">
      <c r="A12" s="1" t="s">
        <v>9</v>
      </c>
      <c r="B12" s="11">
        <f>September!B12-August!B12</f>
        <v>128</v>
      </c>
      <c r="C12" s="11">
        <f>September!C12-August!C12</f>
        <v>49</v>
      </c>
      <c r="D12" s="11">
        <f>September!D12-August!D12</f>
        <v>39</v>
      </c>
      <c r="E12" s="11">
        <f>September!E12-August!E12</f>
        <v>118</v>
      </c>
      <c r="F12" s="10">
        <f t="shared" si="0"/>
        <v>334</v>
      </c>
    </row>
    <row r="13" spans="1:6" x14ac:dyDescent="0.25">
      <c r="A13" s="1" t="s">
        <v>10</v>
      </c>
      <c r="B13" s="11">
        <f>September!B13-August!B13</f>
        <v>126</v>
      </c>
      <c r="C13" s="11">
        <f>September!C13-August!C13</f>
        <v>0</v>
      </c>
      <c r="D13" s="11">
        <f>September!D13-August!D13</f>
        <v>50</v>
      </c>
      <c r="E13" s="11">
        <f>September!E13-August!E13</f>
        <v>89</v>
      </c>
      <c r="F13" s="10">
        <f t="shared" si="0"/>
        <v>265</v>
      </c>
    </row>
    <row r="14" spans="1:6" x14ac:dyDescent="0.25">
      <c r="A14" s="1" t="s">
        <v>11</v>
      </c>
      <c r="B14" s="11">
        <f>September!B14-August!B14</f>
        <v>-106</v>
      </c>
      <c r="C14" s="11">
        <f>September!C14-August!C14</f>
        <v>-39</v>
      </c>
      <c r="D14" s="11">
        <f>September!D14-August!D14</f>
        <v>33</v>
      </c>
      <c r="E14" s="11">
        <f>September!E14-August!E14</f>
        <v>-14</v>
      </c>
      <c r="F14" s="10">
        <f t="shared" si="0"/>
        <v>-126</v>
      </c>
    </row>
    <row r="15" spans="1:6" x14ac:dyDescent="0.25">
      <c r="A15" s="1" t="s">
        <v>12</v>
      </c>
      <c r="B15" s="11">
        <f>September!B15-August!B15</f>
        <v>-846</v>
      </c>
      <c r="C15" s="11">
        <f>September!C15-August!C15</f>
        <v>-362</v>
      </c>
      <c r="D15" s="11">
        <f>September!D15-August!D15</f>
        <v>32</v>
      </c>
      <c r="E15" s="11">
        <f>September!E15-August!E15</f>
        <v>-277</v>
      </c>
      <c r="F15" s="10">
        <f t="shared" si="0"/>
        <v>-1453</v>
      </c>
    </row>
    <row r="16" spans="1:6" x14ac:dyDescent="0.25">
      <c r="A16" s="1" t="s">
        <v>13</v>
      </c>
      <c r="B16" s="11">
        <f>September!B16-August!B16</f>
        <v>65</v>
      </c>
      <c r="C16" s="11">
        <f>September!C16-August!C16</f>
        <v>-17</v>
      </c>
      <c r="D16" s="11">
        <f>September!D16-August!D16</f>
        <v>6</v>
      </c>
      <c r="E16" s="11">
        <f>September!E16-August!E16</f>
        <v>54</v>
      </c>
      <c r="F16" s="10">
        <f t="shared" si="0"/>
        <v>108</v>
      </c>
    </row>
    <row r="17" spans="1:6" x14ac:dyDescent="0.25">
      <c r="A17" s="1" t="s">
        <v>14</v>
      </c>
      <c r="B17" s="11">
        <f>September!B17-August!B17</f>
        <v>-3</v>
      </c>
      <c r="C17" s="11">
        <f>September!C17-August!C17</f>
        <v>-20</v>
      </c>
      <c r="D17" s="11">
        <f>September!D17-August!D17</f>
        <v>5</v>
      </c>
      <c r="E17" s="11">
        <f>September!E17-August!E17</f>
        <v>28</v>
      </c>
      <c r="F17" s="10">
        <f t="shared" si="0"/>
        <v>10</v>
      </c>
    </row>
    <row r="18" spans="1:6" x14ac:dyDescent="0.25">
      <c r="A18" s="1" t="s">
        <v>15</v>
      </c>
      <c r="B18" s="11">
        <f>September!B18-August!B18</f>
        <v>-1</v>
      </c>
      <c r="C18" s="11">
        <f>September!C18-August!C18</f>
        <v>-13</v>
      </c>
      <c r="D18" s="11">
        <f>September!D18-August!D18</f>
        <v>1</v>
      </c>
      <c r="E18" s="11">
        <f>September!E18-August!E18</f>
        <v>1</v>
      </c>
      <c r="F18" s="10">
        <f t="shared" si="0"/>
        <v>-12</v>
      </c>
    </row>
    <row r="19" spans="1:6" x14ac:dyDescent="0.25">
      <c r="A19" s="1" t="s">
        <v>16</v>
      </c>
      <c r="B19" s="11">
        <f>September!B19-August!B19</f>
        <v>173</v>
      </c>
      <c r="C19" s="11">
        <f>September!C19-August!C19</f>
        <v>-33</v>
      </c>
      <c r="D19" s="11">
        <f>September!D19-August!D19</f>
        <v>167</v>
      </c>
      <c r="E19" s="11">
        <f>September!E19-August!E19</f>
        <v>458</v>
      </c>
      <c r="F19" s="10">
        <f t="shared" si="0"/>
        <v>765</v>
      </c>
    </row>
    <row r="20" spans="1:6" x14ac:dyDescent="0.25">
      <c r="A20" s="1" t="s">
        <v>17</v>
      </c>
      <c r="B20" s="11">
        <f>September!B20-August!B20</f>
        <v>-172</v>
      </c>
      <c r="C20" s="11">
        <f>September!C20-August!C20</f>
        <v>-122</v>
      </c>
      <c r="D20" s="11">
        <f>September!D20-August!D20</f>
        <v>63</v>
      </c>
      <c r="E20" s="11">
        <f>September!E20-August!E20</f>
        <v>27</v>
      </c>
      <c r="F20" s="10">
        <f t="shared" si="0"/>
        <v>-204</v>
      </c>
    </row>
    <row r="21" spans="1:6" x14ac:dyDescent="0.25">
      <c r="A21" s="1" t="s">
        <v>18</v>
      </c>
      <c r="B21" s="11">
        <f>September!B21-August!B21</f>
        <v>-61</v>
      </c>
      <c r="C21" s="11">
        <f>September!C21-August!C21</f>
        <v>-208</v>
      </c>
      <c r="D21" s="11">
        <f>September!D21-August!D21</f>
        <v>14</v>
      </c>
      <c r="E21" s="11">
        <f>September!E21-August!E21</f>
        <v>-103</v>
      </c>
      <c r="F21" s="10">
        <f t="shared" si="0"/>
        <v>-358</v>
      </c>
    </row>
    <row r="22" spans="1:6" x14ac:dyDescent="0.25">
      <c r="A22" s="1" t="s">
        <v>19</v>
      </c>
      <c r="B22" s="11">
        <f>September!B22-August!B22</f>
        <v>15</v>
      </c>
      <c r="C22" s="11">
        <f>September!C22-August!C22</f>
        <v>-14</v>
      </c>
      <c r="D22" s="11">
        <f>September!D22-August!D22</f>
        <v>0</v>
      </c>
      <c r="E22" s="11">
        <f>September!E22-August!E22</f>
        <v>3</v>
      </c>
      <c r="F22" s="10">
        <f t="shared" si="0"/>
        <v>4</v>
      </c>
    </row>
    <row r="23" spans="1:6" x14ac:dyDescent="0.25">
      <c r="A23" s="1" t="s">
        <v>20</v>
      </c>
      <c r="B23" s="11">
        <f>September!B23-August!B23</f>
        <v>-1</v>
      </c>
      <c r="C23" s="11">
        <f>September!C23-August!C23</f>
        <v>15</v>
      </c>
      <c r="D23" s="11">
        <f>September!D23-August!D23</f>
        <v>4</v>
      </c>
      <c r="E23" s="11">
        <f>September!E23-August!E23</f>
        <v>13</v>
      </c>
      <c r="F23" s="10">
        <f t="shared" si="0"/>
        <v>31</v>
      </c>
    </row>
    <row r="24" spans="1:6" x14ac:dyDescent="0.25">
      <c r="A24" s="1" t="s">
        <v>21</v>
      </c>
      <c r="B24" s="11">
        <f>September!B24-August!B24</f>
        <v>12</v>
      </c>
      <c r="C24" s="11">
        <f>September!C24-August!C24</f>
        <v>-8</v>
      </c>
      <c r="D24" s="11">
        <f>September!D24-August!D24</f>
        <v>-89</v>
      </c>
      <c r="E24" s="11">
        <f>September!E24-August!E24</f>
        <v>86</v>
      </c>
      <c r="F24" s="10">
        <f t="shared" si="0"/>
        <v>1</v>
      </c>
    </row>
    <row r="25" spans="1:6" x14ac:dyDescent="0.25">
      <c r="A25" s="1" t="s">
        <v>22</v>
      </c>
      <c r="B25" s="11">
        <f>September!B25-August!B25</f>
        <v>5</v>
      </c>
      <c r="C25" s="11">
        <f>September!C25-August!C25</f>
        <v>-14</v>
      </c>
      <c r="D25" s="11">
        <f>September!D25-August!D25</f>
        <v>0</v>
      </c>
      <c r="E25" s="11">
        <f>September!E25-August!E25</f>
        <v>1</v>
      </c>
      <c r="F25" s="10">
        <f t="shared" si="0"/>
        <v>-8</v>
      </c>
    </row>
    <row r="26" spans="1:6" x14ac:dyDescent="0.25">
      <c r="A26" s="1" t="s">
        <v>23</v>
      </c>
      <c r="B26" s="11">
        <f>September!B26-August!B26</f>
        <v>22</v>
      </c>
      <c r="C26" s="11">
        <f>September!C26-August!C26</f>
        <v>-12</v>
      </c>
      <c r="D26" s="11">
        <f>September!D26-August!D26</f>
        <v>8</v>
      </c>
      <c r="E26" s="11">
        <f>September!E26-August!E26</f>
        <v>16</v>
      </c>
      <c r="F26" s="10">
        <f t="shared" si="0"/>
        <v>34</v>
      </c>
    </row>
    <row r="27" spans="1:6" x14ac:dyDescent="0.25">
      <c r="A27" s="1" t="s">
        <v>24</v>
      </c>
      <c r="B27" s="11">
        <f>September!B27-August!B27</f>
        <v>0</v>
      </c>
      <c r="C27" s="11">
        <f>September!C27-August!C27</f>
        <v>-22</v>
      </c>
      <c r="D27" s="11">
        <f>September!D27-August!D27</f>
        <v>0</v>
      </c>
      <c r="E27" s="11">
        <f>September!E27-August!E27</f>
        <v>-8</v>
      </c>
      <c r="F27" s="10">
        <f t="shared" si="0"/>
        <v>-30</v>
      </c>
    </row>
    <row r="28" spans="1:6" x14ac:dyDescent="0.25">
      <c r="A28" s="1" t="s">
        <v>25</v>
      </c>
      <c r="B28" s="11">
        <f>September!B28-August!B28</f>
        <v>-5</v>
      </c>
      <c r="C28" s="11">
        <f>September!C28-August!C28</f>
        <v>-31</v>
      </c>
      <c r="D28" s="11">
        <f>September!D28-August!D28</f>
        <v>2</v>
      </c>
      <c r="E28" s="11">
        <f>September!E28-August!E28</f>
        <v>2</v>
      </c>
      <c r="F28" s="10">
        <f t="shared" si="0"/>
        <v>-32</v>
      </c>
    </row>
    <row r="29" spans="1:6" x14ac:dyDescent="0.25">
      <c r="A29" s="1" t="s">
        <v>26</v>
      </c>
      <c r="B29" s="11">
        <f>September!B29-August!B29</f>
        <v>21</v>
      </c>
      <c r="C29" s="11">
        <f>September!C29-August!C29</f>
        <v>5</v>
      </c>
      <c r="D29" s="11">
        <f>September!D29-August!D29</f>
        <v>5</v>
      </c>
      <c r="E29" s="11">
        <f>September!E29-August!E29</f>
        <v>17</v>
      </c>
      <c r="F29" s="10">
        <f t="shared" si="0"/>
        <v>48</v>
      </c>
    </row>
    <row r="30" spans="1:6" x14ac:dyDescent="0.25">
      <c r="A30" s="1" t="s">
        <v>27</v>
      </c>
      <c r="B30" s="11">
        <f>September!B30-August!B30</f>
        <v>211</v>
      </c>
      <c r="C30" s="11">
        <f>September!C30-August!C30</f>
        <v>67</v>
      </c>
      <c r="D30" s="11">
        <f>September!D30-August!D30</f>
        <v>49</v>
      </c>
      <c r="E30" s="11">
        <f>September!E30-August!E30</f>
        <v>187</v>
      </c>
      <c r="F30" s="10">
        <f t="shared" si="0"/>
        <v>514</v>
      </c>
    </row>
    <row r="31" spans="1:6" x14ac:dyDescent="0.25">
      <c r="A31" s="1" t="s">
        <v>28</v>
      </c>
      <c r="B31" s="11">
        <f>September!B31-August!B31</f>
        <v>21</v>
      </c>
      <c r="C31" s="11">
        <f>September!C31-August!C31</f>
        <v>20</v>
      </c>
      <c r="D31" s="11">
        <f>September!D31-August!D31</f>
        <v>15</v>
      </c>
      <c r="E31" s="11">
        <f>September!E31-August!E31</f>
        <v>91</v>
      </c>
      <c r="F31" s="10">
        <f t="shared" si="0"/>
        <v>147</v>
      </c>
    </row>
    <row r="32" spans="1:6" x14ac:dyDescent="0.25">
      <c r="A32" s="1" t="s">
        <v>29</v>
      </c>
      <c r="B32" s="11">
        <f>September!B32-August!B32</f>
        <v>-1657</v>
      </c>
      <c r="C32" s="11">
        <f>September!C32-August!C32</f>
        <v>-3046</v>
      </c>
      <c r="D32" s="11">
        <f>September!D32-August!D32</f>
        <v>189</v>
      </c>
      <c r="E32" s="11">
        <f>September!E32-August!E32</f>
        <v>-2720</v>
      </c>
      <c r="F32" s="10">
        <f t="shared" si="0"/>
        <v>-7234</v>
      </c>
    </row>
    <row r="33" spans="1:6" x14ac:dyDescent="0.25">
      <c r="A33" s="1" t="s">
        <v>30</v>
      </c>
      <c r="B33" s="11">
        <f>September!B33-August!B33</f>
        <v>20</v>
      </c>
      <c r="C33" s="11">
        <f>September!C33-August!C33</f>
        <v>-9</v>
      </c>
      <c r="D33" s="11">
        <f>September!D33-August!D33</f>
        <v>1</v>
      </c>
      <c r="E33" s="11">
        <f>September!E33-August!E33</f>
        <v>11</v>
      </c>
      <c r="F33" s="10">
        <f t="shared" si="0"/>
        <v>23</v>
      </c>
    </row>
    <row r="34" spans="1:6" x14ac:dyDescent="0.25">
      <c r="A34" s="1" t="s">
        <v>31</v>
      </c>
      <c r="B34" s="11">
        <f>September!B34-August!B34</f>
        <v>56</v>
      </c>
      <c r="C34" s="11">
        <f>September!C34-August!C34</f>
        <v>57</v>
      </c>
      <c r="D34" s="11">
        <f>September!D34-August!D34</f>
        <v>43</v>
      </c>
      <c r="E34" s="11">
        <f>September!E34-August!E34</f>
        <v>132</v>
      </c>
      <c r="F34" s="10">
        <f t="shared" si="0"/>
        <v>288</v>
      </c>
    </row>
    <row r="35" spans="1:6" x14ac:dyDescent="0.25">
      <c r="A35" s="1" t="s">
        <v>32</v>
      </c>
      <c r="B35" s="11">
        <f>September!B35-August!B35</f>
        <v>-37</v>
      </c>
      <c r="C35" s="11">
        <f>September!C35-August!C35</f>
        <v>-82</v>
      </c>
      <c r="D35" s="11">
        <f>September!D35-August!D35</f>
        <v>2</v>
      </c>
      <c r="E35" s="11">
        <f>September!E35-August!E35</f>
        <v>-19</v>
      </c>
      <c r="F35" s="10">
        <f t="shared" si="0"/>
        <v>-136</v>
      </c>
    </row>
    <row r="36" spans="1:6" x14ac:dyDescent="0.25">
      <c r="A36" s="1" t="s">
        <v>33</v>
      </c>
      <c r="B36" s="11">
        <f>September!B36-August!B36</f>
        <v>14</v>
      </c>
      <c r="C36" s="11">
        <f>September!C36-August!C36</f>
        <v>-7</v>
      </c>
      <c r="D36" s="11">
        <f>September!D36-August!D36</f>
        <v>2</v>
      </c>
      <c r="E36" s="11">
        <f>September!E36-August!E36</f>
        <v>8</v>
      </c>
      <c r="F36" s="10">
        <f t="shared" si="0"/>
        <v>17</v>
      </c>
    </row>
    <row r="37" spans="1:6" x14ac:dyDescent="0.25">
      <c r="A37" s="1" t="s">
        <v>34</v>
      </c>
      <c r="B37" s="11">
        <f>September!B37-August!B37</f>
        <v>0</v>
      </c>
      <c r="C37" s="11">
        <f>September!C37-August!C37</f>
        <v>-14</v>
      </c>
      <c r="D37" s="11">
        <f>September!D37-August!D37</f>
        <v>1</v>
      </c>
      <c r="E37" s="11">
        <f>September!E37-August!E37</f>
        <v>3</v>
      </c>
      <c r="F37" s="10">
        <f t="shared" si="0"/>
        <v>-10</v>
      </c>
    </row>
    <row r="38" spans="1:6" x14ac:dyDescent="0.25">
      <c r="A38" s="1" t="s">
        <v>35</v>
      </c>
      <c r="B38" s="11">
        <f>September!B38-August!B38</f>
        <v>240</v>
      </c>
      <c r="C38" s="11">
        <f>September!C38-August!C38</f>
        <v>173</v>
      </c>
      <c r="D38" s="11">
        <f>September!D38-August!D38</f>
        <v>42</v>
      </c>
      <c r="E38" s="11">
        <f>September!E38-August!E38</f>
        <v>401</v>
      </c>
      <c r="F38" s="10">
        <f t="shared" si="0"/>
        <v>856</v>
      </c>
    </row>
    <row r="39" spans="1:6" x14ac:dyDescent="0.25">
      <c r="A39" s="1" t="s">
        <v>36</v>
      </c>
      <c r="B39" s="11">
        <f>September!B39-August!B39</f>
        <v>-956</v>
      </c>
      <c r="C39" s="11">
        <f>September!C39-August!C39</f>
        <v>-670</v>
      </c>
      <c r="D39" s="11">
        <f>September!D39-August!D39</f>
        <v>79</v>
      </c>
      <c r="E39" s="11">
        <f>September!E39-August!E39</f>
        <v>-236</v>
      </c>
      <c r="F39" s="10">
        <f t="shared" si="0"/>
        <v>-1783</v>
      </c>
    </row>
    <row r="40" spans="1:6" x14ac:dyDescent="0.25">
      <c r="A40" s="1" t="s">
        <v>37</v>
      </c>
      <c r="B40" s="11">
        <f>September!B40-August!B40</f>
        <v>47</v>
      </c>
      <c r="C40" s="11">
        <f>September!C40-August!C40</f>
        <v>-43</v>
      </c>
      <c r="D40" s="11">
        <f>September!D40-August!D40</f>
        <v>62</v>
      </c>
      <c r="E40" s="11">
        <f>September!E40-August!E40</f>
        <v>131</v>
      </c>
      <c r="F40" s="10">
        <f t="shared" si="0"/>
        <v>197</v>
      </c>
    </row>
    <row r="41" spans="1:6" x14ac:dyDescent="0.25">
      <c r="A41" s="1" t="s">
        <v>38</v>
      </c>
      <c r="B41" s="11">
        <f>September!B41-August!B41</f>
        <v>16</v>
      </c>
      <c r="C41" s="11">
        <f>September!C41-August!C41</f>
        <v>3</v>
      </c>
      <c r="D41" s="11">
        <f>September!D41-August!D41</f>
        <v>2</v>
      </c>
      <c r="E41" s="11">
        <f>September!E41-August!E41</f>
        <v>17</v>
      </c>
      <c r="F41" s="10">
        <f t="shared" si="0"/>
        <v>38</v>
      </c>
    </row>
    <row r="42" spans="1:6" x14ac:dyDescent="0.25">
      <c r="A42" s="1" t="s">
        <v>39</v>
      </c>
      <c r="B42" s="11">
        <f>September!B42-August!B42</f>
        <v>23</v>
      </c>
      <c r="C42" s="11">
        <f>September!C42-August!C42</f>
        <v>-15</v>
      </c>
      <c r="D42" s="11">
        <f>September!D42-August!D42</f>
        <v>-1</v>
      </c>
      <c r="E42" s="11">
        <f>September!E42-August!E42</f>
        <v>-1</v>
      </c>
      <c r="F42" s="10">
        <f t="shared" si="0"/>
        <v>6</v>
      </c>
    </row>
    <row r="43" spans="1:6" x14ac:dyDescent="0.25">
      <c r="A43" s="1" t="s">
        <v>40</v>
      </c>
      <c r="B43" s="11">
        <f>September!B43-August!B43</f>
        <v>11</v>
      </c>
      <c r="C43" s="11">
        <f>September!C43-August!C43</f>
        <v>-14</v>
      </c>
      <c r="D43" s="11">
        <f>September!D43-August!D43</f>
        <v>1</v>
      </c>
      <c r="E43" s="11">
        <f>September!E43-August!E43</f>
        <v>5</v>
      </c>
      <c r="F43" s="10">
        <f t="shared" si="0"/>
        <v>3</v>
      </c>
    </row>
    <row r="44" spans="1:6" x14ac:dyDescent="0.25">
      <c r="A44" s="1" t="s">
        <v>41</v>
      </c>
      <c r="B44" s="11">
        <f>September!B44-August!B44</f>
        <v>399</v>
      </c>
      <c r="C44" s="11">
        <f>September!C44-August!C44</f>
        <v>224</v>
      </c>
      <c r="D44" s="11">
        <f>September!D44-August!D44</f>
        <v>83</v>
      </c>
      <c r="E44" s="11">
        <f>September!E44-August!E44</f>
        <v>393</v>
      </c>
      <c r="F44" s="10">
        <f t="shared" si="0"/>
        <v>1099</v>
      </c>
    </row>
    <row r="45" spans="1:6" x14ac:dyDescent="0.25">
      <c r="A45" s="1" t="s">
        <v>42</v>
      </c>
      <c r="B45" s="11">
        <f>September!B45-August!B45</f>
        <v>154</v>
      </c>
      <c r="C45" s="11">
        <f>September!C45-August!C45</f>
        <v>-35</v>
      </c>
      <c r="D45" s="11">
        <f>September!D45-August!D45</f>
        <v>39</v>
      </c>
      <c r="E45" s="11">
        <f>September!E45-August!E45</f>
        <v>187</v>
      </c>
      <c r="F45" s="10">
        <f t="shared" si="0"/>
        <v>345</v>
      </c>
    </row>
    <row r="46" spans="1:6" x14ac:dyDescent="0.25">
      <c r="A46" s="1" t="s">
        <v>43</v>
      </c>
      <c r="B46" s="11">
        <f>September!B46-August!B46</f>
        <v>134</v>
      </c>
      <c r="C46" s="11">
        <f>September!C46-August!C46</f>
        <v>152</v>
      </c>
      <c r="D46" s="11">
        <f>September!D46-August!D46</f>
        <v>60</v>
      </c>
      <c r="E46" s="11">
        <f>September!E46-August!E46</f>
        <v>296</v>
      </c>
      <c r="F46" s="10">
        <f t="shared" si="0"/>
        <v>642</v>
      </c>
    </row>
    <row r="47" spans="1:6" x14ac:dyDescent="0.25">
      <c r="A47" s="1" t="s">
        <v>44</v>
      </c>
      <c r="B47" s="11">
        <f>September!B47-August!B47</f>
        <v>-2250</v>
      </c>
      <c r="C47" s="11">
        <f>September!C47-August!C47</f>
        <v>-4598</v>
      </c>
      <c r="D47" s="11">
        <f>September!D47-August!D47</f>
        <v>187</v>
      </c>
      <c r="E47" s="11">
        <f>September!E47-August!E47</f>
        <v>-2388</v>
      </c>
      <c r="F47" s="10">
        <f t="shared" si="0"/>
        <v>-9049</v>
      </c>
    </row>
    <row r="48" spans="1:6" x14ac:dyDescent="0.25">
      <c r="A48" s="1" t="s">
        <v>45</v>
      </c>
      <c r="B48" s="11">
        <f>September!B48-August!B48</f>
        <v>-22</v>
      </c>
      <c r="C48" s="11">
        <f>September!C48-August!C48</f>
        <v>-25</v>
      </c>
      <c r="D48" s="11">
        <f>September!D48-August!D48</f>
        <v>25</v>
      </c>
      <c r="E48" s="11">
        <f>September!E48-August!E48</f>
        <v>50</v>
      </c>
      <c r="F48" s="10">
        <f t="shared" si="0"/>
        <v>28</v>
      </c>
    </row>
    <row r="49" spans="1:6" x14ac:dyDescent="0.25">
      <c r="A49" s="1" t="s">
        <v>46</v>
      </c>
      <c r="B49" s="11">
        <f>September!B49-August!B49</f>
        <v>135</v>
      </c>
      <c r="C49" s="11">
        <f>September!C49-August!C49</f>
        <v>6</v>
      </c>
      <c r="D49" s="11">
        <f>September!D49-August!D49</f>
        <v>12</v>
      </c>
      <c r="E49" s="11">
        <f>September!E49-August!E49</f>
        <v>92</v>
      </c>
      <c r="F49" s="10">
        <f t="shared" si="0"/>
        <v>245</v>
      </c>
    </row>
    <row r="50" spans="1:6" x14ac:dyDescent="0.25">
      <c r="A50" s="1" t="s">
        <v>47</v>
      </c>
      <c r="B50" s="11">
        <f>September!B50-August!B50</f>
        <v>166</v>
      </c>
      <c r="C50" s="11">
        <f>September!C50-August!C50</f>
        <v>89</v>
      </c>
      <c r="D50" s="11">
        <f>September!D50-August!D50</f>
        <v>59</v>
      </c>
      <c r="E50" s="11">
        <f>September!E50-August!E50</f>
        <v>188</v>
      </c>
      <c r="F50" s="10">
        <f t="shared" si="0"/>
        <v>502</v>
      </c>
    </row>
    <row r="51" spans="1:6" x14ac:dyDescent="0.25">
      <c r="A51" s="1" t="s">
        <v>48</v>
      </c>
      <c r="B51" s="11">
        <f>September!B51-August!B51</f>
        <v>43</v>
      </c>
      <c r="C51" s="11">
        <f>September!C51-August!C51</f>
        <v>-1</v>
      </c>
      <c r="D51" s="11">
        <f>September!D51-August!D51</f>
        <v>3</v>
      </c>
      <c r="E51" s="11">
        <f>September!E51-August!E51</f>
        <v>24</v>
      </c>
      <c r="F51" s="10">
        <f t="shared" si="0"/>
        <v>69</v>
      </c>
    </row>
    <row r="52" spans="1:6" x14ac:dyDescent="0.25">
      <c r="A52" s="1" t="s">
        <v>49</v>
      </c>
      <c r="B52" s="11">
        <f>September!B52-August!B52</f>
        <v>46</v>
      </c>
      <c r="C52" s="11">
        <f>September!C52-August!C52</f>
        <v>297</v>
      </c>
      <c r="D52" s="11">
        <f>September!D52-August!D52</f>
        <v>211</v>
      </c>
      <c r="E52" s="11">
        <f>September!E52-August!E52</f>
        <v>963</v>
      </c>
      <c r="F52" s="10">
        <f t="shared" si="0"/>
        <v>1517</v>
      </c>
    </row>
    <row r="53" spans="1:6" x14ac:dyDescent="0.25">
      <c r="A53" s="1" t="s">
        <v>50</v>
      </c>
      <c r="B53" s="11">
        <f>September!B53-August!B53</f>
        <v>-154</v>
      </c>
      <c r="C53" s="11">
        <f>September!C53-August!C53</f>
        <v>-63</v>
      </c>
      <c r="D53" s="11">
        <f>September!D53-August!D53</f>
        <v>27</v>
      </c>
      <c r="E53" s="11">
        <f>September!E53-August!E53</f>
        <v>217</v>
      </c>
      <c r="F53" s="10">
        <f t="shared" si="0"/>
        <v>27</v>
      </c>
    </row>
    <row r="54" spans="1:6" x14ac:dyDescent="0.25">
      <c r="A54" s="1" t="s">
        <v>51</v>
      </c>
      <c r="B54" s="11">
        <f>September!B54-August!B54</f>
        <v>-2030</v>
      </c>
      <c r="C54" s="11">
        <f>September!C54-August!C54</f>
        <v>-3261</v>
      </c>
      <c r="D54" s="11">
        <f>September!D54-August!D54</f>
        <v>309</v>
      </c>
      <c r="E54" s="11">
        <f>September!E54-August!E54</f>
        <v>-2096</v>
      </c>
      <c r="F54" s="10">
        <f t="shared" si="0"/>
        <v>-7078</v>
      </c>
    </row>
    <row r="55" spans="1:6" x14ac:dyDescent="0.25">
      <c r="A55" s="1" t="s">
        <v>52</v>
      </c>
      <c r="B55" s="11">
        <f>September!B55-August!B55</f>
        <v>13</v>
      </c>
      <c r="C55" s="11">
        <f>September!C55-August!C55</f>
        <v>-52</v>
      </c>
      <c r="D55" s="11">
        <f>September!D55-August!D55</f>
        <v>111</v>
      </c>
      <c r="E55" s="11">
        <f>September!E55-August!E55</f>
        <v>219</v>
      </c>
      <c r="F55" s="10">
        <f t="shared" si="0"/>
        <v>291</v>
      </c>
    </row>
    <row r="56" spans="1:6" x14ac:dyDescent="0.25">
      <c r="A56" s="1" t="s">
        <v>53</v>
      </c>
      <c r="B56" s="11">
        <f>September!B56-August!B56</f>
        <v>-141</v>
      </c>
      <c r="C56" s="11">
        <f>September!C56-August!C56</f>
        <v>-262</v>
      </c>
      <c r="D56" s="11">
        <f>September!D56-August!D56</f>
        <v>165</v>
      </c>
      <c r="E56" s="11">
        <f>September!E56-August!E56</f>
        <v>439</v>
      </c>
      <c r="F56" s="10">
        <f t="shared" si="0"/>
        <v>201</v>
      </c>
    </row>
    <row r="57" spans="1:6" x14ac:dyDescent="0.25">
      <c r="A57" s="1" t="s">
        <v>54</v>
      </c>
      <c r="B57" s="11">
        <f>September!B57-August!B57</f>
        <v>473</v>
      </c>
      <c r="C57" s="11">
        <f>September!C57-August!C57</f>
        <v>332</v>
      </c>
      <c r="D57" s="11">
        <f>September!D57-August!D57</f>
        <v>111</v>
      </c>
      <c r="E57" s="11">
        <f>September!E57-August!E57</f>
        <v>839</v>
      </c>
      <c r="F57" s="10">
        <f t="shared" si="0"/>
        <v>1755</v>
      </c>
    </row>
    <row r="58" spans="1:6" x14ac:dyDescent="0.25">
      <c r="A58" s="1" t="s">
        <v>55</v>
      </c>
      <c r="B58" s="11">
        <f>September!B58-August!B58</f>
        <v>-125</v>
      </c>
      <c r="C58" s="11">
        <f>September!C58-August!C58</f>
        <v>-264</v>
      </c>
      <c r="D58" s="11">
        <f>September!D58-August!D58</f>
        <v>5</v>
      </c>
      <c r="E58" s="11">
        <f>September!E58-August!E58</f>
        <v>-152</v>
      </c>
      <c r="F58" s="10">
        <f t="shared" si="0"/>
        <v>-536</v>
      </c>
    </row>
    <row r="59" spans="1:6" x14ac:dyDescent="0.25">
      <c r="A59" s="1" t="s">
        <v>56</v>
      </c>
      <c r="B59" s="11">
        <f>September!B59-August!B59</f>
        <v>403</v>
      </c>
      <c r="C59" s="11">
        <f>September!C59-August!C59</f>
        <v>112</v>
      </c>
      <c r="D59" s="11">
        <f>September!D59-August!D59</f>
        <v>38</v>
      </c>
      <c r="E59" s="11">
        <f>September!E59-August!E59</f>
        <v>269</v>
      </c>
      <c r="F59" s="10">
        <f t="shared" si="0"/>
        <v>822</v>
      </c>
    </row>
    <row r="60" spans="1:6" x14ac:dyDescent="0.25">
      <c r="A60" s="1" t="s">
        <v>57</v>
      </c>
      <c r="B60" s="11">
        <f>September!B60-August!B60</f>
        <v>-276</v>
      </c>
      <c r="C60" s="11">
        <f>September!C60-August!C60</f>
        <v>-154</v>
      </c>
      <c r="D60" s="11">
        <f>September!D60-August!D60</f>
        <v>93</v>
      </c>
      <c r="E60" s="11">
        <f>September!E60-August!E60</f>
        <v>-70</v>
      </c>
      <c r="F60" s="10">
        <f t="shared" si="0"/>
        <v>-407</v>
      </c>
    </row>
    <row r="61" spans="1:6" x14ac:dyDescent="0.25">
      <c r="A61" s="1" t="s">
        <v>58</v>
      </c>
      <c r="B61" s="11">
        <f>September!B61-August!B61</f>
        <v>-50</v>
      </c>
      <c r="C61" s="11">
        <f>September!C61-August!C61</f>
        <v>148</v>
      </c>
      <c r="D61" s="11">
        <f>September!D61-August!D61</f>
        <v>70</v>
      </c>
      <c r="E61" s="11">
        <f>September!E61-August!E61</f>
        <v>320</v>
      </c>
      <c r="F61" s="10">
        <f t="shared" si="0"/>
        <v>488</v>
      </c>
    </row>
    <row r="62" spans="1:6" x14ac:dyDescent="0.25">
      <c r="A62" s="1" t="s">
        <v>59</v>
      </c>
      <c r="B62" s="11">
        <f>September!B62-August!B62</f>
        <v>-409</v>
      </c>
      <c r="C62" s="11">
        <f>September!C62-August!C62</f>
        <v>-139</v>
      </c>
      <c r="D62" s="11">
        <f>September!D62-August!D62</f>
        <v>62</v>
      </c>
      <c r="E62" s="11">
        <f>September!E62-August!E62</f>
        <v>-58</v>
      </c>
      <c r="F62" s="10">
        <f t="shared" si="0"/>
        <v>-544</v>
      </c>
    </row>
    <row r="63" spans="1:6" x14ac:dyDescent="0.25">
      <c r="A63" s="1" t="s">
        <v>60</v>
      </c>
      <c r="B63" s="11">
        <f>September!B63-August!B63</f>
        <v>296</v>
      </c>
      <c r="C63" s="11">
        <f>September!C63-August!C63</f>
        <v>419</v>
      </c>
      <c r="D63" s="11">
        <f>September!D63-August!D63</f>
        <v>58</v>
      </c>
      <c r="E63" s="11">
        <f>September!E63-August!E63</f>
        <v>589</v>
      </c>
      <c r="F63" s="10">
        <f t="shared" si="0"/>
        <v>1362</v>
      </c>
    </row>
    <row r="64" spans="1:6" x14ac:dyDescent="0.25">
      <c r="A64" s="1" t="s">
        <v>61</v>
      </c>
      <c r="B64" s="11">
        <f>September!B64-August!B64</f>
        <v>144</v>
      </c>
      <c r="C64" s="11">
        <f>September!C64-August!C64</f>
        <v>61</v>
      </c>
      <c r="D64" s="11">
        <f>September!D64-August!D64</f>
        <v>12</v>
      </c>
      <c r="E64" s="11">
        <f>September!E64-August!E64</f>
        <v>57</v>
      </c>
      <c r="F64" s="10">
        <f t="shared" si="0"/>
        <v>274</v>
      </c>
    </row>
    <row r="65" spans="1:6" x14ac:dyDescent="0.25">
      <c r="A65" s="1" t="s">
        <v>62</v>
      </c>
      <c r="B65" s="11">
        <f>September!B65-August!B65</f>
        <v>17</v>
      </c>
      <c r="C65" s="11">
        <f>September!C65-August!C65</f>
        <v>-20</v>
      </c>
      <c r="D65" s="11">
        <f>September!D65-August!D65</f>
        <v>3</v>
      </c>
      <c r="E65" s="11">
        <f>September!E65-August!E65</f>
        <v>20</v>
      </c>
      <c r="F65" s="10">
        <f t="shared" si="0"/>
        <v>20</v>
      </c>
    </row>
    <row r="66" spans="1:6" x14ac:dyDescent="0.25">
      <c r="A66" s="1" t="s">
        <v>63</v>
      </c>
      <c r="B66" s="11">
        <f>September!B66-August!B66</f>
        <v>18</v>
      </c>
      <c r="C66" s="11">
        <f>September!C66-August!C66</f>
        <v>-11</v>
      </c>
      <c r="D66" s="11">
        <f>September!D66-August!D66</f>
        <v>0</v>
      </c>
      <c r="E66" s="11">
        <f>September!E66-August!E66</f>
        <v>9</v>
      </c>
      <c r="F66" s="10">
        <f t="shared" si="0"/>
        <v>16</v>
      </c>
    </row>
    <row r="67" spans="1:6" x14ac:dyDescent="0.25">
      <c r="A67" s="1" t="s">
        <v>64</v>
      </c>
      <c r="B67" s="11">
        <f>September!B67-August!B67</f>
        <v>3</v>
      </c>
      <c r="C67" s="11">
        <f>September!C67-August!C67</f>
        <v>-11</v>
      </c>
      <c r="D67" s="11">
        <f>September!D67-August!D67</f>
        <v>0</v>
      </c>
      <c r="E67" s="11">
        <f>September!E67-August!E67</f>
        <v>6</v>
      </c>
      <c r="F67" s="10">
        <f t="shared" si="0"/>
        <v>-2</v>
      </c>
    </row>
    <row r="68" spans="1:6" x14ac:dyDescent="0.25">
      <c r="A68" s="1" t="s">
        <v>65</v>
      </c>
      <c r="B68" s="11">
        <f>September!B68-August!B68</f>
        <v>-1228</v>
      </c>
      <c r="C68" s="11">
        <f>September!C68-August!C68</f>
        <v>-2703</v>
      </c>
      <c r="D68" s="11">
        <f>September!D68-August!D68</f>
        <v>76</v>
      </c>
      <c r="E68" s="11">
        <f>September!E68-August!E68</f>
        <v>-2165</v>
      </c>
      <c r="F68" s="10">
        <f t="shared" si="0"/>
        <v>-6020</v>
      </c>
    </row>
    <row r="69" spans="1:6" x14ac:dyDescent="0.25">
      <c r="A69" s="1" t="s">
        <v>66</v>
      </c>
      <c r="B69" s="11">
        <f>September!B69-August!B69</f>
        <v>24</v>
      </c>
      <c r="C69" s="11">
        <f>September!C69-August!C69</f>
        <v>-25</v>
      </c>
      <c r="D69" s="11">
        <f>September!D69-August!D69</f>
        <v>5</v>
      </c>
      <c r="E69" s="11">
        <f>September!E69-August!E69</f>
        <v>16</v>
      </c>
      <c r="F69" s="10">
        <f t="shared" si="0"/>
        <v>20</v>
      </c>
    </row>
    <row r="70" spans="1:6" x14ac:dyDescent="0.25">
      <c r="A70" s="1" t="s">
        <v>67</v>
      </c>
      <c r="B70" s="11">
        <f>September!B70-August!B70</f>
        <v>-46</v>
      </c>
      <c r="C70" s="11">
        <f>September!C70-August!C70</f>
        <v>-73</v>
      </c>
      <c r="D70" s="11">
        <f>September!D70-August!D70</f>
        <v>18</v>
      </c>
      <c r="E70" s="11">
        <f>September!E70-August!E70</f>
        <v>-42</v>
      </c>
      <c r="F70" s="10">
        <f t="shared" ref="F70:F71" si="1">SUM(B70:E70)</f>
        <v>-143</v>
      </c>
    </row>
    <row r="71" spans="1:6" ht="15.75" thickBot="1" x14ac:dyDescent="0.3">
      <c r="A71" s="1" t="s">
        <v>68</v>
      </c>
      <c r="B71" s="11">
        <f>September!B71-August!B71</f>
        <v>29</v>
      </c>
      <c r="C71" s="11">
        <f>September!C71-August!C71</f>
        <v>-20</v>
      </c>
      <c r="D71" s="11">
        <f>September!D71-August!D71</f>
        <v>1</v>
      </c>
      <c r="E71" s="11">
        <f>September!E71-August!E71</f>
        <v>13</v>
      </c>
      <c r="F71" s="10">
        <f t="shared" si="1"/>
        <v>23</v>
      </c>
    </row>
    <row r="72" spans="1:6" ht="16.5" thickTop="1" thickBot="1" x14ac:dyDescent="0.3">
      <c r="A72" s="3" t="s">
        <v>1</v>
      </c>
      <c r="B72" s="8">
        <f>SUM(B5:B71)</f>
        <v>-7899</v>
      </c>
      <c r="C72" s="8">
        <f>SUM(C5:C71)</f>
        <v>-17192</v>
      </c>
      <c r="D72" s="8">
        <f>SUM(D5:D71)</f>
        <v>3246</v>
      </c>
      <c r="E72" s="8">
        <f>SUM(E5:E71)</f>
        <v>-3017</v>
      </c>
      <c r="F72" s="8">
        <f>SUM(F5:F71)</f>
        <v>-24862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108</v>
      </c>
      <c r="B1" s="17"/>
      <c r="C1" s="17"/>
      <c r="D1" s="17"/>
      <c r="E1" s="17"/>
      <c r="F1" s="18"/>
    </row>
    <row r="2" spans="1:6" x14ac:dyDescent="0.25">
      <c r="A2" s="13" t="s">
        <v>116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October!B5-September!B5</f>
        <v>92</v>
      </c>
      <c r="C5" s="11">
        <f>October!C5-September!C5</f>
        <v>215</v>
      </c>
      <c r="D5" s="11">
        <f>October!D5-September!D5</f>
        <v>14</v>
      </c>
      <c r="E5" s="11">
        <f>October!E5-September!E5</f>
        <v>224</v>
      </c>
      <c r="F5" s="10">
        <f>SUM(B5:E5)</f>
        <v>545</v>
      </c>
    </row>
    <row r="6" spans="1:6" x14ac:dyDescent="0.25">
      <c r="A6" s="1" t="s">
        <v>3</v>
      </c>
      <c r="B6" s="11">
        <f>October!B6-September!B6</f>
        <v>5</v>
      </c>
      <c r="C6" s="11">
        <f>October!C6-September!C6</f>
        <v>3</v>
      </c>
      <c r="D6" s="11">
        <f>October!D6-September!D6</f>
        <v>2</v>
      </c>
      <c r="E6" s="11">
        <f>October!E6-September!E6</f>
        <v>7</v>
      </c>
      <c r="F6" s="10">
        <f t="shared" ref="F6:F69" si="0">SUM(B6:E6)</f>
        <v>17</v>
      </c>
    </row>
    <row r="7" spans="1:6" x14ac:dyDescent="0.25">
      <c r="A7" s="1" t="s">
        <v>4</v>
      </c>
      <c r="B7" s="11">
        <f>October!B7-September!B7</f>
        <v>153</v>
      </c>
      <c r="C7" s="11">
        <f>October!C7-September!C7</f>
        <v>41</v>
      </c>
      <c r="D7" s="11">
        <f>October!D7-September!D7</f>
        <v>18</v>
      </c>
      <c r="E7" s="11">
        <f>October!E7-September!E7</f>
        <v>104</v>
      </c>
      <c r="F7" s="10">
        <f t="shared" si="0"/>
        <v>316</v>
      </c>
    </row>
    <row r="8" spans="1:6" x14ac:dyDescent="0.25">
      <c r="A8" s="1" t="s">
        <v>5</v>
      </c>
      <c r="B8" s="11">
        <f>October!B8-September!B8</f>
        <v>14</v>
      </c>
      <c r="C8" s="11">
        <f>October!C8-September!C8</f>
        <v>2</v>
      </c>
      <c r="D8" s="11">
        <f>October!D8-September!D8</f>
        <v>1</v>
      </c>
      <c r="E8" s="11">
        <f>October!E8-September!E8</f>
        <v>13</v>
      </c>
      <c r="F8" s="10">
        <f t="shared" si="0"/>
        <v>30</v>
      </c>
    </row>
    <row r="9" spans="1:6" x14ac:dyDescent="0.25">
      <c r="A9" s="1" t="s">
        <v>6</v>
      </c>
      <c r="B9" s="11">
        <f>October!B9-September!B9</f>
        <v>196</v>
      </c>
      <c r="C9" s="11">
        <f>October!C9-September!C9</f>
        <v>62</v>
      </c>
      <c r="D9" s="11">
        <f>October!D9-September!D9</f>
        <v>121</v>
      </c>
      <c r="E9" s="11">
        <f>October!E9-September!E9</f>
        <v>395</v>
      </c>
      <c r="F9" s="10">
        <f t="shared" si="0"/>
        <v>774</v>
      </c>
    </row>
    <row r="10" spans="1:6" x14ac:dyDescent="0.25">
      <c r="A10" s="1" t="s">
        <v>7</v>
      </c>
      <c r="B10" s="11">
        <f>October!B10-September!B10</f>
        <v>160</v>
      </c>
      <c r="C10" s="11">
        <f>October!C10-September!C10</f>
        <v>661</v>
      </c>
      <c r="D10" s="11">
        <f>October!D10-September!D10</f>
        <v>251</v>
      </c>
      <c r="E10" s="11">
        <f>October!E10-September!E10</f>
        <v>1382</v>
      </c>
      <c r="F10" s="10">
        <f t="shared" si="0"/>
        <v>2454</v>
      </c>
    </row>
    <row r="11" spans="1:6" x14ac:dyDescent="0.25">
      <c r="A11" s="1" t="s">
        <v>8</v>
      </c>
      <c r="B11" s="11">
        <f>October!B11-September!B11</f>
        <v>10</v>
      </c>
      <c r="C11" s="11">
        <f>October!C11-September!C11</f>
        <v>-1</v>
      </c>
      <c r="D11" s="11">
        <f>October!D11-September!D11</f>
        <v>1</v>
      </c>
      <c r="E11" s="11">
        <f>October!E11-September!E11</f>
        <v>9</v>
      </c>
      <c r="F11" s="10">
        <f t="shared" si="0"/>
        <v>19</v>
      </c>
    </row>
    <row r="12" spans="1:6" x14ac:dyDescent="0.25">
      <c r="A12" s="1" t="s">
        <v>9</v>
      </c>
      <c r="B12" s="11">
        <f>October!B12-September!B12</f>
        <v>275</v>
      </c>
      <c r="C12" s="11">
        <f>October!C12-September!C12</f>
        <v>135</v>
      </c>
      <c r="D12" s="11">
        <f>October!D12-September!D12</f>
        <v>46</v>
      </c>
      <c r="E12" s="11">
        <f>October!E12-September!E12</f>
        <v>218</v>
      </c>
      <c r="F12" s="10">
        <f t="shared" si="0"/>
        <v>674</v>
      </c>
    </row>
    <row r="13" spans="1:6" x14ac:dyDescent="0.25">
      <c r="A13" s="1" t="s">
        <v>10</v>
      </c>
      <c r="B13" s="11">
        <f>October!B13-September!B13</f>
        <v>176</v>
      </c>
      <c r="C13" s="11">
        <f>October!C13-September!C13</f>
        <v>30</v>
      </c>
      <c r="D13" s="11">
        <f>October!D13-September!D13</f>
        <v>24</v>
      </c>
      <c r="E13" s="11">
        <f>October!E13-September!E13</f>
        <v>131</v>
      </c>
      <c r="F13" s="10">
        <f t="shared" si="0"/>
        <v>361</v>
      </c>
    </row>
    <row r="14" spans="1:6" x14ac:dyDescent="0.25">
      <c r="A14" s="1" t="s">
        <v>11</v>
      </c>
      <c r="B14" s="11">
        <f>October!B14-September!B14</f>
        <v>109</v>
      </c>
      <c r="C14" s="11">
        <f>October!C14-September!C14</f>
        <v>94</v>
      </c>
      <c r="D14" s="11">
        <f>October!D14-September!D14</f>
        <v>34</v>
      </c>
      <c r="E14" s="11">
        <f>October!E14-September!E14</f>
        <v>195</v>
      </c>
      <c r="F14" s="10">
        <f t="shared" si="0"/>
        <v>432</v>
      </c>
    </row>
    <row r="15" spans="1:6" x14ac:dyDescent="0.25">
      <c r="A15" s="1" t="s">
        <v>12</v>
      </c>
      <c r="B15" s="11">
        <f>October!B15-September!B15</f>
        <v>228</v>
      </c>
      <c r="C15" s="11">
        <f>October!C15-September!C15</f>
        <v>118</v>
      </c>
      <c r="D15" s="11">
        <f>October!D15-September!D15</f>
        <v>45</v>
      </c>
      <c r="E15" s="11">
        <f>October!E15-September!E15</f>
        <v>290</v>
      </c>
      <c r="F15" s="10">
        <f t="shared" si="0"/>
        <v>681</v>
      </c>
    </row>
    <row r="16" spans="1:6" x14ac:dyDescent="0.25">
      <c r="A16" s="1" t="s">
        <v>13</v>
      </c>
      <c r="B16" s="11">
        <f>October!B16-September!B16</f>
        <v>54</v>
      </c>
      <c r="C16" s="11">
        <f>October!C16-September!C16</f>
        <v>1</v>
      </c>
      <c r="D16" s="11">
        <f>October!D16-September!D16</f>
        <v>7</v>
      </c>
      <c r="E16" s="11">
        <f>October!E16-September!E16</f>
        <v>43</v>
      </c>
      <c r="F16" s="10">
        <f t="shared" si="0"/>
        <v>105</v>
      </c>
    </row>
    <row r="17" spans="1:6" x14ac:dyDescent="0.25">
      <c r="A17" s="1" t="s">
        <v>14</v>
      </c>
      <c r="B17" s="11">
        <f>October!B17-September!B17</f>
        <v>11</v>
      </c>
      <c r="C17" s="11">
        <f>October!C17-September!C17</f>
        <v>-3</v>
      </c>
      <c r="D17" s="11">
        <f>October!D17-September!D17</f>
        <v>1</v>
      </c>
      <c r="E17" s="11">
        <f>October!E17-September!E17</f>
        <v>10</v>
      </c>
      <c r="F17" s="10">
        <f t="shared" si="0"/>
        <v>19</v>
      </c>
    </row>
    <row r="18" spans="1:6" x14ac:dyDescent="0.25">
      <c r="A18" s="1" t="s">
        <v>15</v>
      </c>
      <c r="B18" s="11">
        <f>October!B18-September!B18</f>
        <v>7</v>
      </c>
      <c r="C18" s="11">
        <f>October!C18-September!C18</f>
        <v>-17</v>
      </c>
      <c r="D18" s="11">
        <f>October!D18-September!D18</f>
        <v>0</v>
      </c>
      <c r="E18" s="11">
        <f>October!E18-September!E18</f>
        <v>-15</v>
      </c>
      <c r="F18" s="10">
        <f t="shared" si="0"/>
        <v>-25</v>
      </c>
    </row>
    <row r="19" spans="1:6" x14ac:dyDescent="0.25">
      <c r="A19" s="1" t="s">
        <v>16</v>
      </c>
      <c r="B19" s="11">
        <f>October!B19-September!B19</f>
        <v>23</v>
      </c>
      <c r="C19" s="11">
        <f>October!C19-September!C19</f>
        <v>330</v>
      </c>
      <c r="D19" s="11">
        <f>October!D19-September!D19</f>
        <v>134</v>
      </c>
      <c r="E19" s="11">
        <f>October!E19-September!E19</f>
        <v>561</v>
      </c>
      <c r="F19" s="10">
        <f t="shared" si="0"/>
        <v>1048</v>
      </c>
    </row>
    <row r="20" spans="1:6" x14ac:dyDescent="0.25">
      <c r="A20" s="1" t="s">
        <v>17</v>
      </c>
      <c r="B20" s="11">
        <f>October!B20-September!B20</f>
        <v>143</v>
      </c>
      <c r="C20" s="11">
        <f>October!C20-September!C20</f>
        <v>72</v>
      </c>
      <c r="D20" s="11">
        <f>October!D20-September!D20</f>
        <v>50</v>
      </c>
      <c r="E20" s="11">
        <f>October!E20-September!E20</f>
        <v>136</v>
      </c>
      <c r="F20" s="10">
        <f t="shared" si="0"/>
        <v>401</v>
      </c>
    </row>
    <row r="21" spans="1:6" x14ac:dyDescent="0.25">
      <c r="A21" s="1" t="s">
        <v>18</v>
      </c>
      <c r="B21" s="11">
        <f>October!B21-September!B21</f>
        <v>119</v>
      </c>
      <c r="C21" s="11">
        <f>October!C21-September!C21</f>
        <v>53</v>
      </c>
      <c r="D21" s="11">
        <f>October!D21-September!D21</f>
        <v>9</v>
      </c>
      <c r="E21" s="11">
        <f>October!E21-September!E21</f>
        <v>82</v>
      </c>
      <c r="F21" s="10">
        <f t="shared" si="0"/>
        <v>263</v>
      </c>
    </row>
    <row r="22" spans="1:6" x14ac:dyDescent="0.25">
      <c r="A22" s="1" t="s">
        <v>19</v>
      </c>
      <c r="B22" s="11">
        <f>October!B22-September!B22</f>
        <v>8</v>
      </c>
      <c r="C22" s="11">
        <f>October!C22-September!C22</f>
        <v>-7</v>
      </c>
      <c r="D22" s="11">
        <f>October!D22-September!D22</f>
        <v>4</v>
      </c>
      <c r="E22" s="11">
        <f>October!E22-September!E22</f>
        <v>7</v>
      </c>
      <c r="F22" s="10">
        <f t="shared" si="0"/>
        <v>12</v>
      </c>
    </row>
    <row r="23" spans="1:6" x14ac:dyDescent="0.25">
      <c r="A23" s="1" t="s">
        <v>20</v>
      </c>
      <c r="B23" s="11">
        <f>October!B23-September!B23</f>
        <v>15</v>
      </c>
      <c r="C23" s="11">
        <f>October!C23-September!C23</f>
        <v>1</v>
      </c>
      <c r="D23" s="11">
        <f>October!D23-September!D23</f>
        <v>1</v>
      </c>
      <c r="E23" s="11">
        <f>October!E23-September!E23</f>
        <v>-6</v>
      </c>
      <c r="F23" s="10">
        <f t="shared" si="0"/>
        <v>11</v>
      </c>
    </row>
    <row r="24" spans="1:6" x14ac:dyDescent="0.25">
      <c r="A24" s="1" t="s">
        <v>21</v>
      </c>
      <c r="B24" s="11">
        <f>October!B24-September!B24</f>
        <v>13</v>
      </c>
      <c r="C24" s="11">
        <f>October!C24-September!C24</f>
        <v>-6</v>
      </c>
      <c r="D24" s="11">
        <f>October!D24-September!D24</f>
        <v>3</v>
      </c>
      <c r="E24" s="11">
        <f>October!E24-September!E24</f>
        <v>1</v>
      </c>
      <c r="F24" s="10">
        <f t="shared" si="0"/>
        <v>11</v>
      </c>
    </row>
    <row r="25" spans="1:6" x14ac:dyDescent="0.25">
      <c r="A25" s="1" t="s">
        <v>22</v>
      </c>
      <c r="B25" s="11">
        <f>October!B25-September!B25</f>
        <v>5</v>
      </c>
      <c r="C25" s="11">
        <f>October!C25-September!C25</f>
        <v>-13</v>
      </c>
      <c r="D25" s="11">
        <f>October!D25-September!D25</f>
        <v>0</v>
      </c>
      <c r="E25" s="11">
        <f>October!E25-September!E25</f>
        <v>10</v>
      </c>
      <c r="F25" s="10">
        <f t="shared" si="0"/>
        <v>2</v>
      </c>
    </row>
    <row r="26" spans="1:6" x14ac:dyDescent="0.25">
      <c r="A26" s="1" t="s">
        <v>23</v>
      </c>
      <c r="B26" s="11">
        <f>October!B26-September!B26</f>
        <v>15</v>
      </c>
      <c r="C26" s="11">
        <f>October!C26-September!C26</f>
        <v>13</v>
      </c>
      <c r="D26" s="11">
        <f>October!D26-September!D26</f>
        <v>5</v>
      </c>
      <c r="E26" s="11">
        <f>October!E26-September!E26</f>
        <v>3</v>
      </c>
      <c r="F26" s="10">
        <f t="shared" si="0"/>
        <v>36</v>
      </c>
    </row>
    <row r="27" spans="1:6" x14ac:dyDescent="0.25">
      <c r="A27" s="1" t="s">
        <v>24</v>
      </c>
      <c r="B27" s="11">
        <f>October!B27-September!B27</f>
        <v>1</v>
      </c>
      <c r="C27" s="11">
        <f>October!C27-September!C27</f>
        <v>-6</v>
      </c>
      <c r="D27" s="11">
        <f>October!D27-September!D27</f>
        <v>0</v>
      </c>
      <c r="E27" s="11">
        <f>October!E27-September!E27</f>
        <v>1</v>
      </c>
      <c r="F27" s="10">
        <f t="shared" si="0"/>
        <v>-4</v>
      </c>
    </row>
    <row r="28" spans="1:6" x14ac:dyDescent="0.25">
      <c r="A28" s="1" t="s">
        <v>25</v>
      </c>
      <c r="B28" s="11">
        <f>October!B28-September!B28</f>
        <v>4</v>
      </c>
      <c r="C28" s="11">
        <f>October!C28-September!C28</f>
        <v>-7</v>
      </c>
      <c r="D28" s="11">
        <f>October!D28-September!D28</f>
        <v>0</v>
      </c>
      <c r="E28" s="11">
        <f>October!E28-September!E28</f>
        <v>7</v>
      </c>
      <c r="F28" s="10">
        <f t="shared" si="0"/>
        <v>4</v>
      </c>
    </row>
    <row r="29" spans="1:6" x14ac:dyDescent="0.25">
      <c r="A29" s="1" t="s">
        <v>26</v>
      </c>
      <c r="B29" s="11">
        <f>October!B29-September!B29</f>
        <v>9</v>
      </c>
      <c r="C29" s="11">
        <f>October!C29-September!C29</f>
        <v>2</v>
      </c>
      <c r="D29" s="11">
        <f>October!D29-September!D29</f>
        <v>5</v>
      </c>
      <c r="E29" s="11">
        <f>October!E29-September!E29</f>
        <v>11</v>
      </c>
      <c r="F29" s="10">
        <f t="shared" si="0"/>
        <v>27</v>
      </c>
    </row>
    <row r="30" spans="1:6" x14ac:dyDescent="0.25">
      <c r="A30" s="1" t="s">
        <v>27</v>
      </c>
      <c r="B30" s="11">
        <f>October!B30-September!B30</f>
        <v>174</v>
      </c>
      <c r="C30" s="11">
        <f>October!C30-September!C30</f>
        <v>107</v>
      </c>
      <c r="D30" s="11">
        <f>October!D30-September!D30</f>
        <v>38</v>
      </c>
      <c r="E30" s="11">
        <f>October!E30-September!E30</f>
        <v>163</v>
      </c>
      <c r="F30" s="10">
        <f t="shared" si="0"/>
        <v>482</v>
      </c>
    </row>
    <row r="31" spans="1:6" x14ac:dyDescent="0.25">
      <c r="A31" s="1" t="s">
        <v>28</v>
      </c>
      <c r="B31" s="11">
        <f>October!B31-September!B31</f>
        <v>84</v>
      </c>
      <c r="C31" s="11">
        <f>October!C31-September!C31</f>
        <v>-7</v>
      </c>
      <c r="D31" s="11">
        <f>October!D31-September!D31</f>
        <v>8</v>
      </c>
      <c r="E31" s="11">
        <f>October!E31-September!E31</f>
        <v>131</v>
      </c>
      <c r="F31" s="10">
        <f t="shared" si="0"/>
        <v>216</v>
      </c>
    </row>
    <row r="32" spans="1:6" x14ac:dyDescent="0.25">
      <c r="A32" s="1" t="s">
        <v>29</v>
      </c>
      <c r="B32" s="11">
        <f>October!B32-September!B32</f>
        <v>574</v>
      </c>
      <c r="C32" s="11">
        <f>October!C32-September!C32</f>
        <v>1037</v>
      </c>
      <c r="D32" s="11">
        <f>October!D32-September!D32</f>
        <v>206</v>
      </c>
      <c r="E32" s="11">
        <f>October!E32-September!E32</f>
        <v>1614</v>
      </c>
      <c r="F32" s="10">
        <f t="shared" si="0"/>
        <v>3431</v>
      </c>
    </row>
    <row r="33" spans="1:6" x14ac:dyDescent="0.25">
      <c r="A33" s="1" t="s">
        <v>30</v>
      </c>
      <c r="B33" s="11">
        <f>October!B33-September!B33</f>
        <v>17</v>
      </c>
      <c r="C33" s="11">
        <f>October!C33-September!C33</f>
        <v>-4</v>
      </c>
      <c r="D33" s="11">
        <f>October!D33-September!D33</f>
        <v>0</v>
      </c>
      <c r="E33" s="11">
        <f>October!E33-September!E33</f>
        <v>13</v>
      </c>
      <c r="F33" s="10">
        <f t="shared" si="0"/>
        <v>26</v>
      </c>
    </row>
    <row r="34" spans="1:6" x14ac:dyDescent="0.25">
      <c r="A34" s="1" t="s">
        <v>31</v>
      </c>
      <c r="B34" s="11">
        <f>October!B34-September!B34</f>
        <v>24</v>
      </c>
      <c r="C34" s="11">
        <f>October!C34-September!C34</f>
        <v>-10</v>
      </c>
      <c r="D34" s="11">
        <f>October!D34-September!D34</f>
        <v>29</v>
      </c>
      <c r="E34" s="11">
        <f>October!E34-September!E34</f>
        <v>27</v>
      </c>
      <c r="F34" s="10">
        <f t="shared" si="0"/>
        <v>70</v>
      </c>
    </row>
    <row r="35" spans="1:6" x14ac:dyDescent="0.25">
      <c r="A35" s="1" t="s">
        <v>32</v>
      </c>
      <c r="B35" s="11">
        <f>October!B35-September!B35</f>
        <v>11</v>
      </c>
      <c r="C35" s="11">
        <f>October!C35-September!C35</f>
        <v>-38</v>
      </c>
      <c r="D35" s="11">
        <f>October!D35-September!D35</f>
        <v>1</v>
      </c>
      <c r="E35" s="11">
        <f>October!E35-September!E35</f>
        <v>18</v>
      </c>
      <c r="F35" s="10">
        <f t="shared" si="0"/>
        <v>-8</v>
      </c>
    </row>
    <row r="36" spans="1:6" x14ac:dyDescent="0.25">
      <c r="A36" s="1" t="s">
        <v>33</v>
      </c>
      <c r="B36" s="11">
        <f>October!B36-September!B36</f>
        <v>5</v>
      </c>
      <c r="C36" s="11">
        <f>October!C36-September!C36</f>
        <v>0</v>
      </c>
      <c r="D36" s="11">
        <f>October!D36-September!D36</f>
        <v>1</v>
      </c>
      <c r="E36" s="11">
        <f>October!E36-September!E36</f>
        <v>14</v>
      </c>
      <c r="F36" s="10">
        <f t="shared" si="0"/>
        <v>20</v>
      </c>
    </row>
    <row r="37" spans="1:6" x14ac:dyDescent="0.25">
      <c r="A37" s="1" t="s">
        <v>34</v>
      </c>
      <c r="B37" s="11">
        <f>October!B37-September!B37</f>
        <v>-47</v>
      </c>
      <c r="C37" s="11">
        <f>October!C37-September!C37</f>
        <v>-78</v>
      </c>
      <c r="D37" s="11">
        <f>October!D37-September!D37</f>
        <v>0</v>
      </c>
      <c r="E37" s="11">
        <f>October!E37-September!E37</f>
        <v>-19</v>
      </c>
      <c r="F37" s="10">
        <f t="shared" si="0"/>
        <v>-144</v>
      </c>
    </row>
    <row r="38" spans="1:6" x14ac:dyDescent="0.25">
      <c r="A38" s="1" t="s">
        <v>35</v>
      </c>
      <c r="B38" s="11">
        <f>October!B38-September!B38</f>
        <v>253</v>
      </c>
      <c r="C38" s="11">
        <f>October!C38-September!C38</f>
        <v>138</v>
      </c>
      <c r="D38" s="11">
        <f>October!D38-September!D38</f>
        <v>26</v>
      </c>
      <c r="E38" s="11">
        <f>October!E38-September!E38</f>
        <v>461</v>
      </c>
      <c r="F38" s="10">
        <f t="shared" si="0"/>
        <v>878</v>
      </c>
    </row>
    <row r="39" spans="1:6" x14ac:dyDescent="0.25">
      <c r="A39" s="1" t="s">
        <v>36</v>
      </c>
      <c r="B39" s="11">
        <f>October!B39-September!B39</f>
        <v>612</v>
      </c>
      <c r="C39" s="11">
        <f>October!C39-September!C39</f>
        <v>415</v>
      </c>
      <c r="D39" s="11">
        <f>October!D39-September!D39</f>
        <v>86</v>
      </c>
      <c r="E39" s="11">
        <f>October!E39-September!E39</f>
        <v>919</v>
      </c>
      <c r="F39" s="10">
        <f t="shared" si="0"/>
        <v>2032</v>
      </c>
    </row>
    <row r="40" spans="1:6" x14ac:dyDescent="0.25">
      <c r="A40" s="1" t="s">
        <v>37</v>
      </c>
      <c r="B40" s="11">
        <f>October!B40-September!B40</f>
        <v>39</v>
      </c>
      <c r="C40" s="11">
        <f>October!C40-September!C40</f>
        <v>31</v>
      </c>
      <c r="D40" s="11">
        <f>October!D40-September!D40</f>
        <v>38</v>
      </c>
      <c r="E40" s="11">
        <f>October!E40-September!E40</f>
        <v>108</v>
      </c>
      <c r="F40" s="10">
        <f t="shared" si="0"/>
        <v>216</v>
      </c>
    </row>
    <row r="41" spans="1:6" x14ac:dyDescent="0.25">
      <c r="A41" s="1" t="s">
        <v>38</v>
      </c>
      <c r="B41" s="11">
        <f>October!B41-September!B41</f>
        <v>11</v>
      </c>
      <c r="C41" s="11">
        <f>October!C41-September!C41</f>
        <v>10</v>
      </c>
      <c r="D41" s="11">
        <f>October!D41-September!D41</f>
        <v>7</v>
      </c>
      <c r="E41" s="11">
        <f>October!E41-September!E41</f>
        <v>26</v>
      </c>
      <c r="F41" s="10">
        <f t="shared" si="0"/>
        <v>54</v>
      </c>
    </row>
    <row r="42" spans="1:6" x14ac:dyDescent="0.25">
      <c r="A42" s="1" t="s">
        <v>39</v>
      </c>
      <c r="B42" s="11">
        <f>October!B42-September!B42</f>
        <v>1</v>
      </c>
      <c r="C42" s="11">
        <f>October!C42-September!C42</f>
        <v>-2</v>
      </c>
      <c r="D42" s="11">
        <f>October!D42-September!D42</f>
        <v>-4</v>
      </c>
      <c r="E42" s="11">
        <f>October!E42-September!E42</f>
        <v>3</v>
      </c>
      <c r="F42" s="10">
        <f t="shared" si="0"/>
        <v>-2</v>
      </c>
    </row>
    <row r="43" spans="1:6" x14ac:dyDescent="0.25">
      <c r="A43" s="1" t="s">
        <v>40</v>
      </c>
      <c r="B43" s="11">
        <f>October!B43-September!B43</f>
        <v>7</v>
      </c>
      <c r="C43" s="11">
        <f>October!C43-September!C43</f>
        <v>3</v>
      </c>
      <c r="D43" s="11">
        <f>October!D43-September!D43</f>
        <v>1</v>
      </c>
      <c r="E43" s="11">
        <f>October!E43-September!E43</f>
        <v>4</v>
      </c>
      <c r="F43" s="10">
        <f t="shared" si="0"/>
        <v>15</v>
      </c>
    </row>
    <row r="44" spans="1:6" x14ac:dyDescent="0.25">
      <c r="A44" s="1" t="s">
        <v>41</v>
      </c>
      <c r="B44" s="11">
        <f>October!B44-September!B44</f>
        <v>426</v>
      </c>
      <c r="C44" s="11">
        <f>October!C44-September!C44</f>
        <v>308</v>
      </c>
      <c r="D44" s="11">
        <f>October!D44-September!D44</f>
        <v>39</v>
      </c>
      <c r="E44" s="11">
        <f>October!E44-September!E44</f>
        <v>419</v>
      </c>
      <c r="F44" s="10">
        <f t="shared" si="0"/>
        <v>1192</v>
      </c>
    </row>
    <row r="45" spans="1:6" x14ac:dyDescent="0.25">
      <c r="A45" s="1" t="s">
        <v>42</v>
      </c>
      <c r="B45" s="11">
        <f>October!B45-September!B45</f>
        <v>305</v>
      </c>
      <c r="C45" s="11">
        <f>October!C45-September!C45</f>
        <v>220</v>
      </c>
      <c r="D45" s="11">
        <f>October!D45-September!D45</f>
        <v>30</v>
      </c>
      <c r="E45" s="11">
        <f>October!E45-September!E45</f>
        <v>332</v>
      </c>
      <c r="F45" s="10">
        <f t="shared" si="0"/>
        <v>887</v>
      </c>
    </row>
    <row r="46" spans="1:6" x14ac:dyDescent="0.25">
      <c r="A46" s="1" t="s">
        <v>43</v>
      </c>
      <c r="B46" s="11">
        <f>October!B46-September!B46</f>
        <v>17</v>
      </c>
      <c r="C46" s="11">
        <f>October!C46-September!C46</f>
        <v>-1</v>
      </c>
      <c r="D46" s="11">
        <f>October!D46-September!D46</f>
        <v>44</v>
      </c>
      <c r="E46" s="11">
        <f>October!E46-September!E46</f>
        <v>68</v>
      </c>
      <c r="F46" s="10">
        <f t="shared" si="0"/>
        <v>128</v>
      </c>
    </row>
    <row r="47" spans="1:6" x14ac:dyDescent="0.25">
      <c r="A47" s="1" t="s">
        <v>44</v>
      </c>
      <c r="B47" s="11">
        <f>October!B47-September!B47</f>
        <v>-16</v>
      </c>
      <c r="C47" s="11">
        <f>October!C47-September!C47</f>
        <v>468</v>
      </c>
      <c r="D47" s="11">
        <f>October!D47-September!D47</f>
        <v>183</v>
      </c>
      <c r="E47" s="11">
        <f>October!E47-September!E47</f>
        <v>1485</v>
      </c>
      <c r="F47" s="10">
        <f t="shared" si="0"/>
        <v>2120</v>
      </c>
    </row>
    <row r="48" spans="1:6" x14ac:dyDescent="0.25">
      <c r="A48" s="1" t="s">
        <v>45</v>
      </c>
      <c r="B48" s="11">
        <f>October!B48-September!B48</f>
        <v>19</v>
      </c>
      <c r="C48" s="11">
        <f>October!C48-September!C48</f>
        <v>3</v>
      </c>
      <c r="D48" s="11">
        <f>October!D48-September!D48</f>
        <v>25</v>
      </c>
      <c r="E48" s="11">
        <f>October!E48-September!E48</f>
        <v>85</v>
      </c>
      <c r="F48" s="10">
        <f t="shared" si="0"/>
        <v>132</v>
      </c>
    </row>
    <row r="49" spans="1:6" x14ac:dyDescent="0.25">
      <c r="A49" s="1" t="s">
        <v>46</v>
      </c>
      <c r="B49" s="11">
        <f>October!B49-September!B49</f>
        <v>200</v>
      </c>
      <c r="C49" s="11">
        <f>October!C49-September!C49</f>
        <v>33</v>
      </c>
      <c r="D49" s="11">
        <f>October!D49-September!D49</f>
        <v>33</v>
      </c>
      <c r="E49" s="11">
        <f>October!E49-September!E49</f>
        <v>85</v>
      </c>
      <c r="F49" s="10">
        <f t="shared" si="0"/>
        <v>351</v>
      </c>
    </row>
    <row r="50" spans="1:6" x14ac:dyDescent="0.25">
      <c r="A50" s="1" t="s">
        <v>47</v>
      </c>
      <c r="B50" s="11">
        <f>October!B50-September!B50</f>
        <v>311</v>
      </c>
      <c r="C50" s="11">
        <f>October!C50-September!C50</f>
        <v>97</v>
      </c>
      <c r="D50" s="11">
        <f>October!D50-September!D50</f>
        <v>53</v>
      </c>
      <c r="E50" s="11">
        <f>October!E50-September!E50</f>
        <v>266</v>
      </c>
      <c r="F50" s="10">
        <f t="shared" si="0"/>
        <v>727</v>
      </c>
    </row>
    <row r="51" spans="1:6" x14ac:dyDescent="0.25">
      <c r="A51" s="1" t="s">
        <v>48</v>
      </c>
      <c r="B51" s="11">
        <f>October!B51-September!B51</f>
        <v>35</v>
      </c>
      <c r="C51" s="11">
        <f>October!C51-September!C51</f>
        <v>-3</v>
      </c>
      <c r="D51" s="11">
        <f>October!D51-September!D51</f>
        <v>5</v>
      </c>
      <c r="E51" s="11">
        <f>October!E51-September!E51</f>
        <v>11</v>
      </c>
      <c r="F51" s="10">
        <f t="shared" si="0"/>
        <v>48</v>
      </c>
    </row>
    <row r="52" spans="1:6" x14ac:dyDescent="0.25">
      <c r="A52" s="1" t="s">
        <v>49</v>
      </c>
      <c r="B52" s="11">
        <f>October!B52-September!B52</f>
        <v>224</v>
      </c>
      <c r="C52" s="11">
        <f>October!C52-September!C52</f>
        <v>892</v>
      </c>
      <c r="D52" s="11">
        <f>October!D52-September!D52</f>
        <v>150</v>
      </c>
      <c r="E52" s="11">
        <f>October!E52-September!E52</f>
        <v>1703</v>
      </c>
      <c r="F52" s="10">
        <f t="shared" si="0"/>
        <v>2969</v>
      </c>
    </row>
    <row r="53" spans="1:6" x14ac:dyDescent="0.25">
      <c r="A53" s="1" t="s">
        <v>50</v>
      </c>
      <c r="B53" s="11">
        <f>October!B53-September!B53</f>
        <v>148</v>
      </c>
      <c r="C53" s="11">
        <f>October!C53-September!C53</f>
        <v>265</v>
      </c>
      <c r="D53" s="11">
        <f>October!D53-September!D53</f>
        <v>21</v>
      </c>
      <c r="E53" s="11">
        <f>October!E53-September!E53</f>
        <v>962</v>
      </c>
      <c r="F53" s="10">
        <f t="shared" si="0"/>
        <v>1396</v>
      </c>
    </row>
    <row r="54" spans="1:6" x14ac:dyDescent="0.25">
      <c r="A54" s="1" t="s">
        <v>51</v>
      </c>
      <c r="B54" s="11">
        <f>October!B54-September!B54</f>
        <v>404</v>
      </c>
      <c r="C54" s="11">
        <f>October!C54-September!C54</f>
        <v>402</v>
      </c>
      <c r="D54" s="11">
        <f>October!D54-September!D54</f>
        <v>242</v>
      </c>
      <c r="E54" s="11">
        <f>October!E54-September!E54</f>
        <v>910</v>
      </c>
      <c r="F54" s="10">
        <f t="shared" si="0"/>
        <v>1958</v>
      </c>
    </row>
    <row r="55" spans="1:6" x14ac:dyDescent="0.25">
      <c r="A55" s="1" t="s">
        <v>52</v>
      </c>
      <c r="B55" s="11">
        <f>October!B55-September!B55</f>
        <v>484</v>
      </c>
      <c r="C55" s="11">
        <f>October!C55-September!C55</f>
        <v>319</v>
      </c>
      <c r="D55" s="11">
        <f>October!D55-September!D55</f>
        <v>110</v>
      </c>
      <c r="E55" s="11">
        <f>October!E55-September!E55</f>
        <v>506</v>
      </c>
      <c r="F55" s="10">
        <f t="shared" si="0"/>
        <v>1419</v>
      </c>
    </row>
    <row r="56" spans="1:6" x14ac:dyDescent="0.25">
      <c r="A56" s="1" t="s">
        <v>53</v>
      </c>
      <c r="B56" s="11">
        <f>October!B56-September!B56</f>
        <v>627</v>
      </c>
      <c r="C56" s="11">
        <f>October!C56-September!C56</f>
        <v>643</v>
      </c>
      <c r="D56" s="11">
        <f>October!D56-September!D56</f>
        <v>143</v>
      </c>
      <c r="E56" s="11">
        <f>October!E56-September!E56</f>
        <v>1117</v>
      </c>
      <c r="F56" s="10">
        <f t="shared" si="0"/>
        <v>2530</v>
      </c>
    </row>
    <row r="57" spans="1:6" x14ac:dyDescent="0.25">
      <c r="A57" s="1" t="s">
        <v>54</v>
      </c>
      <c r="B57" s="11">
        <f>October!B57-September!B57</f>
        <v>419</v>
      </c>
      <c r="C57" s="11">
        <f>October!C57-September!C57</f>
        <v>494</v>
      </c>
      <c r="D57" s="11">
        <f>October!D57-September!D57</f>
        <v>93</v>
      </c>
      <c r="E57" s="11">
        <f>October!E57-September!E57</f>
        <v>1204</v>
      </c>
      <c r="F57" s="10">
        <f t="shared" si="0"/>
        <v>2210</v>
      </c>
    </row>
    <row r="58" spans="1:6" x14ac:dyDescent="0.25">
      <c r="A58" s="1" t="s">
        <v>55</v>
      </c>
      <c r="B58" s="11">
        <f>October!B58-September!B58</f>
        <v>53</v>
      </c>
      <c r="C58" s="11">
        <f>October!C58-September!C58</f>
        <v>5</v>
      </c>
      <c r="D58" s="11">
        <f>October!D58-September!D58</f>
        <v>11</v>
      </c>
      <c r="E58" s="11">
        <f>October!E58-September!E58</f>
        <v>64</v>
      </c>
      <c r="F58" s="10">
        <f t="shared" si="0"/>
        <v>133</v>
      </c>
    </row>
    <row r="59" spans="1:6" x14ac:dyDescent="0.25">
      <c r="A59" s="1" t="s">
        <v>56</v>
      </c>
      <c r="B59" s="11">
        <f>October!B59-September!B59</f>
        <v>305</v>
      </c>
      <c r="C59" s="11">
        <f>October!C59-September!C59</f>
        <v>80</v>
      </c>
      <c r="D59" s="11">
        <f>October!D59-September!D59</f>
        <v>45</v>
      </c>
      <c r="E59" s="11">
        <f>October!E59-September!E59</f>
        <v>101</v>
      </c>
      <c r="F59" s="10">
        <f t="shared" si="0"/>
        <v>531</v>
      </c>
    </row>
    <row r="60" spans="1:6" x14ac:dyDescent="0.25">
      <c r="A60" s="1" t="s">
        <v>57</v>
      </c>
      <c r="B60" s="11">
        <f>October!B60-September!B60</f>
        <v>233</v>
      </c>
      <c r="C60" s="11">
        <f>October!C60-September!C60</f>
        <v>128</v>
      </c>
      <c r="D60" s="11">
        <f>October!D60-September!D60</f>
        <v>62</v>
      </c>
      <c r="E60" s="11">
        <f>October!E60-September!E60</f>
        <v>127</v>
      </c>
      <c r="F60" s="10">
        <f t="shared" si="0"/>
        <v>550</v>
      </c>
    </row>
    <row r="61" spans="1:6" x14ac:dyDescent="0.25">
      <c r="A61" s="1" t="s">
        <v>58</v>
      </c>
      <c r="B61" s="11">
        <f>October!B61-September!B61</f>
        <v>47</v>
      </c>
      <c r="C61" s="11">
        <f>October!C61-September!C61</f>
        <v>139</v>
      </c>
      <c r="D61" s="11">
        <f>October!D61-September!D61</f>
        <v>48</v>
      </c>
      <c r="E61" s="11">
        <f>October!E61-September!E61</f>
        <v>343</v>
      </c>
      <c r="F61" s="10">
        <f t="shared" si="0"/>
        <v>577</v>
      </c>
    </row>
    <row r="62" spans="1:6" x14ac:dyDescent="0.25">
      <c r="A62" s="1" t="s">
        <v>59</v>
      </c>
      <c r="B62" s="11">
        <f>October!B62-September!B62</f>
        <v>-98</v>
      </c>
      <c r="C62" s="11">
        <f>October!C62-September!C62</f>
        <v>-13</v>
      </c>
      <c r="D62" s="11">
        <f>October!D62-September!D62</f>
        <v>33</v>
      </c>
      <c r="E62" s="11">
        <f>October!E62-September!E62</f>
        <v>-27</v>
      </c>
      <c r="F62" s="10">
        <f t="shared" si="0"/>
        <v>-105</v>
      </c>
    </row>
    <row r="63" spans="1:6" x14ac:dyDescent="0.25">
      <c r="A63" s="1" t="s">
        <v>60</v>
      </c>
      <c r="B63" s="11">
        <f>October!B63-September!B63</f>
        <v>230</v>
      </c>
      <c r="C63" s="11">
        <f>October!C63-September!C63</f>
        <v>208</v>
      </c>
      <c r="D63" s="11">
        <f>October!D63-September!D63</f>
        <v>54</v>
      </c>
      <c r="E63" s="11">
        <f>October!E63-September!E63</f>
        <v>348</v>
      </c>
      <c r="F63" s="10">
        <f t="shared" si="0"/>
        <v>840</v>
      </c>
    </row>
    <row r="64" spans="1:6" x14ac:dyDescent="0.25">
      <c r="A64" s="1" t="s">
        <v>61</v>
      </c>
      <c r="B64" s="11">
        <f>October!B64-September!B64</f>
        <v>270</v>
      </c>
      <c r="C64" s="11">
        <f>October!C64-September!C64</f>
        <v>97</v>
      </c>
      <c r="D64" s="11">
        <f>October!D64-September!D64</f>
        <v>15</v>
      </c>
      <c r="E64" s="11">
        <f>October!E64-September!E64</f>
        <v>115</v>
      </c>
      <c r="F64" s="10">
        <f t="shared" si="0"/>
        <v>497</v>
      </c>
    </row>
    <row r="65" spans="1:6" x14ac:dyDescent="0.25">
      <c r="A65" s="1" t="s">
        <v>62</v>
      </c>
      <c r="B65" s="11">
        <f>October!B65-September!B65</f>
        <v>9</v>
      </c>
      <c r="C65" s="11">
        <f>October!C65-September!C65</f>
        <v>-8</v>
      </c>
      <c r="D65" s="11">
        <f>October!D65-September!D65</f>
        <v>6</v>
      </c>
      <c r="E65" s="11">
        <f>October!E65-September!E65</f>
        <v>5</v>
      </c>
      <c r="F65" s="10">
        <f t="shared" si="0"/>
        <v>12</v>
      </c>
    </row>
    <row r="66" spans="1:6" x14ac:dyDescent="0.25">
      <c r="A66" s="1" t="s">
        <v>63</v>
      </c>
      <c r="B66" s="11">
        <f>October!B66-September!B66</f>
        <v>9</v>
      </c>
      <c r="C66" s="11">
        <f>October!C66-September!C66</f>
        <v>-7</v>
      </c>
      <c r="D66" s="11">
        <f>October!D66-September!D66</f>
        <v>1</v>
      </c>
      <c r="E66" s="11">
        <f>October!E66-September!E66</f>
        <v>4</v>
      </c>
      <c r="F66" s="10">
        <f t="shared" si="0"/>
        <v>7</v>
      </c>
    </row>
    <row r="67" spans="1:6" x14ac:dyDescent="0.25">
      <c r="A67" s="1" t="s">
        <v>64</v>
      </c>
      <c r="B67" s="11">
        <f>October!B67-September!B67</f>
        <v>3</v>
      </c>
      <c r="C67" s="11">
        <f>October!C67-September!C67</f>
        <v>-1</v>
      </c>
      <c r="D67" s="11">
        <f>October!D67-September!D67</f>
        <v>0</v>
      </c>
      <c r="E67" s="11">
        <f>October!E67-September!E67</f>
        <v>2</v>
      </c>
      <c r="F67" s="10">
        <f t="shared" si="0"/>
        <v>4</v>
      </c>
    </row>
    <row r="68" spans="1:6" x14ac:dyDescent="0.25">
      <c r="A68" s="1" t="s">
        <v>65</v>
      </c>
      <c r="B68" s="11">
        <f>October!B68-September!B68</f>
        <v>227</v>
      </c>
      <c r="C68" s="11">
        <f>October!C68-September!C68</f>
        <v>56</v>
      </c>
      <c r="D68" s="11">
        <f>October!D68-September!D68</f>
        <v>82</v>
      </c>
      <c r="E68" s="11">
        <f>October!E68-September!E68</f>
        <v>337</v>
      </c>
      <c r="F68" s="10">
        <f t="shared" si="0"/>
        <v>702</v>
      </c>
    </row>
    <row r="69" spans="1:6" x14ac:dyDescent="0.25">
      <c r="A69" s="1" t="s">
        <v>66</v>
      </c>
      <c r="B69" s="11">
        <f>October!B69-September!B69</f>
        <v>13</v>
      </c>
      <c r="C69" s="11">
        <f>October!C69-September!C69</f>
        <v>8</v>
      </c>
      <c r="D69" s="11">
        <f>October!D69-September!D69</f>
        <v>0</v>
      </c>
      <c r="E69" s="11">
        <f>October!E69-September!E69</f>
        <v>16</v>
      </c>
      <c r="F69" s="10">
        <f t="shared" si="0"/>
        <v>37</v>
      </c>
    </row>
    <row r="70" spans="1:6" x14ac:dyDescent="0.25">
      <c r="A70" s="1" t="s">
        <v>67</v>
      </c>
      <c r="B70" s="11">
        <f>October!B70-September!B70</f>
        <v>66</v>
      </c>
      <c r="C70" s="11">
        <f>October!C70-September!C70</f>
        <v>-59</v>
      </c>
      <c r="D70" s="11">
        <f>October!D70-September!D70</f>
        <v>15</v>
      </c>
      <c r="E70" s="11">
        <f>October!E70-September!E70</f>
        <v>15</v>
      </c>
      <c r="F70" s="10">
        <f t="shared" ref="F70:F71" si="1">SUM(B70:E70)</f>
        <v>37</v>
      </c>
    </row>
    <row r="71" spans="1:6" ht="15.75" thickBot="1" x14ac:dyDescent="0.3">
      <c r="A71" s="1" t="s">
        <v>68</v>
      </c>
      <c r="B71" s="11">
        <f>October!B71-September!B71</f>
        <v>13</v>
      </c>
      <c r="C71" s="11">
        <f>October!C71-September!C71</f>
        <v>-4</v>
      </c>
      <c r="D71" s="11">
        <f>October!D71-September!D71</f>
        <v>0</v>
      </c>
      <c r="E71" s="11">
        <f>October!E71-September!E71</f>
        <v>12</v>
      </c>
      <c r="F71" s="10">
        <f t="shared" si="1"/>
        <v>21</v>
      </c>
    </row>
    <row r="72" spans="1:6" ht="16.5" thickTop="1" thickBot="1" x14ac:dyDescent="0.3">
      <c r="A72" s="3" t="s">
        <v>1</v>
      </c>
      <c r="B72" s="8">
        <f>SUM(B5:B71)</f>
        <v>8593</v>
      </c>
      <c r="C72" s="8">
        <f>SUM(C5:C71)</f>
        <v>8144</v>
      </c>
      <c r="D72" s="8">
        <f>SUM(D5:D71)</f>
        <v>2756</v>
      </c>
      <c r="E72" s="8">
        <f>SUM(E5:E71)</f>
        <v>17916</v>
      </c>
      <c r="F72" s="8">
        <f>SUM(F5:F71)</f>
        <v>37409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1" workbookViewId="0">
      <selection activeCell="F72" sqref="F7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109</v>
      </c>
      <c r="B1" s="17"/>
      <c r="C1" s="17"/>
      <c r="D1" s="17"/>
      <c r="E1" s="17"/>
      <c r="F1" s="18"/>
    </row>
    <row r="2" spans="1:6" x14ac:dyDescent="0.25">
      <c r="A2" s="13" t="s">
        <v>118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November!B5-October!B5</f>
        <v>42</v>
      </c>
      <c r="C5" s="11">
        <f>November!C5-October!C5</f>
        <v>122</v>
      </c>
      <c r="D5" s="11">
        <f>November!D5-October!D5</f>
        <v>22</v>
      </c>
      <c r="E5" s="11">
        <f>November!E5-October!E5</f>
        <v>195</v>
      </c>
      <c r="F5" s="10">
        <f>SUM(B5:E5)</f>
        <v>381</v>
      </c>
    </row>
    <row r="6" spans="1:6" x14ac:dyDescent="0.25">
      <c r="A6" s="1" t="s">
        <v>3</v>
      </c>
      <c r="B6" s="11">
        <f>November!B6-October!B6</f>
        <v>5</v>
      </c>
      <c r="C6" s="11">
        <f>November!C6-October!C6</f>
        <v>-13</v>
      </c>
      <c r="D6" s="11">
        <f>November!D6-October!D6</f>
        <v>1</v>
      </c>
      <c r="E6" s="11">
        <f>November!E6-October!E6</f>
        <v>10</v>
      </c>
      <c r="F6" s="10">
        <f t="shared" ref="F6:F69" si="0">SUM(B6:E6)</f>
        <v>3</v>
      </c>
    </row>
    <row r="7" spans="1:6" x14ac:dyDescent="0.25">
      <c r="A7" s="1" t="s">
        <v>4</v>
      </c>
      <c r="B7" s="11">
        <f>November!B7-October!B7</f>
        <v>76</v>
      </c>
      <c r="C7" s="11">
        <f>November!C7-October!C7</f>
        <v>9</v>
      </c>
      <c r="D7" s="11">
        <f>November!D7-October!D7</f>
        <v>26</v>
      </c>
      <c r="E7" s="11">
        <f>November!E7-October!E7</f>
        <v>153</v>
      </c>
      <c r="F7" s="10">
        <f t="shared" si="0"/>
        <v>264</v>
      </c>
    </row>
    <row r="8" spans="1:6" x14ac:dyDescent="0.25">
      <c r="A8" s="1" t="s">
        <v>5</v>
      </c>
      <c r="B8" s="11">
        <f>November!B8-October!B8</f>
        <v>17</v>
      </c>
      <c r="C8" s="11">
        <f>November!C8-October!C8</f>
        <v>6</v>
      </c>
      <c r="D8" s="11">
        <f>November!D8-October!D8</f>
        <v>3</v>
      </c>
      <c r="E8" s="11">
        <f>November!E8-October!E8</f>
        <v>8</v>
      </c>
      <c r="F8" s="10">
        <f t="shared" si="0"/>
        <v>34</v>
      </c>
    </row>
    <row r="9" spans="1:6" x14ac:dyDescent="0.25">
      <c r="A9" s="1" t="s">
        <v>6</v>
      </c>
      <c r="B9" s="11">
        <f>November!B9-October!B9</f>
        <v>-971</v>
      </c>
      <c r="C9" s="11">
        <f>November!C9-October!C9</f>
        <v>-1317</v>
      </c>
      <c r="D9" s="11">
        <f>November!D9-October!D9</f>
        <v>148</v>
      </c>
      <c r="E9" s="11">
        <f>November!E9-October!E9</f>
        <v>-951</v>
      </c>
      <c r="F9" s="10">
        <f t="shared" si="0"/>
        <v>-3091</v>
      </c>
    </row>
    <row r="10" spans="1:6" x14ac:dyDescent="0.25">
      <c r="A10" s="1" t="s">
        <v>7</v>
      </c>
      <c r="B10" s="11">
        <f>November!B10-October!B10</f>
        <v>-15</v>
      </c>
      <c r="C10" s="11">
        <f>November!C10-October!C10</f>
        <v>199</v>
      </c>
      <c r="D10" s="11">
        <f>November!D10-October!D10</f>
        <v>236</v>
      </c>
      <c r="E10" s="11">
        <f>November!E10-October!E10</f>
        <v>1274</v>
      </c>
      <c r="F10" s="10">
        <f t="shared" si="0"/>
        <v>1694</v>
      </c>
    </row>
    <row r="11" spans="1:6" x14ac:dyDescent="0.25">
      <c r="A11" s="1" t="s">
        <v>8</v>
      </c>
      <c r="B11" s="11">
        <f>November!B11-October!B11</f>
        <v>6</v>
      </c>
      <c r="C11" s="11">
        <f>November!C11-October!C11</f>
        <v>-13</v>
      </c>
      <c r="D11" s="11">
        <f>November!D11-October!D11</f>
        <v>2</v>
      </c>
      <c r="E11" s="11">
        <f>November!E11-October!E11</f>
        <v>10</v>
      </c>
      <c r="F11" s="10">
        <f t="shared" si="0"/>
        <v>5</v>
      </c>
    </row>
    <row r="12" spans="1:6" x14ac:dyDescent="0.25">
      <c r="A12" s="1" t="s">
        <v>9</v>
      </c>
      <c r="B12" s="11">
        <f>November!B12-October!B12</f>
        <v>212</v>
      </c>
      <c r="C12" s="11">
        <f>November!C12-October!C12</f>
        <v>83</v>
      </c>
      <c r="D12" s="11">
        <f>November!D12-October!D12</f>
        <v>63</v>
      </c>
      <c r="E12" s="11">
        <f>November!E12-October!E12</f>
        <v>204</v>
      </c>
      <c r="F12" s="10">
        <f t="shared" si="0"/>
        <v>562</v>
      </c>
    </row>
    <row r="13" spans="1:6" x14ac:dyDescent="0.25">
      <c r="A13" s="1" t="s">
        <v>10</v>
      </c>
      <c r="B13" s="11">
        <f>November!B13-October!B13</f>
        <v>-402</v>
      </c>
      <c r="C13" s="11">
        <f>November!C13-October!C13</f>
        <v>-292</v>
      </c>
      <c r="D13" s="11">
        <f>November!D13-October!D13</f>
        <v>24</v>
      </c>
      <c r="E13" s="11">
        <f>November!E13-October!E13</f>
        <v>-204</v>
      </c>
      <c r="F13" s="10">
        <f t="shared" si="0"/>
        <v>-874</v>
      </c>
    </row>
    <row r="14" spans="1:6" x14ac:dyDescent="0.25">
      <c r="A14" s="1" t="s">
        <v>11</v>
      </c>
      <c r="B14" s="11">
        <f>November!B14-October!B14</f>
        <v>6</v>
      </c>
      <c r="C14" s="11">
        <f>November!C14-October!C14</f>
        <v>50</v>
      </c>
      <c r="D14" s="11">
        <f>November!D14-October!D14</f>
        <v>43</v>
      </c>
      <c r="E14" s="11">
        <f>November!E14-October!E14</f>
        <v>33</v>
      </c>
      <c r="F14" s="10">
        <f t="shared" si="0"/>
        <v>132</v>
      </c>
    </row>
    <row r="15" spans="1:6" x14ac:dyDescent="0.25">
      <c r="A15" s="1" t="s">
        <v>12</v>
      </c>
      <c r="B15" s="11">
        <f>November!B15-October!B15</f>
        <v>-495</v>
      </c>
      <c r="C15" s="11">
        <f>November!C15-October!C15</f>
        <v>-331</v>
      </c>
      <c r="D15" s="11">
        <f>November!D15-October!D15</f>
        <v>30</v>
      </c>
      <c r="E15" s="11">
        <f>November!E15-October!E15</f>
        <v>-237</v>
      </c>
      <c r="F15" s="10">
        <f t="shared" si="0"/>
        <v>-1033</v>
      </c>
    </row>
    <row r="16" spans="1:6" x14ac:dyDescent="0.25">
      <c r="A16" s="1" t="s">
        <v>13</v>
      </c>
      <c r="B16" s="11">
        <f>November!B16-October!B16</f>
        <v>28</v>
      </c>
      <c r="C16" s="11">
        <f>November!C16-October!C16</f>
        <v>4</v>
      </c>
      <c r="D16" s="11">
        <f>November!D16-October!D16</f>
        <v>6</v>
      </c>
      <c r="E16" s="11">
        <f>November!E16-October!E16</f>
        <v>51</v>
      </c>
      <c r="F16" s="10">
        <f t="shared" si="0"/>
        <v>89</v>
      </c>
    </row>
    <row r="17" spans="1:6" x14ac:dyDescent="0.25">
      <c r="A17" s="1" t="s">
        <v>14</v>
      </c>
      <c r="B17" s="11">
        <f>November!B17-October!B17</f>
        <v>25</v>
      </c>
      <c r="C17" s="11">
        <f>November!C17-October!C17</f>
        <v>1</v>
      </c>
      <c r="D17" s="11">
        <f>November!D17-October!D17</f>
        <v>5</v>
      </c>
      <c r="E17" s="11">
        <f>November!E17-October!E17</f>
        <v>25</v>
      </c>
      <c r="F17" s="10">
        <f t="shared" si="0"/>
        <v>56</v>
      </c>
    </row>
    <row r="18" spans="1:6" x14ac:dyDescent="0.25">
      <c r="A18" s="1" t="s">
        <v>15</v>
      </c>
      <c r="B18" s="11">
        <f>November!B18-October!B18</f>
        <v>-3</v>
      </c>
      <c r="C18" s="11">
        <f>November!C18-October!C18</f>
        <v>-7</v>
      </c>
      <c r="D18" s="11">
        <f>November!D18-October!D18</f>
        <v>1</v>
      </c>
      <c r="E18" s="11">
        <f>November!E18-October!E18</f>
        <v>2</v>
      </c>
      <c r="F18" s="10">
        <f t="shared" si="0"/>
        <v>-7</v>
      </c>
    </row>
    <row r="19" spans="1:6" x14ac:dyDescent="0.25">
      <c r="A19" s="1" t="s">
        <v>16</v>
      </c>
      <c r="B19" s="11">
        <f>November!B19-October!B19</f>
        <v>-473</v>
      </c>
      <c r="C19" s="11">
        <f>November!C19-October!C19</f>
        <v>-102</v>
      </c>
      <c r="D19" s="11">
        <f>November!D19-October!D19</f>
        <v>139</v>
      </c>
      <c r="E19" s="11">
        <f>November!E19-October!E19</f>
        <v>119</v>
      </c>
      <c r="F19" s="10">
        <f t="shared" si="0"/>
        <v>-317</v>
      </c>
    </row>
    <row r="20" spans="1:6" x14ac:dyDescent="0.25">
      <c r="A20" s="1" t="s">
        <v>17</v>
      </c>
      <c r="B20" s="11">
        <f>November!B20-October!B20</f>
        <v>-315</v>
      </c>
      <c r="C20" s="11">
        <f>November!C20-October!C20</f>
        <v>-274</v>
      </c>
      <c r="D20" s="11">
        <f>November!D20-October!D20</f>
        <v>35</v>
      </c>
      <c r="E20" s="11">
        <f>November!E20-October!E20</f>
        <v>-135</v>
      </c>
      <c r="F20" s="10">
        <f t="shared" si="0"/>
        <v>-689</v>
      </c>
    </row>
    <row r="21" spans="1:6" x14ac:dyDescent="0.25">
      <c r="A21" s="1" t="s">
        <v>18</v>
      </c>
      <c r="B21" s="11">
        <f>November!B21-October!B21</f>
        <v>112</v>
      </c>
      <c r="C21" s="11">
        <f>November!C21-October!C21</f>
        <v>93</v>
      </c>
      <c r="D21" s="11">
        <f>November!D21-October!D21</f>
        <v>7</v>
      </c>
      <c r="E21" s="11">
        <f>November!E21-October!E21</f>
        <v>128</v>
      </c>
      <c r="F21" s="10">
        <f t="shared" si="0"/>
        <v>340</v>
      </c>
    </row>
    <row r="22" spans="1:6" x14ac:dyDescent="0.25">
      <c r="A22" s="1" t="s">
        <v>19</v>
      </c>
      <c r="B22" s="11">
        <f>November!B22-October!B22</f>
        <v>12</v>
      </c>
      <c r="C22" s="11">
        <f>November!C22-October!C22</f>
        <v>-2</v>
      </c>
      <c r="D22" s="11">
        <f>November!D22-October!D22</f>
        <v>7</v>
      </c>
      <c r="E22" s="11">
        <f>November!E22-October!E22</f>
        <v>3</v>
      </c>
      <c r="F22" s="10">
        <f t="shared" si="0"/>
        <v>20</v>
      </c>
    </row>
    <row r="23" spans="1:6" x14ac:dyDescent="0.25">
      <c r="A23" s="1" t="s">
        <v>20</v>
      </c>
      <c r="B23" s="11">
        <f>November!B23-October!B23</f>
        <v>13</v>
      </c>
      <c r="C23" s="11">
        <f>November!C23-October!C23</f>
        <v>-1</v>
      </c>
      <c r="D23" s="11">
        <f>November!D23-October!D23</f>
        <v>1</v>
      </c>
      <c r="E23" s="11">
        <f>November!E23-October!E23</f>
        <v>15</v>
      </c>
      <c r="F23" s="10">
        <f t="shared" si="0"/>
        <v>28</v>
      </c>
    </row>
    <row r="24" spans="1:6" x14ac:dyDescent="0.25">
      <c r="A24" s="1" t="s">
        <v>21</v>
      </c>
      <c r="B24" s="11">
        <f>November!B24-October!B24</f>
        <v>10</v>
      </c>
      <c r="C24" s="11">
        <f>November!C24-October!C24</f>
        <v>-5</v>
      </c>
      <c r="D24" s="11">
        <f>November!D24-October!D24</f>
        <v>0</v>
      </c>
      <c r="E24" s="11">
        <f>November!E24-October!E24</f>
        <v>9</v>
      </c>
      <c r="F24" s="10">
        <f t="shared" si="0"/>
        <v>14</v>
      </c>
    </row>
    <row r="25" spans="1:6" x14ac:dyDescent="0.25">
      <c r="A25" s="1" t="s">
        <v>22</v>
      </c>
      <c r="B25" s="11">
        <f>November!B25-October!B25</f>
        <v>13</v>
      </c>
      <c r="C25" s="11">
        <f>November!C25-October!C25</f>
        <v>-8</v>
      </c>
      <c r="D25" s="11">
        <f>November!D25-October!D25</f>
        <v>5</v>
      </c>
      <c r="E25" s="11">
        <f>November!E25-October!E25</f>
        <v>5</v>
      </c>
      <c r="F25" s="10">
        <f t="shared" si="0"/>
        <v>15</v>
      </c>
    </row>
    <row r="26" spans="1:6" x14ac:dyDescent="0.25">
      <c r="A26" s="1" t="s">
        <v>23</v>
      </c>
      <c r="B26" s="11">
        <f>November!B26-October!B26</f>
        <v>17</v>
      </c>
      <c r="C26" s="11">
        <f>November!C26-October!C26</f>
        <v>6</v>
      </c>
      <c r="D26" s="11">
        <f>November!D26-October!D26</f>
        <v>5</v>
      </c>
      <c r="E26" s="11">
        <f>November!E26-October!E26</f>
        <v>5</v>
      </c>
      <c r="F26" s="10">
        <f t="shared" si="0"/>
        <v>33</v>
      </c>
    </row>
    <row r="27" spans="1:6" x14ac:dyDescent="0.25">
      <c r="A27" s="1" t="s">
        <v>24</v>
      </c>
      <c r="B27" s="11">
        <f>November!B27-October!B27</f>
        <v>3</v>
      </c>
      <c r="C27" s="11">
        <f>November!C27-October!C27</f>
        <v>2</v>
      </c>
      <c r="D27" s="11">
        <f>November!D27-October!D27</f>
        <v>0</v>
      </c>
      <c r="E27" s="11">
        <f>November!E27-October!E27</f>
        <v>4</v>
      </c>
      <c r="F27" s="10">
        <f t="shared" si="0"/>
        <v>9</v>
      </c>
    </row>
    <row r="28" spans="1:6" x14ac:dyDescent="0.25">
      <c r="A28" s="1" t="s">
        <v>25</v>
      </c>
      <c r="B28" s="11">
        <f>November!B28-October!B28</f>
        <v>8</v>
      </c>
      <c r="C28" s="11">
        <f>November!C28-October!C28</f>
        <v>3</v>
      </c>
      <c r="D28" s="11">
        <f>November!D28-October!D28</f>
        <v>1</v>
      </c>
      <c r="E28" s="11">
        <f>November!E28-October!E28</f>
        <v>20</v>
      </c>
      <c r="F28" s="10">
        <f t="shared" si="0"/>
        <v>32</v>
      </c>
    </row>
    <row r="29" spans="1:6" x14ac:dyDescent="0.25">
      <c r="A29" s="1" t="s">
        <v>26</v>
      </c>
      <c r="B29" s="11">
        <f>November!B29-October!B29</f>
        <v>17</v>
      </c>
      <c r="C29" s="11">
        <f>November!C29-October!C29</f>
        <v>-1</v>
      </c>
      <c r="D29" s="11">
        <f>November!D29-October!D29</f>
        <v>2</v>
      </c>
      <c r="E29" s="11">
        <f>November!E29-October!E29</f>
        <v>18</v>
      </c>
      <c r="F29" s="10">
        <f t="shared" si="0"/>
        <v>36</v>
      </c>
    </row>
    <row r="30" spans="1:6" x14ac:dyDescent="0.25">
      <c r="A30" s="1" t="s">
        <v>27</v>
      </c>
      <c r="B30" s="11">
        <f>November!B30-October!B30</f>
        <v>121</v>
      </c>
      <c r="C30" s="11">
        <f>November!C30-October!C30</f>
        <v>62</v>
      </c>
      <c r="D30" s="11">
        <f>November!D30-October!D30</f>
        <v>45</v>
      </c>
      <c r="E30" s="11">
        <f>November!E30-October!E30</f>
        <v>171</v>
      </c>
      <c r="F30" s="10">
        <f t="shared" si="0"/>
        <v>399</v>
      </c>
    </row>
    <row r="31" spans="1:6" x14ac:dyDescent="0.25">
      <c r="A31" s="1" t="s">
        <v>28</v>
      </c>
      <c r="B31" s="11">
        <f>November!B31-October!B31</f>
        <v>-127</v>
      </c>
      <c r="C31" s="11">
        <f>November!C31-October!C31</f>
        <v>-157</v>
      </c>
      <c r="D31" s="11">
        <f>November!D31-October!D31</f>
        <v>12</v>
      </c>
      <c r="E31" s="11">
        <f>November!E31-October!E31</f>
        <v>-25</v>
      </c>
      <c r="F31" s="10">
        <f t="shared" si="0"/>
        <v>-297</v>
      </c>
    </row>
    <row r="32" spans="1:6" x14ac:dyDescent="0.25">
      <c r="A32" s="1" t="s">
        <v>29</v>
      </c>
      <c r="B32" s="11">
        <f>November!B32-October!B32</f>
        <v>474</v>
      </c>
      <c r="C32" s="11">
        <f>November!C32-October!C32</f>
        <v>856</v>
      </c>
      <c r="D32" s="11">
        <f>November!D32-October!D32</f>
        <v>200</v>
      </c>
      <c r="E32" s="11">
        <f>November!E32-October!E32</f>
        <v>1547</v>
      </c>
      <c r="F32" s="10">
        <f t="shared" si="0"/>
        <v>3077</v>
      </c>
    </row>
    <row r="33" spans="1:6" x14ac:dyDescent="0.25">
      <c r="A33" s="1" t="s">
        <v>30</v>
      </c>
      <c r="B33" s="11">
        <f>November!B33-October!B33</f>
        <v>19</v>
      </c>
      <c r="C33" s="11">
        <f>November!C33-October!C33</f>
        <v>-9</v>
      </c>
      <c r="D33" s="11">
        <f>November!D33-October!D33</f>
        <v>1</v>
      </c>
      <c r="E33" s="11">
        <f>November!E33-October!E33</f>
        <v>12</v>
      </c>
      <c r="F33" s="10">
        <f t="shared" si="0"/>
        <v>23</v>
      </c>
    </row>
    <row r="34" spans="1:6" x14ac:dyDescent="0.25">
      <c r="A34" s="1" t="s">
        <v>31</v>
      </c>
      <c r="B34" s="11">
        <f>November!B34-October!B34</f>
        <v>-60</v>
      </c>
      <c r="C34" s="11">
        <f>November!C34-October!C34</f>
        <v>-50</v>
      </c>
      <c r="D34" s="11">
        <f>November!D34-October!D34</f>
        <v>42</v>
      </c>
      <c r="E34" s="11">
        <f>November!E34-October!E34</f>
        <v>-29</v>
      </c>
      <c r="F34" s="10">
        <f t="shared" si="0"/>
        <v>-97</v>
      </c>
    </row>
    <row r="35" spans="1:6" x14ac:dyDescent="0.25">
      <c r="A35" s="1" t="s">
        <v>32</v>
      </c>
      <c r="B35" s="11">
        <f>November!B35-October!B35</f>
        <v>-237</v>
      </c>
      <c r="C35" s="11">
        <f>November!C35-October!C35</f>
        <v>-483</v>
      </c>
      <c r="D35" s="11">
        <f>November!D35-October!D35</f>
        <v>-1</v>
      </c>
      <c r="E35" s="11">
        <f>November!E35-October!E35</f>
        <v>-166</v>
      </c>
      <c r="F35" s="10">
        <f t="shared" si="0"/>
        <v>-887</v>
      </c>
    </row>
    <row r="36" spans="1:6" x14ac:dyDescent="0.25">
      <c r="A36" s="1" t="s">
        <v>33</v>
      </c>
      <c r="B36" s="11">
        <f>November!B36-October!B36</f>
        <v>9</v>
      </c>
      <c r="C36" s="11">
        <f>November!C36-October!C36</f>
        <v>-7</v>
      </c>
      <c r="D36" s="11">
        <f>November!D36-October!D36</f>
        <v>1</v>
      </c>
      <c r="E36" s="11">
        <f>November!E36-October!E36</f>
        <v>7</v>
      </c>
      <c r="F36" s="10">
        <f t="shared" si="0"/>
        <v>10</v>
      </c>
    </row>
    <row r="37" spans="1:6" x14ac:dyDescent="0.25">
      <c r="A37" s="1" t="s">
        <v>34</v>
      </c>
      <c r="B37" s="11">
        <f>November!B37-October!B37</f>
        <v>1</v>
      </c>
      <c r="C37" s="11">
        <f>November!C37-October!C37</f>
        <v>-10</v>
      </c>
      <c r="D37" s="11">
        <f>November!D37-October!D37</f>
        <v>1</v>
      </c>
      <c r="E37" s="11">
        <f>November!E37-October!E37</f>
        <v>4</v>
      </c>
      <c r="F37" s="10">
        <f t="shared" si="0"/>
        <v>-4</v>
      </c>
    </row>
    <row r="38" spans="1:6" x14ac:dyDescent="0.25">
      <c r="A38" s="1" t="s">
        <v>35</v>
      </c>
      <c r="B38" s="11">
        <f>November!B38-October!B38</f>
        <v>287</v>
      </c>
      <c r="C38" s="11">
        <f>November!C38-October!C38</f>
        <v>166</v>
      </c>
      <c r="D38" s="11">
        <f>November!D38-October!D38</f>
        <v>38</v>
      </c>
      <c r="E38" s="11">
        <f>November!E38-October!E38</f>
        <v>456</v>
      </c>
      <c r="F38" s="10">
        <f t="shared" si="0"/>
        <v>947</v>
      </c>
    </row>
    <row r="39" spans="1:6" x14ac:dyDescent="0.25">
      <c r="A39" s="1" t="s">
        <v>36</v>
      </c>
      <c r="B39" s="11">
        <f>November!B39-October!B39</f>
        <v>323</v>
      </c>
      <c r="C39" s="11">
        <f>November!C39-October!C39</f>
        <v>246</v>
      </c>
      <c r="D39" s="11">
        <f>November!D39-October!D39</f>
        <v>97</v>
      </c>
      <c r="E39" s="11">
        <f>November!E39-October!E39</f>
        <v>845</v>
      </c>
      <c r="F39" s="10">
        <f t="shared" si="0"/>
        <v>1511</v>
      </c>
    </row>
    <row r="40" spans="1:6" x14ac:dyDescent="0.25">
      <c r="A40" s="1" t="s">
        <v>37</v>
      </c>
      <c r="B40" s="11">
        <f>November!B40-October!B40</f>
        <v>-15</v>
      </c>
      <c r="C40" s="11">
        <f>November!C40-October!C40</f>
        <v>-5</v>
      </c>
      <c r="D40" s="11">
        <f>November!D40-October!D40</f>
        <v>35</v>
      </c>
      <c r="E40" s="11">
        <f>November!E40-October!E40</f>
        <v>145</v>
      </c>
      <c r="F40" s="10">
        <f t="shared" si="0"/>
        <v>160</v>
      </c>
    </row>
    <row r="41" spans="1:6" x14ac:dyDescent="0.25">
      <c r="A41" s="1" t="s">
        <v>38</v>
      </c>
      <c r="B41" s="11">
        <f>November!B41-October!B41</f>
        <v>64</v>
      </c>
      <c r="C41" s="11">
        <f>November!C41-October!C41</f>
        <v>1</v>
      </c>
      <c r="D41" s="11">
        <f>November!D41-October!D41</f>
        <v>0</v>
      </c>
      <c r="E41" s="11">
        <f>November!E41-October!E41</f>
        <v>39</v>
      </c>
      <c r="F41" s="10">
        <f t="shared" si="0"/>
        <v>104</v>
      </c>
    </row>
    <row r="42" spans="1:6" x14ac:dyDescent="0.25">
      <c r="A42" s="1" t="s">
        <v>39</v>
      </c>
      <c r="B42" s="11">
        <f>November!B42-October!B42</f>
        <v>2</v>
      </c>
      <c r="C42" s="11">
        <f>November!C42-October!C42</f>
        <v>-10</v>
      </c>
      <c r="D42" s="11">
        <f>November!D42-October!D42</f>
        <v>0</v>
      </c>
      <c r="E42" s="11">
        <f>November!E42-October!E42</f>
        <v>5</v>
      </c>
      <c r="F42" s="10">
        <f t="shared" si="0"/>
        <v>-3</v>
      </c>
    </row>
    <row r="43" spans="1:6" x14ac:dyDescent="0.25">
      <c r="A43" s="1" t="s">
        <v>40</v>
      </c>
      <c r="B43" s="11">
        <f>November!B43-October!B43</f>
        <v>9</v>
      </c>
      <c r="C43" s="11">
        <f>November!C43-October!C43</f>
        <v>-7</v>
      </c>
      <c r="D43" s="11">
        <f>November!D43-October!D43</f>
        <v>0</v>
      </c>
      <c r="E43" s="11">
        <f>November!E43-October!E43</f>
        <v>13</v>
      </c>
      <c r="F43" s="10">
        <f t="shared" si="0"/>
        <v>15</v>
      </c>
    </row>
    <row r="44" spans="1:6" x14ac:dyDescent="0.25">
      <c r="A44" s="1" t="s">
        <v>41</v>
      </c>
      <c r="B44" s="11">
        <f>November!B44-October!B44</f>
        <v>220</v>
      </c>
      <c r="C44" s="11">
        <f>November!C44-October!C44</f>
        <v>216</v>
      </c>
      <c r="D44" s="11">
        <f>November!D44-October!D44</f>
        <v>52</v>
      </c>
      <c r="E44" s="11">
        <f>November!E44-October!E44</f>
        <v>283</v>
      </c>
      <c r="F44" s="10">
        <f t="shared" si="0"/>
        <v>771</v>
      </c>
    </row>
    <row r="45" spans="1:6" x14ac:dyDescent="0.25">
      <c r="A45" s="1" t="s">
        <v>42</v>
      </c>
      <c r="B45" s="11">
        <f>November!B45-October!B45</f>
        <v>359</v>
      </c>
      <c r="C45" s="11">
        <f>November!C45-October!C45</f>
        <v>209</v>
      </c>
      <c r="D45" s="11">
        <f>November!D45-October!D45</f>
        <v>43</v>
      </c>
      <c r="E45" s="11">
        <f>November!E45-October!E45</f>
        <v>338</v>
      </c>
      <c r="F45" s="10">
        <f t="shared" si="0"/>
        <v>949</v>
      </c>
    </row>
    <row r="46" spans="1:6" x14ac:dyDescent="0.25">
      <c r="A46" s="1" t="s">
        <v>43</v>
      </c>
      <c r="B46" s="11">
        <f>November!B46-October!B46</f>
        <v>76</v>
      </c>
      <c r="C46" s="11">
        <f>November!C46-October!C46</f>
        <v>20</v>
      </c>
      <c r="D46" s="11">
        <f>November!D46-October!D46</f>
        <v>36</v>
      </c>
      <c r="E46" s="11">
        <f>November!E46-October!E46</f>
        <v>128</v>
      </c>
      <c r="F46" s="10">
        <f t="shared" si="0"/>
        <v>260</v>
      </c>
    </row>
    <row r="47" spans="1:6" x14ac:dyDescent="0.25">
      <c r="A47" s="1" t="s">
        <v>44</v>
      </c>
      <c r="B47" s="11">
        <f>November!B47-October!B47</f>
        <v>-372</v>
      </c>
      <c r="C47" s="11">
        <f>November!C47-October!C47</f>
        <v>-224</v>
      </c>
      <c r="D47" s="11">
        <f>November!D47-October!D47</f>
        <v>202</v>
      </c>
      <c r="E47" s="11">
        <f>November!E47-October!E47</f>
        <v>869</v>
      </c>
      <c r="F47" s="10">
        <f t="shared" si="0"/>
        <v>475</v>
      </c>
    </row>
    <row r="48" spans="1:6" x14ac:dyDescent="0.25">
      <c r="A48" s="1" t="s">
        <v>45</v>
      </c>
      <c r="B48" s="11">
        <f>November!B48-October!B48</f>
        <v>-35</v>
      </c>
      <c r="C48" s="11">
        <f>November!C48-October!C48</f>
        <v>-41</v>
      </c>
      <c r="D48" s="11">
        <f>November!D48-October!D48</f>
        <v>20</v>
      </c>
      <c r="E48" s="11">
        <f>November!E48-October!E48</f>
        <v>-114</v>
      </c>
      <c r="F48" s="10">
        <f t="shared" si="0"/>
        <v>-170</v>
      </c>
    </row>
    <row r="49" spans="1:6" x14ac:dyDescent="0.25">
      <c r="A49" s="1" t="s">
        <v>46</v>
      </c>
      <c r="B49" s="11">
        <f>November!B49-October!B49</f>
        <v>138</v>
      </c>
      <c r="C49" s="11">
        <f>November!C49-October!C49</f>
        <v>14</v>
      </c>
      <c r="D49" s="11">
        <f>November!D49-October!D49</f>
        <v>22</v>
      </c>
      <c r="E49" s="11">
        <f>November!E49-October!E49</f>
        <v>51</v>
      </c>
      <c r="F49" s="10">
        <f t="shared" si="0"/>
        <v>225</v>
      </c>
    </row>
    <row r="50" spans="1:6" x14ac:dyDescent="0.25">
      <c r="A50" s="1" t="s">
        <v>47</v>
      </c>
      <c r="B50" s="11">
        <f>November!B50-October!B50</f>
        <v>206</v>
      </c>
      <c r="C50" s="11">
        <f>November!C50-October!C50</f>
        <v>66</v>
      </c>
      <c r="D50" s="11">
        <f>November!D50-October!D50</f>
        <v>52</v>
      </c>
      <c r="E50" s="11">
        <f>November!E50-October!E50</f>
        <v>256</v>
      </c>
      <c r="F50" s="10">
        <f t="shared" si="0"/>
        <v>580</v>
      </c>
    </row>
    <row r="51" spans="1:6" x14ac:dyDescent="0.25">
      <c r="A51" s="1" t="s">
        <v>48</v>
      </c>
      <c r="B51" s="11">
        <f>November!B51-October!B51</f>
        <v>35</v>
      </c>
      <c r="C51" s="11">
        <f>November!C51-October!C51</f>
        <v>9</v>
      </c>
      <c r="D51" s="11">
        <f>November!D51-October!D51</f>
        <v>11</v>
      </c>
      <c r="E51" s="11">
        <f>November!E51-October!E51</f>
        <v>13</v>
      </c>
      <c r="F51" s="10">
        <f t="shared" si="0"/>
        <v>68</v>
      </c>
    </row>
    <row r="52" spans="1:6" x14ac:dyDescent="0.25">
      <c r="A52" s="1" t="s">
        <v>49</v>
      </c>
      <c r="B52" s="11">
        <f>November!B52-October!B52</f>
        <v>-134</v>
      </c>
      <c r="C52" s="11">
        <f>November!C52-October!C52</f>
        <v>428</v>
      </c>
      <c r="D52" s="11">
        <f>November!D52-October!D52</f>
        <v>180</v>
      </c>
      <c r="E52" s="11">
        <f>November!E52-October!E52</f>
        <v>1370</v>
      </c>
      <c r="F52" s="10">
        <f t="shared" si="0"/>
        <v>1844</v>
      </c>
    </row>
    <row r="53" spans="1:6" x14ac:dyDescent="0.25">
      <c r="A53" s="1" t="s">
        <v>50</v>
      </c>
      <c r="B53" s="11">
        <f>November!B53-October!B53</f>
        <v>44</v>
      </c>
      <c r="C53" s="11">
        <f>November!C53-October!C53</f>
        <v>168</v>
      </c>
      <c r="D53" s="11">
        <f>November!D53-October!D53</f>
        <v>32</v>
      </c>
      <c r="E53" s="11">
        <f>November!E53-October!E53</f>
        <v>947</v>
      </c>
      <c r="F53" s="10">
        <f t="shared" si="0"/>
        <v>1191</v>
      </c>
    </row>
    <row r="54" spans="1:6" x14ac:dyDescent="0.25">
      <c r="A54" s="1" t="s">
        <v>51</v>
      </c>
      <c r="B54" s="11">
        <f>November!B54-October!B54</f>
        <v>136</v>
      </c>
      <c r="C54" s="11">
        <f>November!C54-October!C54</f>
        <v>298</v>
      </c>
      <c r="D54" s="11">
        <f>November!D54-October!D54</f>
        <v>265</v>
      </c>
      <c r="E54" s="11">
        <f>November!E54-October!E54</f>
        <v>702</v>
      </c>
      <c r="F54" s="10">
        <f t="shared" si="0"/>
        <v>1401</v>
      </c>
    </row>
    <row r="55" spans="1:6" x14ac:dyDescent="0.25">
      <c r="A55" s="1" t="s">
        <v>52</v>
      </c>
      <c r="B55" s="11">
        <f>November!B55-October!B55</f>
        <v>368</v>
      </c>
      <c r="C55" s="11">
        <f>November!C55-October!C55</f>
        <v>417</v>
      </c>
      <c r="D55" s="11">
        <f>November!D55-October!D55</f>
        <v>134</v>
      </c>
      <c r="E55" s="11">
        <f>November!E55-October!E55</f>
        <v>673</v>
      </c>
      <c r="F55" s="10">
        <f t="shared" si="0"/>
        <v>1592</v>
      </c>
    </row>
    <row r="56" spans="1:6" x14ac:dyDescent="0.25">
      <c r="A56" s="1" t="s">
        <v>53</v>
      </c>
      <c r="B56" s="11">
        <f>November!B56-October!B56</f>
        <v>-199</v>
      </c>
      <c r="C56" s="11">
        <f>November!C56-October!C56</f>
        <v>-289</v>
      </c>
      <c r="D56" s="11">
        <f>November!D56-October!D56</f>
        <v>143</v>
      </c>
      <c r="E56" s="11">
        <f>November!E56-October!E56</f>
        <v>392</v>
      </c>
      <c r="F56" s="10">
        <f t="shared" si="0"/>
        <v>47</v>
      </c>
    </row>
    <row r="57" spans="1:6" x14ac:dyDescent="0.25">
      <c r="A57" s="1" t="s">
        <v>54</v>
      </c>
      <c r="B57" s="11">
        <f>November!B57-October!B57</f>
        <v>82</v>
      </c>
      <c r="C57" s="11">
        <f>November!C57-October!C57</f>
        <v>248</v>
      </c>
      <c r="D57" s="11">
        <f>November!D57-October!D57</f>
        <v>77</v>
      </c>
      <c r="E57" s="11">
        <f>November!E57-October!E57</f>
        <v>828</v>
      </c>
      <c r="F57" s="10">
        <f t="shared" si="0"/>
        <v>1235</v>
      </c>
    </row>
    <row r="58" spans="1:6" x14ac:dyDescent="0.25">
      <c r="A58" s="1" t="s">
        <v>55</v>
      </c>
      <c r="B58" s="11">
        <f>November!B58-October!B58</f>
        <v>42</v>
      </c>
      <c r="C58" s="11">
        <f>November!C58-October!C58</f>
        <v>-11</v>
      </c>
      <c r="D58" s="11">
        <f>November!D58-October!D58</f>
        <v>15</v>
      </c>
      <c r="E58" s="11">
        <f>November!E58-October!E58</f>
        <v>45</v>
      </c>
      <c r="F58" s="10">
        <f t="shared" si="0"/>
        <v>91</v>
      </c>
    </row>
    <row r="59" spans="1:6" x14ac:dyDescent="0.25">
      <c r="A59" s="1" t="s">
        <v>56</v>
      </c>
      <c r="B59" s="11">
        <f>November!B59-October!B59</f>
        <v>185</v>
      </c>
      <c r="C59" s="11">
        <f>November!C59-October!C59</f>
        <v>48</v>
      </c>
      <c r="D59" s="11">
        <f>November!D59-October!D59</f>
        <v>55</v>
      </c>
      <c r="E59" s="11">
        <f>November!E59-October!E59</f>
        <v>160</v>
      </c>
      <c r="F59" s="10">
        <f t="shared" si="0"/>
        <v>448</v>
      </c>
    </row>
    <row r="60" spans="1:6" x14ac:dyDescent="0.25">
      <c r="A60" s="1" t="s">
        <v>57</v>
      </c>
      <c r="B60" s="11">
        <f>November!B60-October!B60</f>
        <v>213</v>
      </c>
      <c r="C60" s="11">
        <f>November!C60-October!C60</f>
        <v>300</v>
      </c>
      <c r="D60" s="11">
        <f>November!D60-October!D60</f>
        <v>85</v>
      </c>
      <c r="E60" s="11">
        <f>November!E60-October!E60</f>
        <v>265</v>
      </c>
      <c r="F60" s="10">
        <f t="shared" si="0"/>
        <v>863</v>
      </c>
    </row>
    <row r="61" spans="1:6" x14ac:dyDescent="0.25">
      <c r="A61" s="1" t="s">
        <v>58</v>
      </c>
      <c r="B61" s="11">
        <f>November!B61-October!B61</f>
        <v>10</v>
      </c>
      <c r="C61" s="11">
        <f>November!C61-October!C61</f>
        <v>187</v>
      </c>
      <c r="D61" s="11">
        <f>November!D61-October!D61</f>
        <v>53</v>
      </c>
      <c r="E61" s="11">
        <f>November!E61-October!E61</f>
        <v>331</v>
      </c>
      <c r="F61" s="10">
        <f t="shared" si="0"/>
        <v>581</v>
      </c>
    </row>
    <row r="62" spans="1:6" x14ac:dyDescent="0.25">
      <c r="A62" s="1" t="s">
        <v>59</v>
      </c>
      <c r="B62" s="11">
        <f>November!B62-October!B62</f>
        <v>384</v>
      </c>
      <c r="C62" s="11">
        <f>November!C62-October!C62</f>
        <v>148</v>
      </c>
      <c r="D62" s="11">
        <f>November!D62-October!D62</f>
        <v>46</v>
      </c>
      <c r="E62" s="11">
        <f>November!E62-October!E62</f>
        <v>284</v>
      </c>
      <c r="F62" s="10">
        <f t="shared" si="0"/>
        <v>862</v>
      </c>
    </row>
    <row r="63" spans="1:6" x14ac:dyDescent="0.25">
      <c r="A63" s="1" t="s">
        <v>60</v>
      </c>
      <c r="B63" s="11">
        <f>November!B63-October!B63</f>
        <v>174</v>
      </c>
      <c r="C63" s="11">
        <f>November!C63-October!C63</f>
        <v>173</v>
      </c>
      <c r="D63" s="11">
        <f>November!D63-October!D63</f>
        <v>47</v>
      </c>
      <c r="E63" s="11">
        <f>November!E63-October!E63</f>
        <v>289</v>
      </c>
      <c r="F63" s="10">
        <f t="shared" si="0"/>
        <v>683</v>
      </c>
    </row>
    <row r="64" spans="1:6" x14ac:dyDescent="0.25">
      <c r="A64" s="1" t="s">
        <v>61</v>
      </c>
      <c r="B64" s="11">
        <f>November!B64-October!B64</f>
        <v>212</v>
      </c>
      <c r="C64" s="11">
        <f>November!C64-October!C64</f>
        <v>106</v>
      </c>
      <c r="D64" s="11">
        <f>November!D64-October!D64</f>
        <v>21</v>
      </c>
      <c r="E64" s="11">
        <f>November!E64-October!E64</f>
        <v>126</v>
      </c>
      <c r="F64" s="10">
        <f t="shared" si="0"/>
        <v>465</v>
      </c>
    </row>
    <row r="65" spans="1:6" x14ac:dyDescent="0.25">
      <c r="A65" s="1" t="s">
        <v>62</v>
      </c>
      <c r="B65" s="11">
        <f>November!B65-October!B65</f>
        <v>14</v>
      </c>
      <c r="C65" s="11">
        <f>November!C65-October!C65</f>
        <v>-33</v>
      </c>
      <c r="D65" s="11">
        <f>November!D65-October!D65</f>
        <v>4</v>
      </c>
      <c r="E65" s="11">
        <f>November!E65-October!E65</f>
        <v>17</v>
      </c>
      <c r="F65" s="10">
        <f t="shared" si="0"/>
        <v>2</v>
      </c>
    </row>
    <row r="66" spans="1:6" x14ac:dyDescent="0.25">
      <c r="A66" s="1" t="s">
        <v>63</v>
      </c>
      <c r="B66" s="11">
        <f>November!B66-October!B66</f>
        <v>9</v>
      </c>
      <c r="C66" s="11">
        <f>November!C66-October!C66</f>
        <v>-3</v>
      </c>
      <c r="D66" s="11">
        <f>November!D66-October!D66</f>
        <v>1</v>
      </c>
      <c r="E66" s="11">
        <f>November!E66-October!E66</f>
        <v>10</v>
      </c>
      <c r="F66" s="10">
        <f t="shared" si="0"/>
        <v>17</v>
      </c>
    </row>
    <row r="67" spans="1:6" x14ac:dyDescent="0.25">
      <c r="A67" s="1" t="s">
        <v>64</v>
      </c>
      <c r="B67" s="11">
        <f>November!B67-October!B67</f>
        <v>6</v>
      </c>
      <c r="C67" s="11">
        <f>November!C67-October!C67</f>
        <v>-5</v>
      </c>
      <c r="D67" s="11">
        <f>November!D67-October!D67</f>
        <v>0</v>
      </c>
      <c r="E67" s="11">
        <f>November!E67-October!E67</f>
        <v>4</v>
      </c>
      <c r="F67" s="10">
        <f t="shared" si="0"/>
        <v>5</v>
      </c>
    </row>
    <row r="68" spans="1:6" x14ac:dyDescent="0.25">
      <c r="A68" s="1" t="s">
        <v>65</v>
      </c>
      <c r="B68" s="11">
        <f>November!B68-October!B68</f>
        <v>426</v>
      </c>
      <c r="C68" s="11">
        <f>November!C68-October!C68</f>
        <v>310</v>
      </c>
      <c r="D68" s="11">
        <f>November!D68-October!D68</f>
        <v>95</v>
      </c>
      <c r="E68" s="11">
        <f>November!E68-October!E68</f>
        <v>569</v>
      </c>
      <c r="F68" s="10">
        <f t="shared" si="0"/>
        <v>1400</v>
      </c>
    </row>
    <row r="69" spans="1:6" x14ac:dyDescent="0.25">
      <c r="A69" s="1" t="s">
        <v>66</v>
      </c>
      <c r="B69" s="11">
        <f>November!B69-October!B69</f>
        <v>23</v>
      </c>
      <c r="C69" s="11">
        <f>November!C69-October!C69</f>
        <v>-3</v>
      </c>
      <c r="D69" s="11">
        <f>November!D69-October!D69</f>
        <v>6</v>
      </c>
      <c r="E69" s="11">
        <f>November!E69-October!E69</f>
        <v>25</v>
      </c>
      <c r="F69" s="10">
        <f t="shared" si="0"/>
        <v>51</v>
      </c>
    </row>
    <row r="70" spans="1:6" x14ac:dyDescent="0.25">
      <c r="A70" s="1" t="s">
        <v>67</v>
      </c>
      <c r="B70" s="11">
        <f>November!B70-October!B70</f>
        <v>64</v>
      </c>
      <c r="C70" s="11">
        <f>November!C70-October!C70</f>
        <v>-21</v>
      </c>
      <c r="D70" s="11">
        <f>November!D70-October!D70</f>
        <v>11</v>
      </c>
      <c r="E70" s="11">
        <f>November!E70-October!E70</f>
        <v>48</v>
      </c>
      <c r="F70" s="10">
        <f t="shared" ref="F70:F71" si="1">SUM(B70:E70)</f>
        <v>102</v>
      </c>
    </row>
    <row r="71" spans="1:6" ht="15.75" thickBot="1" x14ac:dyDescent="0.3">
      <c r="A71" s="1" t="s">
        <v>68</v>
      </c>
      <c r="B71" s="11">
        <f>November!B71-October!B71</f>
        <v>15</v>
      </c>
      <c r="C71" s="11">
        <f>November!C71-October!C71</f>
        <v>-6</v>
      </c>
      <c r="D71" s="11">
        <f>November!D71-October!D71</f>
        <v>2</v>
      </c>
      <c r="E71" s="11">
        <f>November!E71-October!E71</f>
        <v>5</v>
      </c>
      <c r="F71" s="10">
        <f t="shared" si="1"/>
        <v>16</v>
      </c>
    </row>
    <row r="72" spans="1:6" ht="16.5" thickTop="1" thickBot="1" x14ac:dyDescent="0.3">
      <c r="A72" s="3" t="s">
        <v>1</v>
      </c>
      <c r="B72" s="8">
        <f>SUM(B5:B71)</f>
        <v>1519</v>
      </c>
      <c r="C72" s="8">
        <f>SUM(C5:C71)</f>
        <v>1534</v>
      </c>
      <c r="D72" s="8">
        <f>SUM(D5:D71)</f>
        <v>2993</v>
      </c>
      <c r="E72" s="8">
        <f>SUM(E5:E71)</f>
        <v>12702</v>
      </c>
      <c r="F72" s="8">
        <f>SUM(F5:F71)</f>
        <v>18748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1" workbookViewId="0">
      <selection activeCell="H72" sqref="H7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110</v>
      </c>
      <c r="B1" s="17"/>
      <c r="C1" s="17"/>
      <c r="D1" s="17"/>
      <c r="E1" s="17"/>
      <c r="F1" s="18"/>
    </row>
    <row r="2" spans="1:6" x14ac:dyDescent="0.25">
      <c r="A2" s="13" t="s">
        <v>120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December!B5-November!B5</f>
        <v>24</v>
      </c>
      <c r="C5" s="11">
        <f>December!C5-November!C5</f>
        <v>85</v>
      </c>
      <c r="D5" s="11">
        <f>December!D5-November!D5</f>
        <v>20</v>
      </c>
      <c r="E5" s="11">
        <f>December!E5-November!E5</f>
        <v>156</v>
      </c>
      <c r="F5" s="11">
        <f>SUM(B5:E5)</f>
        <v>285</v>
      </c>
    </row>
    <row r="6" spans="1:6" x14ac:dyDescent="0.25">
      <c r="A6" s="1" t="s">
        <v>3</v>
      </c>
      <c r="B6" s="11">
        <f>December!B6-November!B6</f>
        <v>26</v>
      </c>
      <c r="C6" s="11">
        <f>December!C6-November!C6</f>
        <v>-10</v>
      </c>
      <c r="D6" s="11">
        <f>December!D6-November!D6</f>
        <v>0</v>
      </c>
      <c r="E6" s="11">
        <f>December!E6-November!E6</f>
        <v>6</v>
      </c>
      <c r="F6" s="11">
        <f t="shared" ref="F6:F69" si="0">SUM(B6:E6)</f>
        <v>22</v>
      </c>
    </row>
    <row r="7" spans="1:6" x14ac:dyDescent="0.25">
      <c r="A7" s="1" t="s">
        <v>4</v>
      </c>
      <c r="B7" s="11">
        <f>December!B7-November!B7</f>
        <v>125</v>
      </c>
      <c r="C7" s="11">
        <f>December!C7-November!C7</f>
        <v>4</v>
      </c>
      <c r="D7" s="11">
        <f>December!D7-November!D7</f>
        <v>32</v>
      </c>
      <c r="E7" s="11">
        <f>December!E7-November!E7</f>
        <v>107</v>
      </c>
      <c r="F7" s="11">
        <f t="shared" si="0"/>
        <v>268</v>
      </c>
    </row>
    <row r="8" spans="1:6" x14ac:dyDescent="0.25">
      <c r="A8" s="1" t="s">
        <v>5</v>
      </c>
      <c r="B8" s="11">
        <f>December!B8-November!B8</f>
        <v>16</v>
      </c>
      <c r="C8" s="11">
        <f>December!C8-November!C8</f>
        <v>-5</v>
      </c>
      <c r="D8" s="11">
        <f>December!D8-November!D8</f>
        <v>0</v>
      </c>
      <c r="E8" s="11">
        <f>December!E8-November!E8</f>
        <v>14</v>
      </c>
      <c r="F8" s="11">
        <f t="shared" si="0"/>
        <v>25</v>
      </c>
    </row>
    <row r="9" spans="1:6" x14ac:dyDescent="0.25">
      <c r="A9" s="1" t="s">
        <v>6</v>
      </c>
      <c r="B9" s="11">
        <f>December!B9-November!B9</f>
        <v>314</v>
      </c>
      <c r="C9" s="11">
        <f>December!C9-November!C9</f>
        <v>155</v>
      </c>
      <c r="D9" s="11">
        <f>December!D9-November!D9</f>
        <v>158</v>
      </c>
      <c r="E9" s="11">
        <f>December!E9-November!E9</f>
        <v>490</v>
      </c>
      <c r="F9" s="11">
        <f t="shared" si="0"/>
        <v>1117</v>
      </c>
    </row>
    <row r="10" spans="1:6" x14ac:dyDescent="0.25">
      <c r="A10" s="1" t="s">
        <v>7</v>
      </c>
      <c r="B10" s="11">
        <f>December!B10-November!B10</f>
        <v>174</v>
      </c>
      <c r="C10" s="11">
        <f>December!C10-November!C10</f>
        <v>513</v>
      </c>
      <c r="D10" s="11">
        <f>December!D10-November!D10</f>
        <v>290</v>
      </c>
      <c r="E10" s="11">
        <f>December!E10-November!E10</f>
        <v>1068</v>
      </c>
      <c r="F10" s="11">
        <f t="shared" si="0"/>
        <v>2045</v>
      </c>
    </row>
    <row r="11" spans="1:6" x14ac:dyDescent="0.25">
      <c r="A11" s="1" t="s">
        <v>8</v>
      </c>
      <c r="B11" s="11">
        <f>December!B11-November!B11</f>
        <v>8</v>
      </c>
      <c r="C11" s="11">
        <f>December!C11-November!C11</f>
        <v>-16</v>
      </c>
      <c r="D11" s="11">
        <f>December!D11-November!D11</f>
        <v>1</v>
      </c>
      <c r="E11" s="11">
        <f>December!E11-November!E11</f>
        <v>-3</v>
      </c>
      <c r="F11" s="11">
        <f t="shared" si="0"/>
        <v>-10</v>
      </c>
    </row>
    <row r="12" spans="1:6" x14ac:dyDescent="0.25">
      <c r="A12" s="1" t="s">
        <v>9</v>
      </c>
      <c r="B12" s="11">
        <f>December!B12-November!B12</f>
        <v>-1310</v>
      </c>
      <c r="C12" s="11">
        <f>December!C12-November!C12</f>
        <v>-1268</v>
      </c>
      <c r="D12" s="11">
        <f>December!D12-November!D12</f>
        <v>42</v>
      </c>
      <c r="E12" s="11">
        <f>December!E12-November!E12</f>
        <v>-1732</v>
      </c>
      <c r="F12" s="11">
        <f t="shared" si="0"/>
        <v>-4268</v>
      </c>
    </row>
    <row r="13" spans="1:6" x14ac:dyDescent="0.25">
      <c r="A13" s="1" t="s">
        <v>10</v>
      </c>
      <c r="B13" s="11">
        <f>December!B13-November!B13</f>
        <v>-720</v>
      </c>
      <c r="C13" s="11">
        <f>December!C13-November!C13</f>
        <v>-495</v>
      </c>
      <c r="D13" s="11">
        <f>December!D13-November!D13</f>
        <v>31</v>
      </c>
      <c r="E13" s="11">
        <f>December!E13-November!E13</f>
        <v>-421</v>
      </c>
      <c r="F13" s="11">
        <f t="shared" si="0"/>
        <v>-1605</v>
      </c>
    </row>
    <row r="14" spans="1:6" x14ac:dyDescent="0.25">
      <c r="A14" s="1" t="s">
        <v>11</v>
      </c>
      <c r="B14" s="11">
        <f>December!B14-November!B14</f>
        <v>21</v>
      </c>
      <c r="C14" s="11">
        <f>December!C14-November!C14</f>
        <v>70</v>
      </c>
      <c r="D14" s="11">
        <f>December!D14-November!D14</f>
        <v>33</v>
      </c>
      <c r="E14" s="11">
        <f>December!E14-November!E14</f>
        <v>58</v>
      </c>
      <c r="F14" s="11">
        <f t="shared" si="0"/>
        <v>182</v>
      </c>
    </row>
    <row r="15" spans="1:6" x14ac:dyDescent="0.25">
      <c r="A15" s="1" t="s">
        <v>12</v>
      </c>
      <c r="B15" s="11">
        <f>December!B15-November!B15</f>
        <v>549</v>
      </c>
      <c r="C15" s="11">
        <f>December!C15-November!C15</f>
        <v>247</v>
      </c>
      <c r="D15" s="11">
        <f>December!D15-November!D15</f>
        <v>36</v>
      </c>
      <c r="E15" s="11">
        <f>December!E15-November!E15</f>
        <v>441</v>
      </c>
      <c r="F15" s="11">
        <f t="shared" si="0"/>
        <v>1273</v>
      </c>
    </row>
    <row r="16" spans="1:6" x14ac:dyDescent="0.25">
      <c r="A16" s="1" t="s">
        <v>13</v>
      </c>
      <c r="B16" s="11">
        <f>December!B16-November!B16</f>
        <v>45</v>
      </c>
      <c r="C16" s="11">
        <f>December!C16-November!C16</f>
        <v>2</v>
      </c>
      <c r="D16" s="11">
        <f>December!D16-November!D16</f>
        <v>5</v>
      </c>
      <c r="E16" s="11">
        <f>December!E16-November!E16</f>
        <v>40</v>
      </c>
      <c r="F16" s="11">
        <f t="shared" si="0"/>
        <v>92</v>
      </c>
    </row>
    <row r="17" spans="1:6" x14ac:dyDescent="0.25">
      <c r="A17" s="1" t="s">
        <v>14</v>
      </c>
      <c r="B17" s="11">
        <f>December!B17-November!B17</f>
        <v>3</v>
      </c>
      <c r="C17" s="11">
        <f>December!C17-November!C17</f>
        <v>-15</v>
      </c>
      <c r="D17" s="11">
        <f>December!D17-November!D17</f>
        <v>0</v>
      </c>
      <c r="E17" s="11">
        <f>December!E17-November!E17</f>
        <v>8</v>
      </c>
      <c r="F17" s="11">
        <f t="shared" si="0"/>
        <v>-4</v>
      </c>
    </row>
    <row r="18" spans="1:6" x14ac:dyDescent="0.25">
      <c r="A18" s="1" t="s">
        <v>15</v>
      </c>
      <c r="B18" s="11">
        <f>December!B18-November!B18</f>
        <v>-6</v>
      </c>
      <c r="C18" s="11">
        <f>December!C18-November!C18</f>
        <v>-15</v>
      </c>
      <c r="D18" s="11">
        <f>December!D18-November!D18</f>
        <v>0</v>
      </c>
      <c r="E18" s="11">
        <f>December!E18-November!E18</f>
        <v>2</v>
      </c>
      <c r="F18" s="11">
        <f t="shared" si="0"/>
        <v>-19</v>
      </c>
    </row>
    <row r="19" spans="1:6" x14ac:dyDescent="0.25">
      <c r="A19" s="1" t="s">
        <v>16</v>
      </c>
      <c r="B19" s="11">
        <f>December!B19-November!B19</f>
        <v>-128</v>
      </c>
      <c r="C19" s="11">
        <f>December!C19-November!C19</f>
        <v>138</v>
      </c>
      <c r="D19" s="11">
        <f>December!D19-November!D19</f>
        <v>125</v>
      </c>
      <c r="E19" s="11">
        <f>December!E19-November!E19</f>
        <v>515</v>
      </c>
      <c r="F19" s="11">
        <f t="shared" si="0"/>
        <v>650</v>
      </c>
    </row>
    <row r="20" spans="1:6" x14ac:dyDescent="0.25">
      <c r="A20" s="1" t="s">
        <v>17</v>
      </c>
      <c r="B20" s="11">
        <f>December!B20-November!B20</f>
        <v>112</v>
      </c>
      <c r="C20" s="11">
        <f>December!C20-November!C20</f>
        <v>22</v>
      </c>
      <c r="D20" s="11">
        <f>December!D20-November!D20</f>
        <v>31</v>
      </c>
      <c r="E20" s="11">
        <f>December!E20-November!E20</f>
        <v>149</v>
      </c>
      <c r="F20" s="11">
        <f t="shared" si="0"/>
        <v>314</v>
      </c>
    </row>
    <row r="21" spans="1:6" x14ac:dyDescent="0.25">
      <c r="A21" s="1" t="s">
        <v>18</v>
      </c>
      <c r="B21" s="11">
        <f>December!B21-November!B21</f>
        <v>116</v>
      </c>
      <c r="C21" s="11">
        <f>December!C21-November!C21</f>
        <v>43</v>
      </c>
      <c r="D21" s="11">
        <f>December!D21-November!D21</f>
        <v>13</v>
      </c>
      <c r="E21" s="11">
        <f>December!E21-November!E21</f>
        <v>69</v>
      </c>
      <c r="F21" s="11">
        <f t="shared" si="0"/>
        <v>241</v>
      </c>
    </row>
    <row r="22" spans="1:6" x14ac:dyDescent="0.25">
      <c r="A22" s="1" t="s">
        <v>19</v>
      </c>
      <c r="B22" s="11">
        <f>December!B22-November!B22</f>
        <v>2</v>
      </c>
      <c r="C22" s="11">
        <f>December!C22-November!C22</f>
        <v>6</v>
      </c>
      <c r="D22" s="11">
        <f>December!D22-November!D22</f>
        <v>2</v>
      </c>
      <c r="E22" s="11">
        <f>December!E22-November!E22</f>
        <v>16</v>
      </c>
      <c r="F22" s="11">
        <f t="shared" si="0"/>
        <v>26</v>
      </c>
    </row>
    <row r="23" spans="1:6" x14ac:dyDescent="0.25">
      <c r="A23" s="1" t="s">
        <v>20</v>
      </c>
      <c r="B23" s="11">
        <f>December!B23-November!B23</f>
        <v>0</v>
      </c>
      <c r="C23" s="11">
        <f>December!C23-November!C23</f>
        <v>-20</v>
      </c>
      <c r="D23" s="11">
        <f>December!D23-November!D23</f>
        <v>3</v>
      </c>
      <c r="E23" s="11">
        <f>December!E23-November!E23</f>
        <v>20</v>
      </c>
      <c r="F23" s="11">
        <f t="shared" si="0"/>
        <v>3</v>
      </c>
    </row>
    <row r="24" spans="1:6" x14ac:dyDescent="0.25">
      <c r="A24" s="1" t="s">
        <v>21</v>
      </c>
      <c r="B24" s="11">
        <f>December!B24-November!B24</f>
        <v>33</v>
      </c>
      <c r="C24" s="11">
        <f>December!C24-November!C24</f>
        <v>7</v>
      </c>
      <c r="D24" s="11">
        <f>December!D24-November!D24</f>
        <v>1</v>
      </c>
      <c r="E24" s="11">
        <f>December!E24-November!E24</f>
        <v>8</v>
      </c>
      <c r="F24" s="11">
        <f t="shared" si="0"/>
        <v>49</v>
      </c>
    </row>
    <row r="25" spans="1:6" x14ac:dyDescent="0.25">
      <c r="A25" s="1" t="s">
        <v>22</v>
      </c>
      <c r="B25" s="11">
        <f>December!B25-November!B25</f>
        <v>20</v>
      </c>
      <c r="C25" s="11">
        <f>December!C25-November!C25</f>
        <v>-9</v>
      </c>
      <c r="D25" s="11">
        <f>December!D25-November!D25</f>
        <v>0</v>
      </c>
      <c r="E25" s="11">
        <f>December!E25-November!E25</f>
        <v>1</v>
      </c>
      <c r="F25" s="11">
        <f t="shared" si="0"/>
        <v>12</v>
      </c>
    </row>
    <row r="26" spans="1:6" x14ac:dyDescent="0.25">
      <c r="A26" s="1" t="s">
        <v>23</v>
      </c>
      <c r="B26" s="11">
        <f>December!B26-November!B26</f>
        <v>11</v>
      </c>
      <c r="C26" s="11">
        <f>December!C26-November!C26</f>
        <v>-2</v>
      </c>
      <c r="D26" s="11">
        <f>December!D26-November!D26</f>
        <v>2</v>
      </c>
      <c r="E26" s="11">
        <f>December!E26-November!E26</f>
        <v>2</v>
      </c>
      <c r="F26" s="11">
        <f t="shared" si="0"/>
        <v>13</v>
      </c>
    </row>
    <row r="27" spans="1:6" x14ac:dyDescent="0.25">
      <c r="A27" s="1" t="s">
        <v>24</v>
      </c>
      <c r="B27" s="11">
        <f>December!B27-November!B27</f>
        <v>11</v>
      </c>
      <c r="C27" s="11">
        <f>December!C27-November!C27</f>
        <v>3</v>
      </c>
      <c r="D27" s="11">
        <f>December!D27-November!D27</f>
        <v>0</v>
      </c>
      <c r="E27" s="11">
        <f>December!E27-November!E27</f>
        <v>2</v>
      </c>
      <c r="F27" s="11">
        <f t="shared" si="0"/>
        <v>16</v>
      </c>
    </row>
    <row r="28" spans="1:6" x14ac:dyDescent="0.25">
      <c r="A28" s="1" t="s">
        <v>25</v>
      </c>
      <c r="B28" s="11">
        <f>December!B28-November!B28</f>
        <v>2</v>
      </c>
      <c r="C28" s="11">
        <f>December!C28-November!C28</f>
        <v>-2</v>
      </c>
      <c r="D28" s="11">
        <f>December!D28-November!D28</f>
        <v>1</v>
      </c>
      <c r="E28" s="11">
        <f>December!E28-November!E28</f>
        <v>14</v>
      </c>
      <c r="F28" s="11">
        <f t="shared" si="0"/>
        <v>15</v>
      </c>
    </row>
    <row r="29" spans="1:6" x14ac:dyDescent="0.25">
      <c r="A29" s="1" t="s">
        <v>26</v>
      </c>
      <c r="B29" s="11">
        <f>December!B29-November!B29</f>
        <v>-13</v>
      </c>
      <c r="C29" s="11">
        <f>December!C29-November!C29</f>
        <v>-30</v>
      </c>
      <c r="D29" s="11">
        <f>December!D29-November!D29</f>
        <v>1</v>
      </c>
      <c r="E29" s="11">
        <f>December!E29-November!E29</f>
        <v>-21</v>
      </c>
      <c r="F29" s="11">
        <f t="shared" si="0"/>
        <v>-63</v>
      </c>
    </row>
    <row r="30" spans="1:6" x14ac:dyDescent="0.25">
      <c r="A30" s="1" t="s">
        <v>27</v>
      </c>
      <c r="B30" s="11">
        <f>December!B30-November!B30</f>
        <v>61</v>
      </c>
      <c r="C30" s="11">
        <f>December!C30-November!C30</f>
        <v>10</v>
      </c>
      <c r="D30" s="11">
        <f>December!D30-November!D30</f>
        <v>62</v>
      </c>
      <c r="E30" s="11">
        <f>December!E30-November!E30</f>
        <v>98</v>
      </c>
      <c r="F30" s="11">
        <f t="shared" si="0"/>
        <v>231</v>
      </c>
    </row>
    <row r="31" spans="1:6" x14ac:dyDescent="0.25">
      <c r="A31" s="1" t="s">
        <v>28</v>
      </c>
      <c r="B31" s="11">
        <f>December!B31-November!B31</f>
        <v>-151</v>
      </c>
      <c r="C31" s="11">
        <f>December!C31-November!C31</f>
        <v>-171</v>
      </c>
      <c r="D31" s="11">
        <f>December!D31-November!D31</f>
        <v>10</v>
      </c>
      <c r="E31" s="11">
        <f>December!E31-November!E31</f>
        <v>20</v>
      </c>
      <c r="F31" s="11">
        <f t="shared" si="0"/>
        <v>-292</v>
      </c>
    </row>
    <row r="32" spans="1:6" x14ac:dyDescent="0.25">
      <c r="A32" s="1" t="s">
        <v>29</v>
      </c>
      <c r="B32" s="11">
        <f>December!B32-November!B32</f>
        <v>-2037</v>
      </c>
      <c r="C32" s="11">
        <f>December!C32-November!C32</f>
        <v>-2058</v>
      </c>
      <c r="D32" s="11">
        <f>December!D32-November!D32</f>
        <v>177</v>
      </c>
      <c r="E32" s="11">
        <f>December!E32-November!E32</f>
        <v>-1495</v>
      </c>
      <c r="F32" s="11">
        <f t="shared" si="0"/>
        <v>-5413</v>
      </c>
    </row>
    <row r="33" spans="1:6" x14ac:dyDescent="0.25">
      <c r="A33" s="1" t="s">
        <v>30</v>
      </c>
      <c r="B33" s="11">
        <f>December!B33-November!B33</f>
        <v>-1</v>
      </c>
      <c r="C33" s="11">
        <f>December!C33-November!C33</f>
        <v>-5</v>
      </c>
      <c r="D33" s="11">
        <f>December!D33-November!D33</f>
        <v>1</v>
      </c>
      <c r="E33" s="11">
        <f>December!E33-November!E33</f>
        <v>14</v>
      </c>
      <c r="F33" s="11">
        <f t="shared" si="0"/>
        <v>9</v>
      </c>
    </row>
    <row r="34" spans="1:6" x14ac:dyDescent="0.25">
      <c r="A34" s="1" t="s">
        <v>31</v>
      </c>
      <c r="B34" s="11">
        <f>December!B34-November!B34</f>
        <v>-83</v>
      </c>
      <c r="C34" s="11">
        <f>December!C34-November!C34</f>
        <v>-38</v>
      </c>
      <c r="D34" s="11">
        <f>December!D34-November!D34</f>
        <v>28</v>
      </c>
      <c r="E34" s="11">
        <f>December!E34-November!E34</f>
        <v>-36</v>
      </c>
      <c r="F34" s="11">
        <f t="shared" si="0"/>
        <v>-129</v>
      </c>
    </row>
    <row r="35" spans="1:6" x14ac:dyDescent="0.25">
      <c r="A35" s="1" t="s">
        <v>32</v>
      </c>
      <c r="B35" s="11">
        <f>December!B35-November!B35</f>
        <v>-104</v>
      </c>
      <c r="C35" s="11">
        <f>December!C35-November!C35</f>
        <v>-222</v>
      </c>
      <c r="D35" s="11">
        <f>December!D35-November!D35</f>
        <v>2</v>
      </c>
      <c r="E35" s="11">
        <f>December!E35-November!E35</f>
        <v>-72</v>
      </c>
      <c r="F35" s="11">
        <f t="shared" si="0"/>
        <v>-396</v>
      </c>
    </row>
    <row r="36" spans="1:6" x14ac:dyDescent="0.25">
      <c r="A36" s="1" t="s">
        <v>33</v>
      </c>
      <c r="B36" s="11">
        <f>December!B36-November!B36</f>
        <v>13</v>
      </c>
      <c r="C36" s="11">
        <f>December!C36-November!C36</f>
        <v>1</v>
      </c>
      <c r="D36" s="11">
        <f>December!D36-November!D36</f>
        <v>0</v>
      </c>
      <c r="E36" s="11">
        <f>December!E36-November!E36</f>
        <v>6</v>
      </c>
      <c r="F36" s="11">
        <f t="shared" si="0"/>
        <v>20</v>
      </c>
    </row>
    <row r="37" spans="1:6" x14ac:dyDescent="0.25">
      <c r="A37" s="1" t="s">
        <v>34</v>
      </c>
      <c r="B37" s="11">
        <f>December!B37-November!B37</f>
        <v>0</v>
      </c>
      <c r="C37" s="11">
        <f>December!C37-November!C37</f>
        <v>1</v>
      </c>
      <c r="D37" s="11">
        <f>December!D37-November!D37</f>
        <v>0</v>
      </c>
      <c r="E37" s="11">
        <f>December!E37-November!E37</f>
        <v>3</v>
      </c>
      <c r="F37" s="11">
        <f t="shared" si="0"/>
        <v>4</v>
      </c>
    </row>
    <row r="38" spans="1:6" x14ac:dyDescent="0.25">
      <c r="A38" s="1" t="s">
        <v>35</v>
      </c>
      <c r="B38" s="11">
        <f>December!B38-November!B38</f>
        <v>253</v>
      </c>
      <c r="C38" s="11">
        <f>December!C38-November!C38</f>
        <v>189</v>
      </c>
      <c r="D38" s="11">
        <f>December!D38-November!D38</f>
        <v>30</v>
      </c>
      <c r="E38" s="11">
        <f>December!E38-November!E38</f>
        <v>297</v>
      </c>
      <c r="F38" s="11">
        <f t="shared" si="0"/>
        <v>769</v>
      </c>
    </row>
    <row r="39" spans="1:6" x14ac:dyDescent="0.25">
      <c r="A39" s="1" t="s">
        <v>36</v>
      </c>
      <c r="B39" s="11">
        <f>December!B39-November!B39</f>
        <v>447</v>
      </c>
      <c r="C39" s="11">
        <f>December!C39-November!C39</f>
        <v>324</v>
      </c>
      <c r="D39" s="11">
        <f>December!D39-November!D39</f>
        <v>96</v>
      </c>
      <c r="E39" s="11">
        <f>December!E39-November!E39</f>
        <v>958</v>
      </c>
      <c r="F39" s="11">
        <f t="shared" si="0"/>
        <v>1825</v>
      </c>
    </row>
    <row r="40" spans="1:6" x14ac:dyDescent="0.25">
      <c r="A40" s="1" t="s">
        <v>37</v>
      </c>
      <c r="B40" s="11">
        <f>December!B40-November!B40</f>
        <v>22</v>
      </c>
      <c r="C40" s="11">
        <f>December!C40-November!C40</f>
        <v>-26</v>
      </c>
      <c r="D40" s="11">
        <f>December!D40-November!D40</f>
        <v>38</v>
      </c>
      <c r="E40" s="11">
        <f>December!E40-November!E40</f>
        <v>87</v>
      </c>
      <c r="F40" s="11">
        <f t="shared" si="0"/>
        <v>121</v>
      </c>
    </row>
    <row r="41" spans="1:6" x14ac:dyDescent="0.25">
      <c r="A41" s="1" t="s">
        <v>38</v>
      </c>
      <c r="B41" s="11">
        <f>December!B41-November!B41</f>
        <v>15</v>
      </c>
      <c r="C41" s="11">
        <f>December!C41-November!C41</f>
        <v>11</v>
      </c>
      <c r="D41" s="11">
        <f>December!D41-November!D41</f>
        <v>3</v>
      </c>
      <c r="E41" s="11">
        <f>December!E41-November!E41</f>
        <v>27</v>
      </c>
      <c r="F41" s="11">
        <f t="shared" si="0"/>
        <v>56</v>
      </c>
    </row>
    <row r="42" spans="1:6" x14ac:dyDescent="0.25">
      <c r="A42" s="1" t="s">
        <v>39</v>
      </c>
      <c r="B42" s="11">
        <f>December!B42-November!B42</f>
        <v>0</v>
      </c>
      <c r="C42" s="11">
        <f>December!C42-November!C42</f>
        <v>-4</v>
      </c>
      <c r="D42" s="11">
        <f>December!D42-November!D42</f>
        <v>0</v>
      </c>
      <c r="E42" s="11">
        <f>December!E42-November!E42</f>
        <v>1</v>
      </c>
      <c r="F42" s="11">
        <f t="shared" si="0"/>
        <v>-3</v>
      </c>
    </row>
    <row r="43" spans="1:6" x14ac:dyDescent="0.25">
      <c r="A43" s="1" t="s">
        <v>40</v>
      </c>
      <c r="B43" s="11">
        <f>December!B43-November!B43</f>
        <v>-12</v>
      </c>
      <c r="C43" s="11">
        <f>December!C43-November!C43</f>
        <v>-61</v>
      </c>
      <c r="D43" s="11">
        <f>December!D43-November!D43</f>
        <v>0</v>
      </c>
      <c r="E43" s="11">
        <f>December!E43-November!E43</f>
        <v>-18</v>
      </c>
      <c r="F43" s="11">
        <f t="shared" si="0"/>
        <v>-91</v>
      </c>
    </row>
    <row r="44" spans="1:6" x14ac:dyDescent="0.25">
      <c r="A44" s="1" t="s">
        <v>41</v>
      </c>
      <c r="B44" s="11">
        <f>December!B44-November!B44</f>
        <v>292</v>
      </c>
      <c r="C44" s="11">
        <f>December!C44-November!C44</f>
        <v>227</v>
      </c>
      <c r="D44" s="11">
        <f>December!D44-November!D44</f>
        <v>85</v>
      </c>
      <c r="E44" s="11">
        <f>December!E44-November!E44</f>
        <v>279</v>
      </c>
      <c r="F44" s="11">
        <f t="shared" si="0"/>
        <v>883</v>
      </c>
    </row>
    <row r="45" spans="1:6" x14ac:dyDescent="0.25">
      <c r="A45" s="1" t="s">
        <v>42</v>
      </c>
      <c r="B45" s="11">
        <f>December!B45-November!B45</f>
        <v>202</v>
      </c>
      <c r="C45" s="11">
        <f>December!C45-November!C45</f>
        <v>138</v>
      </c>
      <c r="D45" s="11">
        <f>December!D45-November!D45</f>
        <v>44</v>
      </c>
      <c r="E45" s="11">
        <f>December!E45-November!E45</f>
        <v>237</v>
      </c>
      <c r="F45" s="11">
        <f t="shared" si="0"/>
        <v>621</v>
      </c>
    </row>
    <row r="46" spans="1:6" x14ac:dyDescent="0.25">
      <c r="A46" s="1" t="s">
        <v>43</v>
      </c>
      <c r="B46" s="11">
        <f>December!B46-November!B46</f>
        <v>74</v>
      </c>
      <c r="C46" s="11">
        <f>December!C46-November!C46</f>
        <v>47</v>
      </c>
      <c r="D46" s="11">
        <f>December!D46-November!D46</f>
        <v>41</v>
      </c>
      <c r="E46" s="11">
        <f>December!E46-November!E46</f>
        <v>123</v>
      </c>
      <c r="F46" s="11">
        <f t="shared" si="0"/>
        <v>285</v>
      </c>
    </row>
    <row r="47" spans="1:6" x14ac:dyDescent="0.25">
      <c r="A47" s="1" t="s">
        <v>44</v>
      </c>
      <c r="B47" s="11">
        <f>December!B47-November!B47</f>
        <v>-1126</v>
      </c>
      <c r="C47" s="11">
        <f>December!C47-November!C47</f>
        <v>-2161</v>
      </c>
      <c r="D47" s="11">
        <f>December!D47-November!D47</f>
        <v>185</v>
      </c>
      <c r="E47" s="11">
        <f>December!E47-November!E47</f>
        <v>-605</v>
      </c>
      <c r="F47" s="11">
        <f t="shared" si="0"/>
        <v>-3707</v>
      </c>
    </row>
    <row r="48" spans="1:6" x14ac:dyDescent="0.25">
      <c r="A48" s="1" t="s">
        <v>45</v>
      </c>
      <c r="B48" s="11">
        <f>December!B48-November!B48</f>
        <v>20</v>
      </c>
      <c r="C48" s="11">
        <f>December!C48-November!C48</f>
        <v>12</v>
      </c>
      <c r="D48" s="11">
        <f>December!D48-November!D48</f>
        <v>11</v>
      </c>
      <c r="E48" s="11">
        <f>December!E48-November!E48</f>
        <v>-35</v>
      </c>
      <c r="F48" s="11">
        <f t="shared" si="0"/>
        <v>8</v>
      </c>
    </row>
    <row r="49" spans="1:6" x14ac:dyDescent="0.25">
      <c r="A49" s="1" t="s">
        <v>46</v>
      </c>
      <c r="B49" s="11">
        <f>December!B49-November!B49</f>
        <v>129</v>
      </c>
      <c r="C49" s="11">
        <f>December!C49-November!C49</f>
        <v>41</v>
      </c>
      <c r="D49" s="11">
        <f>December!D49-November!D49</f>
        <v>22</v>
      </c>
      <c r="E49" s="11">
        <f>December!E49-November!E49</f>
        <v>75</v>
      </c>
      <c r="F49" s="11">
        <f t="shared" si="0"/>
        <v>267</v>
      </c>
    </row>
    <row r="50" spans="1:6" x14ac:dyDescent="0.25">
      <c r="A50" s="1" t="s">
        <v>47</v>
      </c>
      <c r="B50" s="11">
        <f>December!B50-November!B50</f>
        <v>144</v>
      </c>
      <c r="C50" s="11">
        <f>December!C50-November!C50</f>
        <v>25</v>
      </c>
      <c r="D50" s="11">
        <f>December!D50-November!D50</f>
        <v>33</v>
      </c>
      <c r="E50" s="11">
        <f>December!E50-November!E50</f>
        <v>170</v>
      </c>
      <c r="F50" s="11">
        <f t="shared" si="0"/>
        <v>372</v>
      </c>
    </row>
    <row r="51" spans="1:6" x14ac:dyDescent="0.25">
      <c r="A51" s="1" t="s">
        <v>48</v>
      </c>
      <c r="B51" s="11">
        <f>December!B51-November!B51</f>
        <v>1</v>
      </c>
      <c r="C51" s="11">
        <f>December!C51-November!C51</f>
        <v>-2</v>
      </c>
      <c r="D51" s="11">
        <f>December!D51-November!D51</f>
        <v>7</v>
      </c>
      <c r="E51" s="11">
        <f>December!E51-November!E51</f>
        <v>11</v>
      </c>
      <c r="F51" s="11">
        <f t="shared" si="0"/>
        <v>17</v>
      </c>
    </row>
    <row r="52" spans="1:6" x14ac:dyDescent="0.25">
      <c r="A52" s="1" t="s">
        <v>49</v>
      </c>
      <c r="B52" s="11">
        <f>December!B52-November!B52</f>
        <v>-12</v>
      </c>
      <c r="C52" s="11">
        <f>December!C52-November!C52</f>
        <v>742</v>
      </c>
      <c r="D52" s="11">
        <f>December!D52-November!D52</f>
        <v>230</v>
      </c>
      <c r="E52" s="11">
        <f>December!E52-November!E52</f>
        <v>1259</v>
      </c>
      <c r="F52" s="11">
        <f t="shared" si="0"/>
        <v>2219</v>
      </c>
    </row>
    <row r="53" spans="1:6" x14ac:dyDescent="0.25">
      <c r="A53" s="1" t="s">
        <v>50</v>
      </c>
      <c r="B53" s="11">
        <f>December!B53-November!B53</f>
        <v>117</v>
      </c>
      <c r="C53" s="11">
        <f>December!C53-November!C53</f>
        <v>300</v>
      </c>
      <c r="D53" s="11">
        <f>December!D53-November!D53</f>
        <v>19</v>
      </c>
      <c r="E53" s="11">
        <f>December!E53-November!E53</f>
        <v>860</v>
      </c>
      <c r="F53" s="11">
        <f t="shared" si="0"/>
        <v>1296</v>
      </c>
    </row>
    <row r="54" spans="1:6" x14ac:dyDescent="0.25">
      <c r="A54" s="1" t="s">
        <v>51</v>
      </c>
      <c r="B54" s="11">
        <f>December!B54-November!B54</f>
        <v>-910</v>
      </c>
      <c r="C54" s="11">
        <f>December!C54-November!C54</f>
        <v>-1904</v>
      </c>
      <c r="D54" s="11">
        <f>December!D54-November!D54</f>
        <v>191</v>
      </c>
      <c r="E54" s="11">
        <f>December!E54-November!E54</f>
        <v>-1704</v>
      </c>
      <c r="F54" s="11">
        <f t="shared" si="0"/>
        <v>-4327</v>
      </c>
    </row>
    <row r="55" spans="1:6" x14ac:dyDescent="0.25">
      <c r="A55" s="1" t="s">
        <v>52</v>
      </c>
      <c r="B55" s="11">
        <f>December!B55-November!B55</f>
        <v>-416</v>
      </c>
      <c r="C55" s="11">
        <f>December!C55-November!C55</f>
        <v>-578</v>
      </c>
      <c r="D55" s="11">
        <f>December!D55-November!D55</f>
        <v>104</v>
      </c>
      <c r="E55" s="11">
        <f>December!E55-November!E55</f>
        <v>-639</v>
      </c>
      <c r="F55" s="11">
        <f t="shared" si="0"/>
        <v>-1529</v>
      </c>
    </row>
    <row r="56" spans="1:6" x14ac:dyDescent="0.25">
      <c r="A56" s="1" t="s">
        <v>53</v>
      </c>
      <c r="B56" s="11">
        <f>December!B56-November!B56</f>
        <v>-133</v>
      </c>
      <c r="C56" s="11">
        <f>December!C56-November!C56</f>
        <v>-204</v>
      </c>
      <c r="D56" s="11">
        <f>December!D56-November!D56</f>
        <v>129</v>
      </c>
      <c r="E56" s="11">
        <f>December!E56-November!E56</f>
        <v>536</v>
      </c>
      <c r="F56" s="11">
        <f t="shared" si="0"/>
        <v>328</v>
      </c>
    </row>
    <row r="57" spans="1:6" x14ac:dyDescent="0.25">
      <c r="A57" s="1" t="s">
        <v>54</v>
      </c>
      <c r="B57" s="11">
        <f>December!B57-November!B57</f>
        <v>366</v>
      </c>
      <c r="C57" s="11">
        <f>December!C57-November!C57</f>
        <v>460</v>
      </c>
      <c r="D57" s="11">
        <f>December!D57-November!D57</f>
        <v>110</v>
      </c>
      <c r="E57" s="11">
        <f>December!E57-November!E57</f>
        <v>984</v>
      </c>
      <c r="F57" s="11">
        <f t="shared" si="0"/>
        <v>1920</v>
      </c>
    </row>
    <row r="58" spans="1:6" x14ac:dyDescent="0.25">
      <c r="A58" s="1" t="s">
        <v>55</v>
      </c>
      <c r="B58" s="11">
        <f>December!B58-November!B58</f>
        <v>11</v>
      </c>
      <c r="C58" s="11">
        <f>December!C58-November!C58</f>
        <v>-58</v>
      </c>
      <c r="D58" s="11">
        <f>December!D58-November!D58</f>
        <v>10</v>
      </c>
      <c r="E58" s="11">
        <f>December!E58-November!E58</f>
        <v>33</v>
      </c>
      <c r="F58" s="11">
        <f t="shared" si="0"/>
        <v>-4</v>
      </c>
    </row>
    <row r="59" spans="1:6" x14ac:dyDescent="0.25">
      <c r="A59" s="1" t="s">
        <v>56</v>
      </c>
      <c r="B59" s="11">
        <f>December!B59-November!B59</f>
        <v>-34</v>
      </c>
      <c r="C59" s="11">
        <f>December!C59-November!C59</f>
        <v>-26</v>
      </c>
      <c r="D59" s="11">
        <f>December!D59-November!D59</f>
        <v>37</v>
      </c>
      <c r="E59" s="11">
        <f>December!E59-November!E59</f>
        <v>66</v>
      </c>
      <c r="F59" s="11">
        <f t="shared" si="0"/>
        <v>43</v>
      </c>
    </row>
    <row r="60" spans="1:6" x14ac:dyDescent="0.25">
      <c r="A60" s="1" t="s">
        <v>57</v>
      </c>
      <c r="B60" s="11">
        <f>December!B60-November!B60</f>
        <v>-2155</v>
      </c>
      <c r="C60" s="11">
        <f>December!C60-November!C60</f>
        <v>-1833</v>
      </c>
      <c r="D60" s="11">
        <f>December!D60-November!D60</f>
        <v>40</v>
      </c>
      <c r="E60" s="11">
        <f>December!E60-November!E60</f>
        <v>-1792</v>
      </c>
      <c r="F60" s="11">
        <f t="shared" si="0"/>
        <v>-5740</v>
      </c>
    </row>
    <row r="61" spans="1:6" x14ac:dyDescent="0.25">
      <c r="A61" s="1" t="s">
        <v>58</v>
      </c>
      <c r="B61" s="11">
        <f>December!B61-November!B61</f>
        <v>48</v>
      </c>
      <c r="C61" s="11">
        <f>December!C61-November!C61</f>
        <v>295</v>
      </c>
      <c r="D61" s="11">
        <f>December!D61-November!D61</f>
        <v>60</v>
      </c>
      <c r="E61" s="11">
        <f>December!E61-November!E61</f>
        <v>383</v>
      </c>
      <c r="F61" s="11">
        <f t="shared" si="0"/>
        <v>786</v>
      </c>
    </row>
    <row r="62" spans="1:6" x14ac:dyDescent="0.25">
      <c r="A62" s="1" t="s">
        <v>59</v>
      </c>
      <c r="B62" s="11">
        <f>December!B62-November!B62</f>
        <v>424</v>
      </c>
      <c r="C62" s="11">
        <f>December!C62-November!C62</f>
        <v>269</v>
      </c>
      <c r="D62" s="11">
        <f>December!D62-November!D62</f>
        <v>36</v>
      </c>
      <c r="E62" s="11">
        <f>December!E62-November!E62</f>
        <v>301</v>
      </c>
      <c r="F62" s="11">
        <f t="shared" si="0"/>
        <v>1030</v>
      </c>
    </row>
    <row r="63" spans="1:6" x14ac:dyDescent="0.25">
      <c r="A63" s="1" t="s">
        <v>60</v>
      </c>
      <c r="B63" s="11">
        <f>December!B63-November!B63</f>
        <v>-765</v>
      </c>
      <c r="C63" s="11">
        <f>December!C63-November!C63</f>
        <v>-889</v>
      </c>
      <c r="D63" s="11">
        <f>December!D63-November!D63</f>
        <v>39</v>
      </c>
      <c r="E63" s="11">
        <f>December!E63-November!E63</f>
        <v>-817</v>
      </c>
      <c r="F63" s="11">
        <f t="shared" si="0"/>
        <v>-2432</v>
      </c>
    </row>
    <row r="64" spans="1:6" x14ac:dyDescent="0.25">
      <c r="A64" s="1" t="s">
        <v>61</v>
      </c>
      <c r="B64" s="11">
        <f>December!B64-November!B64</f>
        <v>224</v>
      </c>
      <c r="C64" s="11">
        <f>December!C64-November!C64</f>
        <v>48</v>
      </c>
      <c r="D64" s="11">
        <f>December!D64-November!D64</f>
        <v>18</v>
      </c>
      <c r="E64" s="11">
        <f>December!E64-November!E64</f>
        <v>122</v>
      </c>
      <c r="F64" s="11">
        <f t="shared" si="0"/>
        <v>412</v>
      </c>
    </row>
    <row r="65" spans="1:6" x14ac:dyDescent="0.25">
      <c r="A65" s="1" t="s">
        <v>62</v>
      </c>
      <c r="B65" s="11">
        <f>December!B65-November!B65</f>
        <v>35</v>
      </c>
      <c r="C65" s="11">
        <f>December!C65-November!C65</f>
        <v>-4</v>
      </c>
      <c r="D65" s="11">
        <f>December!D65-November!D65</f>
        <v>6</v>
      </c>
      <c r="E65" s="11">
        <f>December!E65-November!E65</f>
        <v>10</v>
      </c>
      <c r="F65" s="11">
        <f t="shared" si="0"/>
        <v>47</v>
      </c>
    </row>
    <row r="66" spans="1:6" x14ac:dyDescent="0.25">
      <c r="A66" s="1" t="s">
        <v>63</v>
      </c>
      <c r="B66" s="11">
        <f>December!B66-November!B66</f>
        <v>2</v>
      </c>
      <c r="C66" s="11">
        <f>December!C66-November!C66</f>
        <v>-25</v>
      </c>
      <c r="D66" s="11">
        <f>December!D66-November!D66</f>
        <v>1</v>
      </c>
      <c r="E66" s="11">
        <f>December!E66-November!E66</f>
        <v>12</v>
      </c>
      <c r="F66" s="11">
        <f t="shared" si="0"/>
        <v>-10</v>
      </c>
    </row>
    <row r="67" spans="1:6" x14ac:dyDescent="0.25">
      <c r="A67" s="1" t="s">
        <v>64</v>
      </c>
      <c r="B67" s="11">
        <f>December!B67-November!B67</f>
        <v>-3</v>
      </c>
      <c r="C67" s="11">
        <f>December!C67-November!C67</f>
        <v>-9</v>
      </c>
      <c r="D67" s="11">
        <f>December!D67-November!D67</f>
        <v>0</v>
      </c>
      <c r="E67" s="11">
        <f>December!E67-November!E67</f>
        <v>-3</v>
      </c>
      <c r="F67" s="11">
        <f t="shared" si="0"/>
        <v>-15</v>
      </c>
    </row>
    <row r="68" spans="1:6" x14ac:dyDescent="0.25">
      <c r="A68" s="1" t="s">
        <v>65</v>
      </c>
      <c r="B68" s="11">
        <f>December!B68-November!B68</f>
        <v>119</v>
      </c>
      <c r="C68" s="11">
        <f>December!C68-November!C68</f>
        <v>-18</v>
      </c>
      <c r="D68" s="11">
        <f>December!D68-November!D68</f>
        <v>97</v>
      </c>
      <c r="E68" s="11">
        <f>December!E68-November!E68</f>
        <v>399</v>
      </c>
      <c r="F68" s="11">
        <f t="shared" si="0"/>
        <v>597</v>
      </c>
    </row>
    <row r="69" spans="1:6" x14ac:dyDescent="0.25">
      <c r="A69" s="1" t="s">
        <v>66</v>
      </c>
      <c r="B69" s="11">
        <f>December!B69-November!B69</f>
        <v>13</v>
      </c>
      <c r="C69" s="11">
        <f>December!C69-November!C69</f>
        <v>-9</v>
      </c>
      <c r="D69" s="11">
        <f>December!D69-November!D69</f>
        <v>6</v>
      </c>
      <c r="E69" s="11">
        <f>December!E69-November!E69</f>
        <v>6</v>
      </c>
      <c r="F69" s="11">
        <f t="shared" si="0"/>
        <v>16</v>
      </c>
    </row>
    <row r="70" spans="1:6" x14ac:dyDescent="0.25">
      <c r="A70" s="1" t="s">
        <v>67</v>
      </c>
      <c r="B70" s="11">
        <f>December!B70-November!B70</f>
        <v>27</v>
      </c>
      <c r="C70" s="11">
        <f>December!C70-November!C70</f>
        <v>-27</v>
      </c>
      <c r="D70" s="11">
        <f>December!D70-November!D70</f>
        <v>15</v>
      </c>
      <c r="E70" s="11">
        <f>December!E70-November!E70</f>
        <v>9</v>
      </c>
      <c r="F70" s="11">
        <f t="shared" ref="F70:F71" si="1">SUM(B70:E70)</f>
        <v>24</v>
      </c>
    </row>
    <row r="71" spans="1:6" ht="15.75" thickBot="1" x14ac:dyDescent="0.3">
      <c r="A71" s="1" t="s">
        <v>68</v>
      </c>
      <c r="B71" s="11">
        <f>December!B71-November!B71</f>
        <v>10</v>
      </c>
      <c r="C71" s="11">
        <f>December!C71-November!C71</f>
        <v>-15</v>
      </c>
      <c r="D71" s="11">
        <f>December!D71-November!D71</f>
        <v>1</v>
      </c>
      <c r="E71" s="11">
        <f>December!E71-November!E71</f>
        <v>15</v>
      </c>
      <c r="F71" s="11">
        <f t="shared" si="1"/>
        <v>11</v>
      </c>
    </row>
    <row r="72" spans="1:6" ht="16.5" thickTop="1" thickBot="1" x14ac:dyDescent="0.3">
      <c r="A72" s="3" t="s">
        <v>1</v>
      </c>
      <c r="B72" s="8">
        <f>SUM(B5:B71)</f>
        <v>-5438</v>
      </c>
      <c r="C72" s="8">
        <f>SUM(C5:C71)</f>
        <v>-7799</v>
      </c>
      <c r="D72" s="8">
        <f>SUM(D5:D71)</f>
        <v>2851</v>
      </c>
      <c r="E72" s="8">
        <f>SUM(E5:E71)</f>
        <v>1194</v>
      </c>
      <c r="F72" s="8">
        <f>SUM(F5:F71)</f>
        <v>-9192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F4" sqref="F4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16" t="s">
        <v>87</v>
      </c>
      <c r="B1" s="17"/>
      <c r="C1" s="17"/>
      <c r="D1" s="17"/>
      <c r="E1" s="17"/>
      <c r="F1" s="18"/>
    </row>
    <row r="2" spans="1:6" x14ac:dyDescent="0.25">
      <c r="A2" s="13" t="s">
        <v>121</v>
      </c>
      <c r="B2" s="14"/>
      <c r="C2" s="14"/>
      <c r="D2" s="14"/>
      <c r="E2" s="14"/>
      <c r="F2" s="15"/>
    </row>
    <row r="3" spans="1:6" x14ac:dyDescent="0.25">
      <c r="A3" s="19" t="s">
        <v>73</v>
      </c>
      <c r="B3" s="20"/>
      <c r="C3" s="20"/>
      <c r="D3" s="20"/>
      <c r="E3" s="20"/>
      <c r="F3" s="21"/>
    </row>
    <row r="4" spans="1:6" ht="45.75" thickBot="1" x14ac:dyDescent="0.3">
      <c r="A4" s="4" t="s">
        <v>0</v>
      </c>
      <c r="B4" s="5" t="s">
        <v>69</v>
      </c>
      <c r="C4" s="5" t="s">
        <v>70</v>
      </c>
      <c r="D4" s="5" t="s">
        <v>71</v>
      </c>
      <c r="E4" s="5" t="s">
        <v>72</v>
      </c>
      <c r="F4" s="6" t="s">
        <v>1</v>
      </c>
    </row>
    <row r="5" spans="1:6" ht="15.75" thickTop="1" x14ac:dyDescent="0.25">
      <c r="A5" s="1" t="s">
        <v>2</v>
      </c>
      <c r="B5" s="11">
        <f>NetJanToFeb!B5+NetFebToMar!B5+NetMarToApr!B5+NetAprToMay!B5+NetMayToJun!B5+NetJunToJul!B5+NetJulToAug!B5+NetAugToSep!B5+NetSepToOct!B5+NetOctToNov!B5+NetNovToDec!B5</f>
        <v>-1607</v>
      </c>
      <c r="C5" s="11">
        <f>NetJanToFeb!C5+NetFebToMar!C5+NetMarToApr!C5+NetAprToMay!C5+NetMayToJun!C5+NetJunToJul!C5+NetJulToAug!C5+NetAugToSep!C5+NetSepToOct!C5+NetOctToNov!C5+NetNovToDec!C5</f>
        <v>-3318</v>
      </c>
      <c r="D5" s="11">
        <f>NetJanToFeb!D5+NetFebToMar!D5+NetMarToApr!D5+NetAprToMay!D5+NetMayToJun!D5+NetJunToJul!D5+NetJulToAug!D5+NetAugToSep!D5+NetSepToOct!D5+NetOctToNov!D5+NetNovToDec!D5</f>
        <v>-2957</v>
      </c>
      <c r="E5" s="11">
        <f>NetJanToFeb!E5+NetFebToMar!E5+NetMarToApr!E5+NetAprToMay!E5+NetMayToJun!E5+NetJunToJul!E5+NetJulToAug!E5+NetAugToSep!E5+NetSepToOct!E5+NetOctToNov!E5+NetNovToDec!E5</f>
        <v>1137</v>
      </c>
      <c r="F5" s="10">
        <f>SUM(B5:E5)</f>
        <v>-6745</v>
      </c>
    </row>
    <row r="6" spans="1:6" x14ac:dyDescent="0.25">
      <c r="A6" s="1" t="s">
        <v>3</v>
      </c>
      <c r="B6" s="11">
        <f>NetJanToFeb!B6+NetFebToMar!B6+NetMarToApr!B6+NetAprToMay!B6+NetMayToJun!B6+NetJunToJul!B6+NetJulToAug!B6+NetAugToSep!B6+NetSepToOct!B6+NetOctToNov!B6+NetNovToDec!B6</f>
        <v>47</v>
      </c>
      <c r="C6" s="11">
        <f>NetJanToFeb!C6+NetFebToMar!C6+NetMarToApr!C6+NetAprToMay!C6+NetMayToJun!C6+NetJunToJul!C6+NetJulToAug!C6+NetAugToSep!C6+NetSepToOct!C6+NetOctToNov!C6+NetNovToDec!C6</f>
        <v>-187</v>
      </c>
      <c r="D6" s="11">
        <f>NetJanToFeb!D6+NetFebToMar!D6+NetMarToApr!D6+NetAprToMay!D6+NetMayToJun!D6+NetJunToJul!D6+NetJulToAug!D6+NetAugToSep!D6+NetSepToOct!D6+NetOctToNov!D6+NetNovToDec!D6</f>
        <v>-135</v>
      </c>
      <c r="E6" s="11">
        <f>NetJanToFeb!E6+NetFebToMar!E6+NetMarToApr!E6+NetAprToMay!E6+NetMayToJun!E6+NetJunToJul!E6+NetJulToAug!E6+NetAugToSep!E6+NetSepToOct!E6+NetOctToNov!E6+NetNovToDec!E6</f>
        <v>136</v>
      </c>
      <c r="F6" s="10">
        <f t="shared" ref="F6:F69" si="0">SUM(B6:E6)</f>
        <v>-139</v>
      </c>
    </row>
    <row r="7" spans="1:6" x14ac:dyDescent="0.25">
      <c r="A7" s="1" t="s">
        <v>4</v>
      </c>
      <c r="B7" s="11">
        <f>NetJanToFeb!B7+NetFebToMar!B7+NetMarToApr!B7+NetAprToMay!B7+NetMayToJun!B7+NetJunToJul!B7+NetJulToAug!B7+NetAugToSep!B7+NetSepToOct!B7+NetOctToNov!B7+NetNovToDec!B7</f>
        <v>-872</v>
      </c>
      <c r="C7" s="11">
        <f>NetJanToFeb!C7+NetFebToMar!C7+NetMarToApr!C7+NetAprToMay!C7+NetMayToJun!C7+NetJunToJul!C7+NetJulToAug!C7+NetAugToSep!C7+NetSepToOct!C7+NetOctToNov!C7+NetNovToDec!C7</f>
        <v>-1293</v>
      </c>
      <c r="D7" s="11">
        <f>NetJanToFeb!D7+NetFebToMar!D7+NetMarToApr!D7+NetAprToMay!D7+NetMayToJun!D7+NetJunToJul!D7+NetJulToAug!D7+NetAugToSep!D7+NetSepToOct!D7+NetOctToNov!D7+NetNovToDec!D7</f>
        <v>-116</v>
      </c>
      <c r="E7" s="11">
        <f>NetJanToFeb!E7+NetFebToMar!E7+NetMarToApr!E7+NetAprToMay!E7+NetMayToJun!E7+NetJunToJul!E7+NetJulToAug!E7+NetAugToSep!E7+NetSepToOct!E7+NetOctToNov!E7+NetNovToDec!E7</f>
        <v>-41</v>
      </c>
      <c r="F7" s="10">
        <f t="shared" si="0"/>
        <v>-2322</v>
      </c>
    </row>
    <row r="8" spans="1:6" x14ac:dyDescent="0.25">
      <c r="A8" s="1" t="s">
        <v>5</v>
      </c>
      <c r="B8" s="11">
        <f>NetJanToFeb!B8+NetFebToMar!B8+NetMarToApr!B8+NetAprToMay!B8+NetMayToJun!B8+NetJunToJul!B8+NetJulToAug!B8+NetAugToSep!B8+NetSepToOct!B8+NetOctToNov!B8+NetNovToDec!B8</f>
        <v>194</v>
      </c>
      <c r="C8" s="11">
        <f>NetJanToFeb!C8+NetFebToMar!C8+NetMarToApr!C8+NetAprToMay!C8+NetMayToJun!C8+NetJunToJul!C8+NetJulToAug!C8+NetAugToSep!C8+NetSepToOct!C8+NetOctToNov!C8+NetNovToDec!C8</f>
        <v>-94</v>
      </c>
      <c r="D8" s="11">
        <f>NetJanToFeb!D8+NetFebToMar!D8+NetMarToApr!D8+NetAprToMay!D8+NetMayToJun!D8+NetJunToJul!D8+NetJulToAug!D8+NetAugToSep!D8+NetSepToOct!D8+NetOctToNov!D8+NetNovToDec!D8</f>
        <v>-184</v>
      </c>
      <c r="E8" s="11">
        <f>NetJanToFeb!E8+NetFebToMar!E8+NetMarToApr!E8+NetAprToMay!E8+NetMayToJun!E8+NetJunToJul!E8+NetJulToAug!E8+NetAugToSep!E8+NetSepToOct!E8+NetOctToNov!E8+NetNovToDec!E8</f>
        <v>322</v>
      </c>
      <c r="F8" s="10">
        <f t="shared" si="0"/>
        <v>238</v>
      </c>
    </row>
    <row r="9" spans="1:6" x14ac:dyDescent="0.25">
      <c r="A9" s="1" t="s">
        <v>6</v>
      </c>
      <c r="B9" s="11">
        <f>NetJanToFeb!B9+NetFebToMar!B9+NetMarToApr!B9+NetAprToMay!B9+NetMayToJun!B9+NetJunToJul!B9+NetJulToAug!B9+NetAugToSep!B9+NetSepToOct!B9+NetOctToNov!B9+NetNovToDec!B9</f>
        <v>-312</v>
      </c>
      <c r="C9" s="11">
        <f>NetJanToFeb!C9+NetFebToMar!C9+NetMarToApr!C9+NetAprToMay!C9+NetMayToJun!C9+NetJunToJul!C9+NetJulToAug!C9+NetAugToSep!C9+NetSepToOct!C9+NetOctToNov!C9+NetNovToDec!C9</f>
        <v>-2069</v>
      </c>
      <c r="D9" s="11">
        <f>NetJanToFeb!D9+NetFebToMar!D9+NetMarToApr!D9+NetAprToMay!D9+NetMayToJun!D9+NetJunToJul!D9+NetJulToAug!D9+NetAugToSep!D9+NetSepToOct!D9+NetOctToNov!D9+NetNovToDec!D9</f>
        <v>-5</v>
      </c>
      <c r="E9" s="11">
        <f>NetJanToFeb!E9+NetFebToMar!E9+NetMarToApr!E9+NetAprToMay!E9+NetMayToJun!E9+NetJunToJul!E9+NetJulToAug!E9+NetAugToSep!E9+NetSepToOct!E9+NetOctToNov!E9+NetNovToDec!E9</f>
        <v>3093</v>
      </c>
      <c r="F9" s="10">
        <f t="shared" si="0"/>
        <v>707</v>
      </c>
    </row>
    <row r="10" spans="1:6" x14ac:dyDescent="0.25">
      <c r="A10" s="1" t="s">
        <v>7</v>
      </c>
      <c r="B10" s="11">
        <f>NetJanToFeb!B10+NetFebToMar!B10+NetMarToApr!B10+NetAprToMay!B10+NetMayToJun!B10+NetJunToJul!B10+NetJulToAug!B10+NetAugToSep!B10+NetSepToOct!B10+NetOctToNov!B10+NetNovToDec!B10</f>
        <v>-4737</v>
      </c>
      <c r="C10" s="11">
        <f>NetJanToFeb!C10+NetFebToMar!C10+NetMarToApr!C10+NetAprToMay!C10+NetMayToJun!C10+NetJunToJul!C10+NetJulToAug!C10+NetAugToSep!C10+NetSepToOct!C10+NetOctToNov!C10+NetNovToDec!C10</f>
        <v>-10240</v>
      </c>
      <c r="D10" s="11">
        <f>NetJanToFeb!D10+NetFebToMar!D10+NetMarToApr!D10+NetAprToMay!D10+NetMayToJun!D10+NetJunToJul!D10+NetJulToAug!D10+NetAugToSep!D10+NetSepToOct!D10+NetOctToNov!D10+NetNovToDec!D10</f>
        <v>-14561</v>
      </c>
      <c r="E10" s="11">
        <f>NetJanToFeb!E10+NetFebToMar!E10+NetMarToApr!E10+NetAprToMay!E10+NetMayToJun!E10+NetJunToJul!E10+NetJulToAug!E10+NetAugToSep!E10+NetSepToOct!E10+NetOctToNov!E10+NetNovToDec!E10</f>
        <v>17563</v>
      </c>
      <c r="F10" s="10">
        <f t="shared" si="0"/>
        <v>-11975</v>
      </c>
    </row>
    <row r="11" spans="1:6" x14ac:dyDescent="0.25">
      <c r="A11" s="1" t="s">
        <v>8</v>
      </c>
      <c r="B11" s="11">
        <f>NetJanToFeb!B11+NetFebToMar!B11+NetMarToApr!B11+NetAprToMay!B11+NetMayToJun!B11+NetJunToJul!B11+NetJulToAug!B11+NetAugToSep!B11+NetSepToOct!B11+NetOctToNov!B11+NetNovToDec!B11</f>
        <v>93</v>
      </c>
      <c r="C11" s="11">
        <f>NetJanToFeb!C11+NetFebToMar!C11+NetMarToApr!C11+NetAprToMay!C11+NetMayToJun!C11+NetJunToJul!C11+NetJulToAug!C11+NetAugToSep!C11+NetSepToOct!C11+NetOctToNov!C11+NetNovToDec!C11</f>
        <v>-143</v>
      </c>
      <c r="D11" s="11">
        <f>NetJanToFeb!D11+NetFebToMar!D11+NetMarToApr!D11+NetAprToMay!D11+NetMayToJun!D11+NetJunToJul!D11+NetJulToAug!D11+NetAugToSep!D11+NetSepToOct!D11+NetOctToNov!D11+NetNovToDec!D11</f>
        <v>-7</v>
      </c>
      <c r="E11" s="11">
        <f>NetJanToFeb!E11+NetFebToMar!E11+NetMarToApr!E11+NetAprToMay!E11+NetMayToJun!E11+NetJunToJul!E11+NetJulToAug!E11+NetAugToSep!E11+NetSepToOct!E11+NetOctToNov!E11+NetNovToDec!E11</f>
        <v>42</v>
      </c>
      <c r="F11" s="10">
        <f t="shared" si="0"/>
        <v>-15</v>
      </c>
    </row>
    <row r="12" spans="1:6" x14ac:dyDescent="0.25">
      <c r="A12" s="1" t="s">
        <v>9</v>
      </c>
      <c r="B12" s="11">
        <f>NetJanToFeb!B12+NetFebToMar!B12+NetMarToApr!B12+NetAprToMay!B12+NetMayToJun!B12+NetJunToJul!B12+NetJulToAug!B12+NetAugToSep!B12+NetSepToOct!B12+NetOctToNov!B12+NetNovToDec!B12</f>
        <v>735</v>
      </c>
      <c r="C12" s="11">
        <f>NetJanToFeb!C12+NetFebToMar!C12+NetMarToApr!C12+NetAprToMay!C12+NetMayToJun!C12+NetJunToJul!C12+NetJulToAug!C12+NetAugToSep!C12+NetSepToOct!C12+NetOctToNov!C12+NetNovToDec!C12</f>
        <v>-555</v>
      </c>
      <c r="D12" s="11">
        <f>NetJanToFeb!D12+NetFebToMar!D12+NetMarToApr!D12+NetAprToMay!D12+NetMayToJun!D12+NetJunToJul!D12+NetJulToAug!D12+NetAugToSep!D12+NetSepToOct!D12+NetOctToNov!D12+NetNovToDec!D12</f>
        <v>-4733</v>
      </c>
      <c r="E12" s="11">
        <f>NetJanToFeb!E12+NetFebToMar!E12+NetMarToApr!E12+NetAprToMay!E12+NetMayToJun!E12+NetJunToJul!E12+NetJulToAug!E12+NetAugToSep!E12+NetSepToOct!E12+NetOctToNov!E12+NetNovToDec!E12</f>
        <v>3795</v>
      </c>
      <c r="F12" s="10">
        <f t="shared" si="0"/>
        <v>-758</v>
      </c>
    </row>
    <row r="13" spans="1:6" x14ac:dyDescent="0.25">
      <c r="A13" s="1" t="s">
        <v>10</v>
      </c>
      <c r="B13" s="11">
        <f>NetJanToFeb!B13+NetFebToMar!B13+NetMarToApr!B13+NetAprToMay!B13+NetMayToJun!B13+NetJunToJul!B13+NetJulToAug!B13+NetAugToSep!B13+NetSepToOct!B13+NetOctToNov!B13+NetNovToDec!B13</f>
        <v>-246</v>
      </c>
      <c r="C13" s="11">
        <f>NetJanToFeb!C13+NetFebToMar!C13+NetMarToApr!C13+NetAprToMay!C13+NetMayToJun!C13+NetJunToJul!C13+NetJulToAug!C13+NetAugToSep!C13+NetSepToOct!C13+NetOctToNov!C13+NetNovToDec!C13</f>
        <v>-1312</v>
      </c>
      <c r="D13" s="11">
        <f>NetJanToFeb!D13+NetFebToMar!D13+NetMarToApr!D13+NetAprToMay!D13+NetMayToJun!D13+NetJunToJul!D13+NetJulToAug!D13+NetAugToSep!D13+NetSepToOct!D13+NetOctToNov!D13+NetNovToDec!D13</f>
        <v>-99</v>
      </c>
      <c r="E13" s="11">
        <f>NetJanToFeb!E13+NetFebToMar!E13+NetMarToApr!E13+NetAprToMay!E13+NetMayToJun!E13+NetJunToJul!E13+NetJulToAug!E13+NetAugToSep!E13+NetSepToOct!E13+NetOctToNov!E13+NetNovToDec!E13</f>
        <v>-157</v>
      </c>
      <c r="F13" s="10">
        <f t="shared" si="0"/>
        <v>-1814</v>
      </c>
    </row>
    <row r="14" spans="1:6" x14ac:dyDescent="0.25">
      <c r="A14" s="1" t="s">
        <v>11</v>
      </c>
      <c r="B14" s="11">
        <f>NetJanToFeb!B14+NetFebToMar!B14+NetMarToApr!B14+NetAprToMay!B14+NetMayToJun!B14+NetJunToJul!B14+NetJulToAug!B14+NetAugToSep!B14+NetSepToOct!B14+NetOctToNov!B14+NetNovToDec!B14</f>
        <v>461</v>
      </c>
      <c r="C14" s="11">
        <f>NetJanToFeb!C14+NetFebToMar!C14+NetMarToApr!C14+NetAprToMay!C14+NetMayToJun!C14+NetJunToJul!C14+NetJulToAug!C14+NetAugToSep!C14+NetSepToOct!C14+NetOctToNov!C14+NetNovToDec!C14</f>
        <v>661</v>
      </c>
      <c r="D14" s="11">
        <f>NetJanToFeb!D14+NetFebToMar!D14+NetMarToApr!D14+NetAprToMay!D14+NetMayToJun!D14+NetJunToJul!D14+NetJulToAug!D14+NetAugToSep!D14+NetSepToOct!D14+NetOctToNov!D14+NetNovToDec!D14</f>
        <v>-109</v>
      </c>
      <c r="E14" s="11">
        <f>NetJanToFeb!E14+NetFebToMar!E14+NetMarToApr!E14+NetAprToMay!E14+NetMayToJun!E14+NetJunToJul!E14+NetJulToAug!E14+NetAugToSep!E14+NetSepToOct!E14+NetOctToNov!E14+NetNovToDec!E14</f>
        <v>1400</v>
      </c>
      <c r="F14" s="10">
        <f t="shared" si="0"/>
        <v>2413</v>
      </c>
    </row>
    <row r="15" spans="1:6" x14ac:dyDescent="0.25">
      <c r="A15" s="1" t="s">
        <v>12</v>
      </c>
      <c r="B15" s="11">
        <f>NetJanToFeb!B15+NetFebToMar!B15+NetMarToApr!B15+NetAprToMay!B15+NetMayToJun!B15+NetJunToJul!B15+NetJulToAug!B15+NetAugToSep!B15+NetSepToOct!B15+NetOctToNov!B15+NetNovToDec!B15</f>
        <v>-1857</v>
      </c>
      <c r="C15" s="11">
        <f>NetJanToFeb!C15+NetFebToMar!C15+NetMarToApr!C15+NetAprToMay!C15+NetMayToJun!C15+NetJunToJul!C15+NetJulToAug!C15+NetAugToSep!C15+NetSepToOct!C15+NetOctToNov!C15+NetNovToDec!C15</f>
        <v>-2154</v>
      </c>
      <c r="D15" s="11">
        <f>NetJanToFeb!D15+NetFebToMar!D15+NetMarToApr!D15+NetAprToMay!D15+NetMayToJun!D15+NetJunToJul!D15+NetJulToAug!D15+NetAugToSep!D15+NetSepToOct!D15+NetOctToNov!D15+NetNovToDec!D15</f>
        <v>-53</v>
      </c>
      <c r="E15" s="11">
        <f>NetJanToFeb!E15+NetFebToMar!E15+NetMarToApr!E15+NetAprToMay!E15+NetMayToJun!E15+NetJunToJul!E15+NetJulToAug!E15+NetAugToSep!E15+NetSepToOct!E15+NetOctToNov!E15+NetNovToDec!E15</f>
        <v>-2036</v>
      </c>
      <c r="F15" s="10">
        <f t="shared" si="0"/>
        <v>-6100</v>
      </c>
    </row>
    <row r="16" spans="1:6" x14ac:dyDescent="0.25">
      <c r="A16" s="1" t="s">
        <v>13</v>
      </c>
      <c r="B16" s="11">
        <f>NetJanToFeb!B16+NetFebToMar!B16+NetMarToApr!B16+NetAprToMay!B16+NetMayToJun!B16+NetJunToJul!B16+NetJulToAug!B16+NetAugToSep!B16+NetSepToOct!B16+NetOctToNov!B16+NetNovToDec!B16</f>
        <v>542</v>
      </c>
      <c r="C16" s="11">
        <f>NetJanToFeb!C16+NetFebToMar!C16+NetMarToApr!C16+NetAprToMay!C16+NetMayToJun!C16+NetJunToJul!C16+NetJulToAug!C16+NetAugToSep!C16+NetSepToOct!C16+NetOctToNov!C16+NetNovToDec!C16</f>
        <v>-131</v>
      </c>
      <c r="D16" s="11">
        <f>NetJanToFeb!D16+NetFebToMar!D16+NetMarToApr!D16+NetAprToMay!D16+NetMayToJun!D16+NetJunToJul!D16+NetJulToAug!D16+NetAugToSep!D16+NetSepToOct!D16+NetOctToNov!D16+NetNovToDec!D16</f>
        <v>-712</v>
      </c>
      <c r="E16" s="11">
        <f>NetJanToFeb!E16+NetFebToMar!E16+NetMarToApr!E16+NetAprToMay!E16+NetMayToJun!E16+NetJunToJul!E16+NetJulToAug!E16+NetAugToSep!E16+NetSepToOct!E16+NetOctToNov!E16+NetNovToDec!E16</f>
        <v>946</v>
      </c>
      <c r="F16" s="10">
        <f t="shared" si="0"/>
        <v>645</v>
      </c>
    </row>
    <row r="17" spans="1:6" x14ac:dyDescent="0.25">
      <c r="A17" s="1" t="s">
        <v>14</v>
      </c>
      <c r="B17" s="11">
        <f>NetJanToFeb!B17+NetFebToMar!B17+NetMarToApr!B17+NetAprToMay!B17+NetMayToJun!B17+NetJunToJul!B17+NetJulToAug!B17+NetAugToSep!B17+NetSepToOct!B17+NetOctToNov!B17+NetNovToDec!B17</f>
        <v>152</v>
      </c>
      <c r="C17" s="11">
        <f>NetJanToFeb!C17+NetFebToMar!C17+NetMarToApr!C17+NetAprToMay!C17+NetMayToJun!C17+NetJunToJul!C17+NetJulToAug!C17+NetAugToSep!C17+NetSepToOct!C17+NetOctToNov!C17+NetNovToDec!C17</f>
        <v>-106</v>
      </c>
      <c r="D17" s="11">
        <f>NetJanToFeb!D17+NetFebToMar!D17+NetMarToApr!D17+NetAprToMay!D17+NetMayToJun!D17+NetJunToJul!D17+NetJulToAug!D17+NetAugToSep!D17+NetSepToOct!D17+NetOctToNov!D17+NetNovToDec!D17</f>
        <v>-3</v>
      </c>
      <c r="E17" s="11">
        <f>NetJanToFeb!E17+NetFebToMar!E17+NetMarToApr!E17+NetAprToMay!E17+NetMayToJun!E17+NetJunToJul!E17+NetJulToAug!E17+NetAugToSep!E17+NetSepToOct!E17+NetOctToNov!E17+NetNovToDec!E17</f>
        <v>252</v>
      </c>
      <c r="F17" s="10">
        <f t="shared" si="0"/>
        <v>295</v>
      </c>
    </row>
    <row r="18" spans="1:6" x14ac:dyDescent="0.25">
      <c r="A18" s="1" t="s">
        <v>15</v>
      </c>
      <c r="B18" s="11">
        <f>NetJanToFeb!B18+NetFebToMar!B18+NetMarToApr!B18+NetAprToMay!B18+NetMayToJun!B18+NetJunToJul!B18+NetJulToAug!B18+NetAugToSep!B18+NetSepToOct!B18+NetOctToNov!B18+NetNovToDec!B18</f>
        <v>56</v>
      </c>
      <c r="C18" s="11">
        <f>NetJanToFeb!C18+NetFebToMar!C18+NetMarToApr!C18+NetAprToMay!C18+NetMayToJun!C18+NetJunToJul!C18+NetJulToAug!C18+NetAugToSep!C18+NetSepToOct!C18+NetOctToNov!C18+NetNovToDec!C18</f>
        <v>-122</v>
      </c>
      <c r="D18" s="11">
        <f>NetJanToFeb!D18+NetFebToMar!D18+NetMarToApr!D18+NetAprToMay!D18+NetMayToJun!D18+NetJunToJul!D18+NetJulToAug!D18+NetAugToSep!D18+NetSepToOct!D18+NetOctToNov!D18+NetNovToDec!D18</f>
        <v>-21</v>
      </c>
      <c r="E18" s="11">
        <f>NetJanToFeb!E18+NetFebToMar!E18+NetMarToApr!E18+NetAprToMay!E18+NetMayToJun!E18+NetJunToJul!E18+NetJulToAug!E18+NetAugToSep!E18+NetSepToOct!E18+NetOctToNov!E18+NetNovToDec!E18</f>
        <v>39</v>
      </c>
      <c r="F18" s="10">
        <f t="shared" si="0"/>
        <v>-48</v>
      </c>
    </row>
    <row r="19" spans="1:6" x14ac:dyDescent="0.25">
      <c r="A19" s="1" t="s">
        <v>16</v>
      </c>
      <c r="B19" s="11">
        <f>NetJanToFeb!B19+NetFebToMar!B19+NetMarToApr!B19+NetAprToMay!B19+NetMayToJun!B19+NetJunToJul!B19+NetJulToAug!B19+NetAugToSep!B19+NetSepToOct!B19+NetOctToNov!B19+NetNovToDec!B19</f>
        <v>-4342</v>
      </c>
      <c r="C19" s="11">
        <f>NetJanToFeb!C19+NetFebToMar!C19+NetMarToApr!C19+NetAprToMay!C19+NetMayToJun!C19+NetJunToJul!C19+NetJulToAug!C19+NetAugToSep!C19+NetSepToOct!C19+NetOctToNov!C19+NetNovToDec!C19</f>
        <v>-5244</v>
      </c>
      <c r="D19" s="11">
        <f>NetJanToFeb!D19+NetFebToMar!D19+NetMarToApr!D19+NetAprToMay!D19+NetMayToJun!D19+NetJunToJul!D19+NetJulToAug!D19+NetAugToSep!D19+NetSepToOct!D19+NetOctToNov!D19+NetNovToDec!D19</f>
        <v>-13407</v>
      </c>
      <c r="E19" s="11">
        <f>NetJanToFeb!E19+NetFebToMar!E19+NetMarToApr!E19+NetAprToMay!E19+NetMayToJun!E19+NetJunToJul!E19+NetJulToAug!E19+NetAugToSep!E19+NetSepToOct!E19+NetOctToNov!E19+NetNovToDec!E19</f>
        <v>12245</v>
      </c>
      <c r="F19" s="10">
        <f t="shared" si="0"/>
        <v>-10748</v>
      </c>
    </row>
    <row r="20" spans="1:6" x14ac:dyDescent="0.25">
      <c r="A20" s="1" t="s">
        <v>17</v>
      </c>
      <c r="B20" s="11">
        <f>NetJanToFeb!B20+NetFebToMar!B20+NetMarToApr!B20+NetAprToMay!B20+NetMayToJun!B20+NetJunToJul!B20+NetJulToAug!B20+NetAugToSep!B20+NetSepToOct!B20+NetOctToNov!B20+NetNovToDec!B20</f>
        <v>-2503</v>
      </c>
      <c r="C20" s="11">
        <f>NetJanToFeb!C20+NetFebToMar!C20+NetMarToApr!C20+NetAprToMay!C20+NetMayToJun!C20+NetJunToJul!C20+NetJulToAug!C20+NetAugToSep!C20+NetSepToOct!C20+NetOctToNov!C20+NetNovToDec!C20</f>
        <v>-2985</v>
      </c>
      <c r="D20" s="11">
        <f>NetJanToFeb!D20+NetFebToMar!D20+NetMarToApr!D20+NetAprToMay!D20+NetMayToJun!D20+NetJunToJul!D20+NetJulToAug!D20+NetAugToSep!D20+NetSepToOct!D20+NetOctToNov!D20+NetNovToDec!D20</f>
        <v>-100</v>
      </c>
      <c r="E20" s="11">
        <f>NetJanToFeb!E20+NetFebToMar!E20+NetMarToApr!E20+NetAprToMay!E20+NetMayToJun!E20+NetJunToJul!E20+NetJulToAug!E20+NetAugToSep!E20+NetSepToOct!E20+NetOctToNov!E20+NetNovToDec!E20</f>
        <v>-1254</v>
      </c>
      <c r="F20" s="10">
        <f t="shared" si="0"/>
        <v>-6842</v>
      </c>
    </row>
    <row r="21" spans="1:6" x14ac:dyDescent="0.25">
      <c r="A21" s="1" t="s">
        <v>18</v>
      </c>
      <c r="B21" s="11">
        <f>NetJanToFeb!B21+NetFebToMar!B21+NetMarToApr!B21+NetAprToMay!B21+NetMayToJun!B21+NetJunToJul!B21+NetJulToAug!B21+NetAugToSep!B21+NetSepToOct!B21+NetOctToNov!B21+NetNovToDec!B21</f>
        <v>57</v>
      </c>
      <c r="C21" s="11">
        <f>NetJanToFeb!C21+NetFebToMar!C21+NetMarToApr!C21+NetAprToMay!C21+NetMayToJun!C21+NetJunToJul!C21+NetJulToAug!C21+NetAugToSep!C21+NetSepToOct!C21+NetOctToNov!C21+NetNovToDec!C21</f>
        <v>-877</v>
      </c>
      <c r="D21" s="11">
        <f>NetJanToFeb!D21+NetFebToMar!D21+NetMarToApr!D21+NetAprToMay!D21+NetMayToJun!D21+NetJunToJul!D21+NetJulToAug!D21+NetAugToSep!D21+NetSepToOct!D21+NetOctToNov!D21+NetNovToDec!D21</f>
        <v>-1411</v>
      </c>
      <c r="E21" s="11">
        <f>NetJanToFeb!E21+NetFebToMar!E21+NetMarToApr!E21+NetAprToMay!E21+NetMayToJun!E21+NetJunToJul!E21+NetJulToAug!E21+NetAugToSep!E21+NetSepToOct!E21+NetOctToNov!E21+NetNovToDec!E21</f>
        <v>970</v>
      </c>
      <c r="F21" s="10">
        <f t="shared" si="0"/>
        <v>-1261</v>
      </c>
    </row>
    <row r="22" spans="1:6" x14ac:dyDescent="0.25">
      <c r="A22" s="1" t="s">
        <v>19</v>
      </c>
      <c r="B22" s="11">
        <f>NetJanToFeb!B22+NetFebToMar!B22+NetMarToApr!B22+NetAprToMay!B22+NetMayToJun!B22+NetJunToJul!B22+NetJulToAug!B22+NetAugToSep!B22+NetSepToOct!B22+NetOctToNov!B22+NetNovToDec!B22</f>
        <v>144</v>
      </c>
      <c r="C22" s="11">
        <f>NetJanToFeb!C22+NetFebToMar!C22+NetMarToApr!C22+NetAprToMay!C22+NetMayToJun!C22+NetJunToJul!C22+NetJulToAug!C22+NetAugToSep!C22+NetSepToOct!C22+NetOctToNov!C22+NetNovToDec!C22</f>
        <v>-22</v>
      </c>
      <c r="D22" s="11">
        <f>NetJanToFeb!D22+NetFebToMar!D22+NetMarToApr!D22+NetAprToMay!D22+NetMayToJun!D22+NetJunToJul!D22+NetJulToAug!D22+NetAugToSep!D22+NetSepToOct!D22+NetOctToNov!D22+NetNovToDec!D22</f>
        <v>26</v>
      </c>
      <c r="E22" s="11">
        <f>NetJanToFeb!E22+NetFebToMar!E22+NetMarToApr!E22+NetAprToMay!E22+NetMayToJun!E22+NetJunToJul!E22+NetJulToAug!E22+NetAugToSep!E22+NetSepToOct!E22+NetOctToNov!E22+NetNovToDec!E22</f>
        <v>59</v>
      </c>
      <c r="F22" s="10">
        <f t="shared" si="0"/>
        <v>207</v>
      </c>
    </row>
    <row r="23" spans="1:6" x14ac:dyDescent="0.25">
      <c r="A23" s="1" t="s">
        <v>20</v>
      </c>
      <c r="B23" s="11">
        <f>NetJanToFeb!B23+NetFebToMar!B23+NetMarToApr!B23+NetAprToMay!B23+NetMayToJun!B23+NetJunToJul!B23+NetJulToAug!B23+NetAugToSep!B23+NetSepToOct!B23+NetOctToNov!B23+NetNovToDec!B23</f>
        <v>88</v>
      </c>
      <c r="C23" s="11">
        <f>NetJanToFeb!C23+NetFebToMar!C23+NetMarToApr!C23+NetAprToMay!C23+NetMayToJun!C23+NetJunToJul!C23+NetJulToAug!C23+NetAugToSep!C23+NetSepToOct!C23+NetOctToNov!C23+NetNovToDec!C23</f>
        <v>-189</v>
      </c>
      <c r="D23" s="11">
        <f>NetJanToFeb!D23+NetFebToMar!D23+NetMarToApr!D23+NetAprToMay!D23+NetMayToJun!D23+NetJunToJul!D23+NetJulToAug!D23+NetAugToSep!D23+NetSepToOct!D23+NetOctToNov!D23+NetNovToDec!D23</f>
        <v>-248</v>
      </c>
      <c r="E23" s="11">
        <f>NetJanToFeb!E23+NetFebToMar!E23+NetMarToApr!E23+NetAprToMay!E23+NetMayToJun!E23+NetJunToJul!E23+NetJulToAug!E23+NetAugToSep!E23+NetSepToOct!E23+NetOctToNov!E23+NetNovToDec!E23</f>
        <v>321</v>
      </c>
      <c r="F23" s="10">
        <f t="shared" si="0"/>
        <v>-28</v>
      </c>
    </row>
    <row r="24" spans="1:6" x14ac:dyDescent="0.25">
      <c r="A24" s="1" t="s">
        <v>21</v>
      </c>
      <c r="B24" s="11">
        <f>NetJanToFeb!B24+NetFebToMar!B24+NetMarToApr!B24+NetAprToMay!B24+NetMayToJun!B24+NetJunToJul!B24+NetJulToAug!B24+NetAugToSep!B24+NetSepToOct!B24+NetOctToNov!B24+NetNovToDec!B24</f>
        <v>113</v>
      </c>
      <c r="C24" s="11">
        <f>NetJanToFeb!C24+NetFebToMar!C24+NetMarToApr!C24+NetAprToMay!C24+NetMayToJun!C24+NetJunToJul!C24+NetJulToAug!C24+NetAugToSep!C24+NetSepToOct!C24+NetOctToNov!C24+NetNovToDec!C24</f>
        <v>-89</v>
      </c>
      <c r="D24" s="11">
        <f>NetJanToFeb!D24+NetFebToMar!D24+NetMarToApr!D24+NetAprToMay!D24+NetMayToJun!D24+NetJunToJul!D24+NetJulToAug!D24+NetAugToSep!D24+NetSepToOct!D24+NetOctToNov!D24+NetNovToDec!D24</f>
        <v>-248</v>
      </c>
      <c r="E24" s="11">
        <f>NetJanToFeb!E24+NetFebToMar!E24+NetMarToApr!E24+NetAprToMay!E24+NetMayToJun!E24+NetJunToJul!E24+NetJulToAug!E24+NetAugToSep!E24+NetSepToOct!E24+NetOctToNov!E24+NetNovToDec!E24</f>
        <v>303</v>
      </c>
      <c r="F24" s="10">
        <f t="shared" si="0"/>
        <v>79</v>
      </c>
    </row>
    <row r="25" spans="1:6" x14ac:dyDescent="0.25">
      <c r="A25" s="1" t="s">
        <v>22</v>
      </c>
      <c r="B25" s="11">
        <f>NetJanToFeb!B25+NetFebToMar!B25+NetMarToApr!B25+NetAprToMay!B25+NetMayToJun!B25+NetJunToJul!B25+NetJulToAug!B25+NetAugToSep!B25+NetSepToOct!B25+NetOctToNov!B25+NetNovToDec!B25</f>
        <v>132</v>
      </c>
      <c r="C25" s="11">
        <f>NetJanToFeb!C25+NetFebToMar!C25+NetMarToApr!C25+NetAprToMay!C25+NetMayToJun!C25+NetJunToJul!C25+NetJulToAug!C25+NetAugToSep!C25+NetSepToOct!C25+NetOctToNov!C25+NetNovToDec!C25</f>
        <v>-166</v>
      </c>
      <c r="D25" s="11">
        <f>NetJanToFeb!D25+NetFebToMar!D25+NetMarToApr!D25+NetAprToMay!D25+NetMayToJun!D25+NetJunToJul!D25+NetJulToAug!D25+NetAugToSep!D25+NetSepToOct!D25+NetOctToNov!D25+NetNovToDec!D25</f>
        <v>-112</v>
      </c>
      <c r="E25" s="11">
        <f>NetJanToFeb!E25+NetFebToMar!E25+NetMarToApr!E25+NetAprToMay!E25+NetMayToJun!E25+NetJunToJul!E25+NetJulToAug!E25+NetAugToSep!E25+NetSepToOct!E25+NetOctToNov!E25+NetNovToDec!E25</f>
        <v>153</v>
      </c>
      <c r="F25" s="10">
        <f t="shared" si="0"/>
        <v>7</v>
      </c>
    </row>
    <row r="26" spans="1:6" x14ac:dyDescent="0.25">
      <c r="A26" s="1" t="s">
        <v>23</v>
      </c>
      <c r="B26" s="11">
        <f>NetJanToFeb!B26+NetFebToMar!B26+NetMarToApr!B26+NetAprToMay!B26+NetMayToJun!B26+NetJunToJul!B26+NetJulToAug!B26+NetAugToSep!B26+NetSepToOct!B26+NetOctToNov!B26+NetNovToDec!B26</f>
        <v>-31</v>
      </c>
      <c r="C26" s="11">
        <f>NetJanToFeb!C26+NetFebToMar!C26+NetMarToApr!C26+NetAprToMay!C26+NetMayToJun!C26+NetJunToJul!C26+NetJulToAug!C26+NetAugToSep!C26+NetSepToOct!C26+NetOctToNov!C26+NetNovToDec!C26</f>
        <v>-326</v>
      </c>
      <c r="D26" s="11">
        <f>NetJanToFeb!D26+NetFebToMar!D26+NetMarToApr!D26+NetAprToMay!D26+NetMayToJun!D26+NetJunToJul!D26+NetJulToAug!D26+NetAugToSep!D26+NetSepToOct!D26+NetOctToNov!D26+NetNovToDec!D26</f>
        <v>-122</v>
      </c>
      <c r="E26" s="11">
        <f>NetJanToFeb!E26+NetFebToMar!E26+NetMarToApr!E26+NetAprToMay!E26+NetMayToJun!E26+NetJunToJul!E26+NetJulToAug!E26+NetAugToSep!E26+NetSepToOct!E26+NetOctToNov!E26+NetNovToDec!E26</f>
        <v>69</v>
      </c>
      <c r="F26" s="10">
        <f t="shared" si="0"/>
        <v>-410</v>
      </c>
    </row>
    <row r="27" spans="1:6" x14ac:dyDescent="0.25">
      <c r="A27" s="1" t="s">
        <v>24</v>
      </c>
      <c r="B27" s="11">
        <f>NetJanToFeb!B27+NetFebToMar!B27+NetMarToApr!B27+NetAprToMay!B27+NetMayToJun!B27+NetJunToJul!B27+NetJulToAug!B27+NetAugToSep!B27+NetSepToOct!B27+NetOctToNov!B27+NetNovToDec!B27</f>
        <v>-38</v>
      </c>
      <c r="C27" s="11">
        <f>NetJanToFeb!C27+NetFebToMar!C27+NetMarToApr!C27+NetAprToMay!C27+NetMayToJun!C27+NetJunToJul!C27+NetJulToAug!C27+NetAugToSep!C27+NetSepToOct!C27+NetOctToNov!C27+NetNovToDec!C27</f>
        <v>-398</v>
      </c>
      <c r="D27" s="11">
        <f>NetJanToFeb!D27+NetFebToMar!D27+NetMarToApr!D27+NetAprToMay!D27+NetMayToJun!D27+NetJunToJul!D27+NetJulToAug!D27+NetAugToSep!D27+NetSepToOct!D27+NetOctToNov!D27+NetNovToDec!D27</f>
        <v>-31</v>
      </c>
      <c r="E27" s="11">
        <f>NetJanToFeb!E27+NetFebToMar!E27+NetMarToApr!E27+NetAprToMay!E27+NetMayToJun!E27+NetJunToJul!E27+NetJulToAug!E27+NetAugToSep!E27+NetSepToOct!E27+NetOctToNov!E27+NetNovToDec!E27</f>
        <v>-42</v>
      </c>
      <c r="F27" s="10">
        <f t="shared" si="0"/>
        <v>-509</v>
      </c>
    </row>
    <row r="28" spans="1:6" x14ac:dyDescent="0.25">
      <c r="A28" s="1" t="s">
        <v>25</v>
      </c>
      <c r="B28" s="11">
        <f>NetJanToFeb!B28+NetFebToMar!B28+NetMarToApr!B28+NetAprToMay!B28+NetMayToJun!B28+NetJunToJul!B28+NetJulToAug!B28+NetAugToSep!B28+NetSepToOct!B28+NetOctToNov!B28+NetNovToDec!B28</f>
        <v>71</v>
      </c>
      <c r="C28" s="11">
        <f>NetJanToFeb!C28+NetFebToMar!C28+NetMarToApr!C28+NetAprToMay!C28+NetMayToJun!C28+NetJunToJul!C28+NetJulToAug!C28+NetAugToSep!C28+NetSepToOct!C28+NetOctToNov!C28+NetNovToDec!C28</f>
        <v>-50</v>
      </c>
      <c r="D28" s="11">
        <f>NetJanToFeb!D28+NetFebToMar!D28+NetMarToApr!D28+NetAprToMay!D28+NetMayToJun!D28+NetJunToJul!D28+NetJulToAug!D28+NetAugToSep!D28+NetSepToOct!D28+NetOctToNov!D28+NetNovToDec!D28</f>
        <v>-111</v>
      </c>
      <c r="E28" s="11">
        <f>NetJanToFeb!E28+NetFebToMar!E28+NetMarToApr!E28+NetAprToMay!E28+NetMayToJun!E28+NetJunToJul!E28+NetJulToAug!E28+NetAugToSep!E28+NetSepToOct!E28+NetOctToNov!E28+NetNovToDec!E28</f>
        <v>275</v>
      </c>
      <c r="F28" s="10">
        <f t="shared" si="0"/>
        <v>185</v>
      </c>
    </row>
    <row r="29" spans="1:6" x14ac:dyDescent="0.25">
      <c r="A29" s="1" t="s">
        <v>26</v>
      </c>
      <c r="B29" s="11">
        <f>NetJanToFeb!B29+NetFebToMar!B29+NetMarToApr!B29+NetAprToMay!B29+NetMayToJun!B29+NetJunToJul!B29+NetJulToAug!B29+NetAugToSep!B29+NetSepToOct!B29+NetOctToNov!B29+NetNovToDec!B29</f>
        <v>-62</v>
      </c>
      <c r="C29" s="11">
        <f>NetJanToFeb!C29+NetFebToMar!C29+NetMarToApr!C29+NetAprToMay!C29+NetMayToJun!C29+NetJunToJul!C29+NetJulToAug!C29+NetAugToSep!C29+NetSepToOct!C29+NetOctToNov!C29+NetNovToDec!C29</f>
        <v>-361</v>
      </c>
      <c r="D29" s="11">
        <f>NetJanToFeb!D29+NetFebToMar!D29+NetMarToApr!D29+NetAprToMay!D29+NetMayToJun!D29+NetJunToJul!D29+NetJulToAug!D29+NetAugToSep!D29+NetSepToOct!D29+NetOctToNov!D29+NetNovToDec!D29</f>
        <v>-250</v>
      </c>
      <c r="E29" s="11">
        <f>NetJanToFeb!E29+NetFebToMar!E29+NetMarToApr!E29+NetAprToMay!E29+NetMayToJun!E29+NetJunToJul!E29+NetJulToAug!E29+NetAugToSep!E29+NetSepToOct!E29+NetOctToNov!E29+NetNovToDec!E29</f>
        <v>253</v>
      </c>
      <c r="F29" s="10">
        <f t="shared" si="0"/>
        <v>-420</v>
      </c>
    </row>
    <row r="30" spans="1:6" x14ac:dyDescent="0.25">
      <c r="A30" s="1" t="s">
        <v>27</v>
      </c>
      <c r="B30" s="11">
        <f>NetJanToFeb!B30+NetFebToMar!B30+NetMarToApr!B30+NetAprToMay!B30+NetMayToJun!B30+NetJunToJul!B30+NetJulToAug!B30+NetAugToSep!B30+NetSepToOct!B30+NetOctToNov!B30+NetNovToDec!B30</f>
        <v>-350</v>
      </c>
      <c r="C30" s="11">
        <f>NetJanToFeb!C30+NetFebToMar!C30+NetMarToApr!C30+NetAprToMay!C30+NetMayToJun!C30+NetJunToJul!C30+NetJulToAug!C30+NetAugToSep!C30+NetSepToOct!C30+NetOctToNov!C30+NetNovToDec!C30</f>
        <v>-1291</v>
      </c>
      <c r="D30" s="11">
        <f>NetJanToFeb!D30+NetFebToMar!D30+NetMarToApr!D30+NetAprToMay!D30+NetMayToJun!D30+NetJunToJul!D30+NetJulToAug!D30+NetAugToSep!D30+NetSepToOct!D30+NetOctToNov!D30+NetNovToDec!D30</f>
        <v>-328</v>
      </c>
      <c r="E30" s="11">
        <f>NetJanToFeb!E30+NetFebToMar!E30+NetMarToApr!E30+NetAprToMay!E30+NetMayToJun!E30+NetJunToJul!E30+NetJulToAug!E30+NetAugToSep!E30+NetSepToOct!E30+NetOctToNov!E30+NetNovToDec!E30</f>
        <v>341</v>
      </c>
      <c r="F30" s="10">
        <f t="shared" si="0"/>
        <v>-1628</v>
      </c>
    </row>
    <row r="31" spans="1:6" x14ac:dyDescent="0.25">
      <c r="A31" s="1" t="s">
        <v>28</v>
      </c>
      <c r="B31" s="11">
        <f>NetJanToFeb!B31+NetFebToMar!B31+NetMarToApr!B31+NetAprToMay!B31+NetMayToJun!B31+NetJunToJul!B31+NetJulToAug!B31+NetAugToSep!B31+NetSepToOct!B31+NetOctToNov!B31+NetNovToDec!B31</f>
        <v>-1289</v>
      </c>
      <c r="C31" s="11">
        <f>NetJanToFeb!C31+NetFebToMar!C31+NetMarToApr!C31+NetAprToMay!C31+NetMayToJun!C31+NetJunToJul!C31+NetJulToAug!C31+NetAugToSep!C31+NetSepToOct!C31+NetOctToNov!C31+NetNovToDec!C31</f>
        <v>-1947</v>
      </c>
      <c r="D31" s="11">
        <f>NetJanToFeb!D31+NetFebToMar!D31+NetMarToApr!D31+NetAprToMay!D31+NetMayToJun!D31+NetJunToJul!D31+NetJulToAug!D31+NetAugToSep!D31+NetSepToOct!D31+NetOctToNov!D31+NetNovToDec!D31</f>
        <v>-243</v>
      </c>
      <c r="E31" s="11">
        <f>NetJanToFeb!E31+NetFebToMar!E31+NetMarToApr!E31+NetAprToMay!E31+NetMayToJun!E31+NetJunToJul!E31+NetJulToAug!E31+NetAugToSep!E31+NetSepToOct!E31+NetOctToNov!E31+NetNovToDec!E31</f>
        <v>-72</v>
      </c>
      <c r="F31" s="10">
        <f t="shared" si="0"/>
        <v>-3551</v>
      </c>
    </row>
    <row r="32" spans="1:6" x14ac:dyDescent="0.25">
      <c r="A32" s="1" t="s">
        <v>29</v>
      </c>
      <c r="B32" s="11">
        <f>NetJanToFeb!B32+NetFebToMar!B32+NetMarToApr!B32+NetAprToMay!B32+NetMayToJun!B32+NetJunToJul!B32+NetJulToAug!B32+NetAugToSep!B32+NetSepToOct!B32+NetOctToNov!B32+NetNovToDec!B32</f>
        <v>-6487</v>
      </c>
      <c r="C32" s="11">
        <f>NetJanToFeb!C32+NetFebToMar!C32+NetMarToApr!C32+NetAprToMay!C32+NetMayToJun!C32+NetJunToJul!C32+NetJulToAug!C32+NetAugToSep!C32+NetSepToOct!C32+NetOctToNov!C32+NetNovToDec!C32</f>
        <v>-15516</v>
      </c>
      <c r="D32" s="11">
        <f>NetJanToFeb!D32+NetFebToMar!D32+NetMarToApr!D32+NetAprToMay!D32+NetMayToJun!D32+NetJunToJul!D32+NetJulToAug!D32+NetAugToSep!D32+NetSepToOct!D32+NetOctToNov!D32+NetNovToDec!D32</f>
        <v>-1031</v>
      </c>
      <c r="E32" s="11">
        <f>NetJanToFeb!E32+NetFebToMar!E32+NetMarToApr!E32+NetAprToMay!E32+NetMayToJun!E32+NetJunToJul!E32+NetJulToAug!E32+NetAugToSep!E32+NetSepToOct!E32+NetOctToNov!E32+NetNovToDec!E32</f>
        <v>-6786</v>
      </c>
      <c r="F32" s="10">
        <f t="shared" si="0"/>
        <v>-29820</v>
      </c>
    </row>
    <row r="33" spans="1:6" x14ac:dyDescent="0.25">
      <c r="A33" s="1" t="s">
        <v>30</v>
      </c>
      <c r="B33" s="11">
        <f>NetJanToFeb!B33+NetFebToMar!B33+NetMarToApr!B33+NetAprToMay!B33+NetMayToJun!B33+NetJunToJul!B33+NetJulToAug!B33+NetAugToSep!B33+NetSepToOct!B33+NetOctToNov!B33+NetNovToDec!B33</f>
        <v>-132</v>
      </c>
      <c r="C33" s="11">
        <f>NetJanToFeb!C33+NetFebToMar!C33+NetMarToApr!C33+NetAprToMay!C33+NetMayToJun!C33+NetJunToJul!C33+NetJulToAug!C33+NetAugToSep!C33+NetSepToOct!C33+NetOctToNov!C33+NetNovToDec!C33</f>
        <v>-604</v>
      </c>
      <c r="D33" s="11">
        <f>NetJanToFeb!D33+NetFebToMar!D33+NetMarToApr!D33+NetAprToMay!D33+NetMayToJun!D33+NetJunToJul!D33+NetJulToAug!D33+NetAugToSep!D33+NetSepToOct!D33+NetOctToNov!D33+NetNovToDec!D33</f>
        <v>-8</v>
      </c>
      <c r="E33" s="11">
        <f>NetJanToFeb!E33+NetFebToMar!E33+NetMarToApr!E33+NetAprToMay!E33+NetMayToJun!E33+NetJunToJul!E33+NetJulToAug!E33+NetAugToSep!E33+NetSepToOct!E33+NetOctToNov!E33+NetNovToDec!E33</f>
        <v>-116</v>
      </c>
      <c r="F33" s="10">
        <f t="shared" si="0"/>
        <v>-860</v>
      </c>
    </row>
    <row r="34" spans="1:6" x14ac:dyDescent="0.25">
      <c r="A34" s="1" t="s">
        <v>31</v>
      </c>
      <c r="B34" s="11">
        <f>NetJanToFeb!B34+NetFebToMar!B34+NetMarToApr!B34+NetAprToMay!B34+NetMayToJun!B34+NetJunToJul!B34+NetJulToAug!B34+NetAugToSep!B34+NetSepToOct!B34+NetOctToNov!B34+NetNovToDec!B34</f>
        <v>617</v>
      </c>
      <c r="C34" s="11">
        <f>NetJanToFeb!C34+NetFebToMar!C34+NetMarToApr!C34+NetAprToMay!C34+NetMayToJun!C34+NetJunToJul!C34+NetJulToAug!C34+NetAugToSep!C34+NetSepToOct!C34+NetOctToNov!C34+NetNovToDec!C34</f>
        <v>236</v>
      </c>
      <c r="D34" s="11">
        <f>NetJanToFeb!D34+NetFebToMar!D34+NetMarToApr!D34+NetAprToMay!D34+NetMayToJun!D34+NetJunToJul!D34+NetJulToAug!D34+NetAugToSep!D34+NetSepToOct!D34+NetOctToNov!D34+NetNovToDec!D34</f>
        <v>-234</v>
      </c>
      <c r="E34" s="11">
        <f>NetJanToFeb!E34+NetFebToMar!E34+NetMarToApr!E34+NetAprToMay!E34+NetMayToJun!E34+NetJunToJul!E34+NetJulToAug!E34+NetAugToSep!E34+NetSepToOct!E34+NetOctToNov!E34+NetNovToDec!E34</f>
        <v>1331</v>
      </c>
      <c r="F34" s="10">
        <f t="shared" si="0"/>
        <v>1950</v>
      </c>
    </row>
    <row r="35" spans="1:6" x14ac:dyDescent="0.25">
      <c r="A35" s="1" t="s">
        <v>32</v>
      </c>
      <c r="B35" s="11">
        <f>NetJanToFeb!B35+NetFebToMar!B35+NetMarToApr!B35+NetAprToMay!B35+NetMayToJun!B35+NetJunToJul!B35+NetJulToAug!B35+NetAugToSep!B35+NetSepToOct!B35+NetOctToNov!B35+NetNovToDec!B35</f>
        <v>-310</v>
      </c>
      <c r="C35" s="11">
        <f>NetJanToFeb!C35+NetFebToMar!C35+NetMarToApr!C35+NetAprToMay!C35+NetMayToJun!C35+NetJunToJul!C35+NetJulToAug!C35+NetAugToSep!C35+NetSepToOct!C35+NetOctToNov!C35+NetNovToDec!C35</f>
        <v>-1071</v>
      </c>
      <c r="D35" s="11">
        <f>NetJanToFeb!D35+NetFebToMar!D35+NetMarToApr!D35+NetAprToMay!D35+NetMayToJun!D35+NetJunToJul!D35+NetJulToAug!D35+NetAugToSep!D35+NetSepToOct!D35+NetOctToNov!D35+NetNovToDec!D35</f>
        <v>-19</v>
      </c>
      <c r="E35" s="11">
        <f>NetJanToFeb!E35+NetFebToMar!E35+NetMarToApr!E35+NetAprToMay!E35+NetMayToJun!E35+NetJunToJul!E35+NetJulToAug!E35+NetAugToSep!E35+NetSepToOct!E35+NetOctToNov!E35+NetNovToDec!E35</f>
        <v>-189</v>
      </c>
      <c r="F35" s="10">
        <f t="shared" si="0"/>
        <v>-1589</v>
      </c>
    </row>
    <row r="36" spans="1:6" x14ac:dyDescent="0.25">
      <c r="A36" s="1" t="s">
        <v>33</v>
      </c>
      <c r="B36" s="11">
        <f>NetJanToFeb!B36+NetFebToMar!B36+NetMarToApr!B36+NetAprToMay!B36+NetMayToJun!B36+NetJunToJul!B36+NetJulToAug!B36+NetAugToSep!B36+NetSepToOct!B36+NetOctToNov!B36+NetNovToDec!B36</f>
        <v>77</v>
      </c>
      <c r="C36" s="11">
        <f>NetJanToFeb!C36+NetFebToMar!C36+NetMarToApr!C36+NetAprToMay!C36+NetMayToJun!C36+NetJunToJul!C36+NetJulToAug!C36+NetAugToSep!C36+NetSepToOct!C36+NetOctToNov!C36+NetNovToDec!C36</f>
        <v>-106</v>
      </c>
      <c r="D36" s="11">
        <f>NetJanToFeb!D36+NetFebToMar!D36+NetMarToApr!D36+NetAprToMay!D36+NetMayToJun!D36+NetJunToJul!D36+NetJulToAug!D36+NetAugToSep!D36+NetSepToOct!D36+NetOctToNov!D36+NetNovToDec!D36</f>
        <v>-27</v>
      </c>
      <c r="E36" s="11">
        <f>NetJanToFeb!E36+NetFebToMar!E36+NetMarToApr!E36+NetAprToMay!E36+NetMayToJun!E36+NetJunToJul!E36+NetJulToAug!E36+NetAugToSep!E36+NetSepToOct!E36+NetOctToNov!E36+NetNovToDec!E36</f>
        <v>90</v>
      </c>
      <c r="F36" s="10">
        <f t="shared" si="0"/>
        <v>34</v>
      </c>
    </row>
    <row r="37" spans="1:6" x14ac:dyDescent="0.25">
      <c r="A37" s="1" t="s">
        <v>34</v>
      </c>
      <c r="B37" s="11">
        <f>NetJanToFeb!B37+NetFebToMar!B37+NetMarToApr!B37+NetAprToMay!B37+NetMayToJun!B37+NetJunToJul!B37+NetJulToAug!B37+NetAugToSep!B37+NetSepToOct!B37+NetOctToNov!B37+NetNovToDec!B37</f>
        <v>-7</v>
      </c>
      <c r="C37" s="11">
        <f>NetJanToFeb!C37+NetFebToMar!C37+NetMarToApr!C37+NetAprToMay!C37+NetMayToJun!C37+NetJunToJul!C37+NetJulToAug!C37+NetAugToSep!C37+NetSepToOct!C37+NetOctToNov!C37+NetNovToDec!C37</f>
        <v>-157</v>
      </c>
      <c r="D37" s="11">
        <f>NetJanToFeb!D37+NetFebToMar!D37+NetMarToApr!D37+NetAprToMay!D37+NetMayToJun!D37+NetJunToJul!D37+NetJulToAug!D37+NetAugToSep!D37+NetSepToOct!D37+NetOctToNov!D37+NetNovToDec!D37</f>
        <v>-7</v>
      </c>
      <c r="E37" s="11">
        <f>NetJanToFeb!E37+NetFebToMar!E37+NetMarToApr!E37+NetAprToMay!E37+NetMayToJun!E37+NetJunToJul!E37+NetJulToAug!E37+NetAugToSep!E37+NetSepToOct!E37+NetOctToNov!E37+NetNovToDec!E37</f>
        <v>4</v>
      </c>
      <c r="F37" s="10">
        <f t="shared" si="0"/>
        <v>-167</v>
      </c>
    </row>
    <row r="38" spans="1:6" x14ac:dyDescent="0.25">
      <c r="A38" s="1" t="s">
        <v>35</v>
      </c>
      <c r="B38" s="11">
        <f>NetJanToFeb!B38+NetFebToMar!B38+NetMarToApr!B38+NetAprToMay!B38+NetMayToJun!B38+NetJunToJul!B38+NetJulToAug!B38+NetAugToSep!B38+NetSepToOct!B38+NetOctToNov!B38+NetNovToDec!B38</f>
        <v>144</v>
      </c>
      <c r="C38" s="11">
        <f>NetJanToFeb!C38+NetFebToMar!C38+NetMarToApr!C38+NetAprToMay!C38+NetMayToJun!C38+NetJunToJul!C38+NetJulToAug!C38+NetAugToSep!C38+NetSepToOct!C38+NetOctToNov!C38+NetNovToDec!C38</f>
        <v>-1661</v>
      </c>
      <c r="D38" s="11">
        <f>NetJanToFeb!D38+NetFebToMar!D38+NetMarToApr!D38+NetAprToMay!D38+NetMayToJun!D38+NetJunToJul!D38+NetJulToAug!D38+NetAugToSep!D38+NetSepToOct!D38+NetOctToNov!D38+NetNovToDec!D38</f>
        <v>-6643</v>
      </c>
      <c r="E38" s="11">
        <f>NetJanToFeb!E38+NetFebToMar!E38+NetMarToApr!E38+NetAprToMay!E38+NetMayToJun!E38+NetJunToJul!E38+NetJulToAug!E38+NetAugToSep!E38+NetSepToOct!E38+NetOctToNov!E38+NetNovToDec!E38</f>
        <v>6705</v>
      </c>
      <c r="F38" s="10">
        <f t="shared" si="0"/>
        <v>-1455</v>
      </c>
    </row>
    <row r="39" spans="1:6" x14ac:dyDescent="0.25">
      <c r="A39" s="1" t="s">
        <v>36</v>
      </c>
      <c r="B39" s="11">
        <f>NetJanToFeb!B39+NetFebToMar!B39+NetMarToApr!B39+NetAprToMay!B39+NetMayToJun!B39+NetJunToJul!B39+NetJulToAug!B39+NetAugToSep!B39+NetSepToOct!B39+NetOctToNov!B39+NetNovToDec!B39</f>
        <v>-639</v>
      </c>
      <c r="C39" s="11">
        <f>NetJanToFeb!C39+NetFebToMar!C39+NetMarToApr!C39+NetAprToMay!C39+NetMayToJun!C39+NetJunToJul!C39+NetJulToAug!C39+NetAugToSep!C39+NetSepToOct!C39+NetOctToNov!C39+NetNovToDec!C39</f>
        <v>-1384</v>
      </c>
      <c r="D39" s="11">
        <f>NetJanToFeb!D39+NetFebToMar!D39+NetMarToApr!D39+NetAprToMay!D39+NetMayToJun!D39+NetJunToJul!D39+NetJulToAug!D39+NetAugToSep!D39+NetSepToOct!D39+NetOctToNov!D39+NetNovToDec!D39</f>
        <v>-1038</v>
      </c>
      <c r="E39" s="11">
        <f>NetJanToFeb!E39+NetFebToMar!E39+NetMarToApr!E39+NetAprToMay!E39+NetMayToJun!E39+NetJunToJul!E39+NetJulToAug!E39+NetAugToSep!E39+NetSepToOct!E39+NetOctToNov!E39+NetNovToDec!E39</f>
        <v>4427</v>
      </c>
      <c r="F39" s="10">
        <f t="shared" si="0"/>
        <v>1366</v>
      </c>
    </row>
    <row r="40" spans="1:6" x14ac:dyDescent="0.25">
      <c r="A40" s="1" t="s">
        <v>37</v>
      </c>
      <c r="B40" s="11">
        <f>NetJanToFeb!B40+NetFebToMar!B40+NetMarToApr!B40+NetAprToMay!B40+NetMayToJun!B40+NetJunToJul!B40+NetJulToAug!B40+NetAugToSep!B40+NetSepToOct!B40+NetOctToNov!B40+NetNovToDec!B40</f>
        <v>-286</v>
      </c>
      <c r="C40" s="11">
        <f>NetJanToFeb!C40+NetFebToMar!C40+NetMarToApr!C40+NetAprToMay!C40+NetMayToJun!C40+NetJunToJul!C40+NetJulToAug!C40+NetAugToSep!C40+NetSepToOct!C40+NetOctToNov!C40+NetNovToDec!C40</f>
        <v>-1054</v>
      </c>
      <c r="D40" s="11">
        <f>NetJanToFeb!D40+NetFebToMar!D40+NetMarToApr!D40+NetAprToMay!D40+NetMayToJun!D40+NetJunToJul!D40+NetJulToAug!D40+NetAugToSep!D40+NetSepToOct!D40+NetOctToNov!D40+NetNovToDec!D40</f>
        <v>-289</v>
      </c>
      <c r="E40" s="11">
        <f>NetJanToFeb!E40+NetFebToMar!E40+NetMarToApr!E40+NetAprToMay!E40+NetMayToJun!E40+NetJunToJul!E40+NetJulToAug!E40+NetAugToSep!E40+NetSepToOct!E40+NetOctToNov!E40+NetNovToDec!E40</f>
        <v>1103</v>
      </c>
      <c r="F40" s="10">
        <f t="shared" si="0"/>
        <v>-526</v>
      </c>
    </row>
    <row r="41" spans="1:6" x14ac:dyDescent="0.25">
      <c r="A41" s="1" t="s">
        <v>38</v>
      </c>
      <c r="B41" s="11">
        <f>NetJanToFeb!B41+NetFebToMar!B41+NetMarToApr!B41+NetAprToMay!B41+NetMayToJun!B41+NetJunToJul!B41+NetJulToAug!B41+NetAugToSep!B41+NetSepToOct!B41+NetOctToNov!B41+NetNovToDec!B41</f>
        <v>195</v>
      </c>
      <c r="C41" s="11">
        <f>NetJanToFeb!C41+NetFebToMar!C41+NetMarToApr!C41+NetAprToMay!C41+NetMayToJun!C41+NetJunToJul!C41+NetJulToAug!C41+NetAugToSep!C41+NetSepToOct!C41+NetOctToNov!C41+NetNovToDec!C41</f>
        <v>-238</v>
      </c>
      <c r="D41" s="11">
        <f>NetJanToFeb!D41+NetFebToMar!D41+NetMarToApr!D41+NetAprToMay!D41+NetMayToJun!D41+NetJunToJul!D41+NetJulToAug!D41+NetAugToSep!D41+NetSepToOct!D41+NetOctToNov!D41+NetNovToDec!D41</f>
        <v>-205</v>
      </c>
      <c r="E41" s="11">
        <f>NetJanToFeb!E41+NetFebToMar!E41+NetMarToApr!E41+NetAprToMay!E41+NetMayToJun!E41+NetJunToJul!E41+NetJulToAug!E41+NetAugToSep!E41+NetSepToOct!E41+NetOctToNov!E41+NetNovToDec!E41</f>
        <v>293</v>
      </c>
      <c r="F41" s="10">
        <f t="shared" si="0"/>
        <v>45</v>
      </c>
    </row>
    <row r="42" spans="1:6" x14ac:dyDescent="0.25">
      <c r="A42" s="1" t="s">
        <v>39</v>
      </c>
      <c r="B42" s="11">
        <f>NetJanToFeb!B42+NetFebToMar!B42+NetMarToApr!B42+NetAprToMay!B42+NetMayToJun!B42+NetJunToJul!B42+NetJulToAug!B42+NetAugToSep!B42+NetSepToOct!B42+NetOctToNov!B42+NetNovToDec!B42</f>
        <v>9</v>
      </c>
      <c r="C42" s="11">
        <f>NetJanToFeb!C42+NetFebToMar!C42+NetMarToApr!C42+NetAprToMay!C42+NetMayToJun!C42+NetJunToJul!C42+NetJulToAug!C42+NetAugToSep!C42+NetSepToOct!C42+NetOctToNov!C42+NetNovToDec!C42</f>
        <v>-170</v>
      </c>
      <c r="D42" s="11">
        <f>NetJanToFeb!D42+NetFebToMar!D42+NetMarToApr!D42+NetAprToMay!D42+NetMayToJun!D42+NetJunToJul!D42+NetJulToAug!D42+NetAugToSep!D42+NetSepToOct!D42+NetOctToNov!D42+NetNovToDec!D42</f>
        <v>-19</v>
      </c>
      <c r="E42" s="11">
        <f>NetJanToFeb!E42+NetFebToMar!E42+NetMarToApr!E42+NetAprToMay!E42+NetMayToJun!E42+NetJunToJul!E42+NetJulToAug!E42+NetAugToSep!E42+NetSepToOct!E42+NetOctToNov!E42+NetNovToDec!E42</f>
        <v>-9</v>
      </c>
      <c r="F42" s="10">
        <f t="shared" si="0"/>
        <v>-189</v>
      </c>
    </row>
    <row r="43" spans="1:6" x14ac:dyDescent="0.25">
      <c r="A43" s="1" t="s">
        <v>40</v>
      </c>
      <c r="B43" s="11">
        <f>NetJanToFeb!B43+NetFebToMar!B43+NetMarToApr!B43+NetAprToMay!B43+NetMayToJun!B43+NetJunToJul!B43+NetJulToAug!B43+NetAugToSep!B43+NetSepToOct!B43+NetOctToNov!B43+NetNovToDec!B43</f>
        <v>67</v>
      </c>
      <c r="C43" s="11">
        <f>NetJanToFeb!C43+NetFebToMar!C43+NetMarToApr!C43+NetAprToMay!C43+NetMayToJun!C43+NetJunToJul!C43+NetJulToAug!C43+NetAugToSep!C43+NetSepToOct!C43+NetOctToNov!C43+NetNovToDec!C43</f>
        <v>-128</v>
      </c>
      <c r="D43" s="11">
        <f>NetJanToFeb!D43+NetFebToMar!D43+NetMarToApr!D43+NetAprToMay!D43+NetMayToJun!D43+NetJunToJul!D43+NetJulToAug!D43+NetAugToSep!D43+NetSepToOct!D43+NetOctToNov!D43+NetNovToDec!D43</f>
        <v>-178</v>
      </c>
      <c r="E43" s="11">
        <f>NetJanToFeb!E43+NetFebToMar!E43+NetMarToApr!E43+NetAprToMay!E43+NetMayToJun!E43+NetJunToJul!E43+NetJulToAug!E43+NetAugToSep!E43+NetSepToOct!E43+NetOctToNov!E43+NetNovToDec!E43</f>
        <v>224</v>
      </c>
      <c r="F43" s="10">
        <f t="shared" si="0"/>
        <v>-15</v>
      </c>
    </row>
    <row r="44" spans="1:6" x14ac:dyDescent="0.25">
      <c r="A44" s="1" t="s">
        <v>41</v>
      </c>
      <c r="B44" s="11">
        <f>NetJanToFeb!B44+NetFebToMar!B44+NetMarToApr!B44+NetAprToMay!B44+NetMayToJun!B44+NetJunToJul!B44+NetJulToAug!B44+NetAugToSep!B44+NetSepToOct!B44+NetOctToNov!B44+NetNovToDec!B44</f>
        <v>111</v>
      </c>
      <c r="C44" s="11">
        <f>NetJanToFeb!C44+NetFebToMar!C44+NetMarToApr!C44+NetAprToMay!C44+NetMayToJun!C44+NetJunToJul!C44+NetJulToAug!C44+NetAugToSep!C44+NetSepToOct!C44+NetOctToNov!C44+NetNovToDec!C44</f>
        <v>-411</v>
      </c>
      <c r="D44" s="11">
        <f>NetJanToFeb!D44+NetFebToMar!D44+NetMarToApr!D44+NetAprToMay!D44+NetMayToJun!D44+NetJunToJul!D44+NetJulToAug!D44+NetAugToSep!D44+NetSepToOct!D44+NetOctToNov!D44+NetNovToDec!D44</f>
        <v>-631</v>
      </c>
      <c r="E44" s="11">
        <f>NetJanToFeb!E44+NetFebToMar!E44+NetMarToApr!E44+NetAprToMay!E44+NetMayToJun!E44+NetJunToJul!E44+NetJulToAug!E44+NetAugToSep!E44+NetSepToOct!E44+NetOctToNov!E44+NetNovToDec!E44</f>
        <v>1658</v>
      </c>
      <c r="F44" s="10">
        <f t="shared" si="0"/>
        <v>727</v>
      </c>
    </row>
    <row r="45" spans="1:6" x14ac:dyDescent="0.25">
      <c r="A45" s="1" t="s">
        <v>42</v>
      </c>
      <c r="B45" s="11">
        <f>NetJanToFeb!B45+NetFebToMar!B45+NetMarToApr!B45+NetAprToMay!B45+NetMayToJun!B45+NetJunToJul!B45+NetJulToAug!B45+NetAugToSep!B45+NetSepToOct!B45+NetOctToNov!B45+NetNovToDec!B45</f>
        <v>2427</v>
      </c>
      <c r="C45" s="11">
        <f>NetJanToFeb!C45+NetFebToMar!C45+NetMarToApr!C45+NetAprToMay!C45+NetMayToJun!C45+NetJunToJul!C45+NetJulToAug!C45+NetAugToSep!C45+NetSepToOct!C45+NetOctToNov!C45+NetNovToDec!C45</f>
        <v>982</v>
      </c>
      <c r="D45" s="11">
        <f>NetJanToFeb!D45+NetFebToMar!D45+NetMarToApr!D45+NetAprToMay!D45+NetMayToJun!D45+NetJunToJul!D45+NetJulToAug!D45+NetAugToSep!D45+NetSepToOct!D45+NetOctToNov!D45+NetNovToDec!D45</f>
        <v>-1020</v>
      </c>
      <c r="E45" s="11">
        <f>NetJanToFeb!E45+NetFebToMar!E45+NetMarToApr!E45+NetAprToMay!E45+NetMayToJun!E45+NetJunToJul!E45+NetJulToAug!E45+NetAugToSep!E45+NetSepToOct!E45+NetOctToNov!E45+NetNovToDec!E45</f>
        <v>4225</v>
      </c>
      <c r="F45" s="10">
        <f t="shared" si="0"/>
        <v>6614</v>
      </c>
    </row>
    <row r="46" spans="1:6" x14ac:dyDescent="0.25">
      <c r="A46" s="1" t="s">
        <v>43</v>
      </c>
      <c r="B46" s="11">
        <f>NetJanToFeb!B46+NetFebToMar!B46+NetMarToApr!B46+NetAprToMay!B46+NetMayToJun!B46+NetJunToJul!B46+NetJulToAug!B46+NetAugToSep!B46+NetSepToOct!B46+NetOctToNov!B46+NetNovToDec!B46</f>
        <v>-89</v>
      </c>
      <c r="C46" s="11">
        <f>NetJanToFeb!C46+NetFebToMar!C46+NetMarToApr!C46+NetAprToMay!C46+NetMayToJun!C46+NetJunToJul!C46+NetJulToAug!C46+NetAugToSep!C46+NetSepToOct!C46+NetOctToNov!C46+NetNovToDec!C46</f>
        <v>-123</v>
      </c>
      <c r="D46" s="11">
        <f>NetJanToFeb!D46+NetFebToMar!D46+NetMarToApr!D46+NetAprToMay!D46+NetMayToJun!D46+NetJunToJul!D46+NetJulToAug!D46+NetAugToSep!D46+NetSepToOct!D46+NetOctToNov!D46+NetNovToDec!D46</f>
        <v>-224</v>
      </c>
      <c r="E46" s="11">
        <f>NetJanToFeb!E46+NetFebToMar!E46+NetMarToApr!E46+NetAprToMay!E46+NetMayToJun!E46+NetJunToJul!E46+NetJulToAug!E46+NetAugToSep!E46+NetSepToOct!E46+NetOctToNov!E46+NetNovToDec!E46</f>
        <v>361</v>
      </c>
      <c r="F46" s="10">
        <f t="shared" si="0"/>
        <v>-75</v>
      </c>
    </row>
    <row r="47" spans="1:6" x14ac:dyDescent="0.25">
      <c r="A47" s="1" t="s">
        <v>44</v>
      </c>
      <c r="B47" s="11">
        <f>NetJanToFeb!B47+NetFebToMar!B47+NetMarToApr!B47+NetAprToMay!B47+NetMayToJun!B47+NetJunToJul!B47+NetJulToAug!B47+NetAugToSep!B47+NetSepToOct!B47+NetOctToNov!B47+NetNovToDec!B47</f>
        <v>-7176</v>
      </c>
      <c r="C47" s="11">
        <f>NetJanToFeb!C47+NetFebToMar!C47+NetMarToApr!C47+NetAprToMay!C47+NetMayToJun!C47+NetJunToJul!C47+NetJulToAug!C47+NetAugToSep!C47+NetSepToOct!C47+NetOctToNov!C47+NetNovToDec!C47</f>
        <v>-14762</v>
      </c>
      <c r="D47" s="11">
        <f>NetJanToFeb!D47+NetFebToMar!D47+NetMarToApr!D47+NetAprToMay!D47+NetMayToJun!D47+NetJunToJul!D47+NetJulToAug!D47+NetAugToSep!D47+NetSepToOct!D47+NetOctToNov!D47+NetNovToDec!D47</f>
        <v>-1250</v>
      </c>
      <c r="E47" s="11">
        <f>NetJanToFeb!E47+NetFebToMar!E47+NetMarToApr!E47+NetAprToMay!E47+NetMayToJun!E47+NetJunToJul!E47+NetJulToAug!E47+NetAugToSep!E47+NetSepToOct!E47+NetOctToNov!E47+NetNovToDec!E47</f>
        <v>2965</v>
      </c>
      <c r="F47" s="10">
        <f t="shared" si="0"/>
        <v>-20223</v>
      </c>
    </row>
    <row r="48" spans="1:6" x14ac:dyDescent="0.25">
      <c r="A48" s="1" t="s">
        <v>45</v>
      </c>
      <c r="B48" s="11">
        <f>NetJanToFeb!B48+NetFebToMar!B48+NetMarToApr!B48+NetAprToMay!B48+NetMayToJun!B48+NetJunToJul!B48+NetJulToAug!B48+NetAugToSep!B48+NetSepToOct!B48+NetOctToNov!B48+NetNovToDec!B48</f>
        <v>300</v>
      </c>
      <c r="C48" s="11">
        <f>NetJanToFeb!C48+NetFebToMar!C48+NetMarToApr!C48+NetAprToMay!C48+NetMayToJun!C48+NetJunToJul!C48+NetJulToAug!C48+NetAugToSep!C48+NetSepToOct!C48+NetOctToNov!C48+NetNovToDec!C48</f>
        <v>-123</v>
      </c>
      <c r="D48" s="11">
        <f>NetJanToFeb!D48+NetFebToMar!D48+NetMarToApr!D48+NetAprToMay!D48+NetMayToJun!D48+NetJunToJul!D48+NetJulToAug!D48+NetAugToSep!D48+NetSepToOct!D48+NetOctToNov!D48+NetNovToDec!D48</f>
        <v>112</v>
      </c>
      <c r="E48" s="11">
        <f>NetJanToFeb!E48+NetFebToMar!E48+NetMarToApr!E48+NetAprToMay!E48+NetMayToJun!E48+NetJunToJul!E48+NetJulToAug!E48+NetAugToSep!E48+NetSepToOct!E48+NetOctToNov!E48+NetNovToDec!E48</f>
        <v>379</v>
      </c>
      <c r="F48" s="10">
        <f t="shared" si="0"/>
        <v>668</v>
      </c>
    </row>
    <row r="49" spans="1:6" x14ac:dyDescent="0.25">
      <c r="A49" s="1" t="s">
        <v>46</v>
      </c>
      <c r="B49" s="11">
        <f>NetJanToFeb!B49+NetFebToMar!B49+NetMarToApr!B49+NetAprToMay!B49+NetMayToJun!B49+NetJunToJul!B49+NetJulToAug!B49+NetAugToSep!B49+NetSepToOct!B49+NetOctToNov!B49+NetNovToDec!B49</f>
        <v>1468</v>
      </c>
      <c r="C49" s="11">
        <f>NetJanToFeb!C49+NetFebToMar!C49+NetMarToApr!C49+NetAprToMay!C49+NetMayToJun!C49+NetJunToJul!C49+NetJulToAug!C49+NetAugToSep!C49+NetSepToOct!C49+NetOctToNov!C49+NetNovToDec!C49</f>
        <v>223</v>
      </c>
      <c r="D49" s="11">
        <f>NetJanToFeb!D49+NetFebToMar!D49+NetMarToApr!D49+NetAprToMay!D49+NetMayToJun!D49+NetJunToJul!D49+NetJulToAug!D49+NetAugToSep!D49+NetSepToOct!D49+NetOctToNov!D49+NetNovToDec!D49</f>
        <v>-82</v>
      </c>
      <c r="E49" s="11">
        <f>NetJanToFeb!E49+NetFebToMar!E49+NetMarToApr!E49+NetAprToMay!E49+NetMayToJun!E49+NetJunToJul!E49+NetJulToAug!E49+NetAugToSep!E49+NetSepToOct!E49+NetOctToNov!E49+NetNovToDec!E49</f>
        <v>905</v>
      </c>
      <c r="F49" s="10">
        <f t="shared" si="0"/>
        <v>2514</v>
      </c>
    </row>
    <row r="50" spans="1:6" x14ac:dyDescent="0.25">
      <c r="A50" s="1" t="s">
        <v>47</v>
      </c>
      <c r="B50" s="11">
        <f>NetJanToFeb!B50+NetFebToMar!B50+NetMarToApr!B50+NetAprToMay!B50+NetMayToJun!B50+NetJunToJul!B50+NetJulToAug!B50+NetAugToSep!B50+NetSepToOct!B50+NetOctToNov!B50+NetNovToDec!B50</f>
        <v>-3967</v>
      </c>
      <c r="C50" s="11">
        <f>NetJanToFeb!C50+NetFebToMar!C50+NetMarToApr!C50+NetAprToMay!C50+NetMayToJun!C50+NetJunToJul!C50+NetJulToAug!C50+NetAugToSep!C50+NetSepToOct!C50+NetOctToNov!C50+NetNovToDec!C50</f>
        <v>-2233</v>
      </c>
      <c r="D50" s="11">
        <f>NetJanToFeb!D50+NetFebToMar!D50+NetMarToApr!D50+NetAprToMay!D50+NetMayToJun!D50+NetJunToJul!D50+NetJulToAug!D50+NetAugToSep!D50+NetSepToOct!D50+NetOctToNov!D50+NetNovToDec!D50</f>
        <v>181</v>
      </c>
      <c r="E50" s="11">
        <f>NetJanToFeb!E50+NetFebToMar!E50+NetMarToApr!E50+NetAprToMay!E50+NetMayToJun!E50+NetJunToJul!E50+NetJulToAug!E50+NetAugToSep!E50+NetSepToOct!E50+NetOctToNov!E50+NetNovToDec!E50</f>
        <v>-2043</v>
      </c>
      <c r="F50" s="10">
        <f t="shared" si="0"/>
        <v>-8062</v>
      </c>
    </row>
    <row r="51" spans="1:6" x14ac:dyDescent="0.25">
      <c r="A51" s="1" t="s">
        <v>48</v>
      </c>
      <c r="B51" s="11">
        <f>NetJanToFeb!B51+NetFebToMar!B51+NetMarToApr!B51+NetAprToMay!B51+NetMayToJun!B51+NetJunToJul!B51+NetJulToAug!B51+NetAugToSep!B51+NetSepToOct!B51+NetOctToNov!B51+NetNovToDec!B51</f>
        <v>101</v>
      </c>
      <c r="C51" s="11">
        <f>NetJanToFeb!C51+NetFebToMar!C51+NetMarToApr!C51+NetAprToMay!C51+NetMayToJun!C51+NetJunToJul!C51+NetJulToAug!C51+NetAugToSep!C51+NetSepToOct!C51+NetOctToNov!C51+NetNovToDec!C51</f>
        <v>-297</v>
      </c>
      <c r="D51" s="11">
        <f>NetJanToFeb!D51+NetFebToMar!D51+NetMarToApr!D51+NetAprToMay!D51+NetMayToJun!D51+NetJunToJul!D51+NetJulToAug!D51+NetAugToSep!D51+NetSepToOct!D51+NetOctToNov!D51+NetNovToDec!D51</f>
        <v>25</v>
      </c>
      <c r="E51" s="11">
        <f>NetJanToFeb!E51+NetFebToMar!E51+NetMarToApr!E51+NetAprToMay!E51+NetMayToJun!E51+NetJunToJul!E51+NetJulToAug!E51+NetAugToSep!E51+NetSepToOct!E51+NetOctToNov!E51+NetNovToDec!E51</f>
        <v>-71</v>
      </c>
      <c r="F51" s="10">
        <f t="shared" si="0"/>
        <v>-242</v>
      </c>
    </row>
    <row r="52" spans="1:6" x14ac:dyDescent="0.25">
      <c r="A52" s="1" t="s">
        <v>49</v>
      </c>
      <c r="B52" s="11">
        <f>NetJanToFeb!B52+NetFebToMar!B52+NetMarToApr!B52+NetAprToMay!B52+NetMayToJun!B52+NetJunToJul!B52+NetJulToAug!B52+NetAugToSep!B52+NetSepToOct!B52+NetOctToNov!B52+NetNovToDec!B52</f>
        <v>1608</v>
      </c>
      <c r="C52" s="11">
        <f>NetJanToFeb!C52+NetFebToMar!C52+NetMarToApr!C52+NetAprToMay!C52+NetMayToJun!C52+NetJunToJul!C52+NetJulToAug!C52+NetAugToSep!C52+NetSepToOct!C52+NetOctToNov!C52+NetNovToDec!C52</f>
        <v>3581</v>
      </c>
      <c r="D52" s="11">
        <f>NetJanToFeb!D52+NetFebToMar!D52+NetMarToApr!D52+NetAprToMay!D52+NetMayToJun!D52+NetJunToJul!D52+NetJulToAug!D52+NetAugToSep!D52+NetSepToOct!D52+NetOctToNov!D52+NetNovToDec!D52</f>
        <v>-744</v>
      </c>
      <c r="E52" s="11">
        <f>NetJanToFeb!E52+NetFebToMar!E52+NetMarToApr!E52+NetAprToMay!E52+NetMayToJun!E52+NetJunToJul!E52+NetJulToAug!E52+NetAugToSep!E52+NetSepToOct!E52+NetOctToNov!E52+NetNovToDec!E52</f>
        <v>12116</v>
      </c>
      <c r="F52" s="10">
        <f t="shared" si="0"/>
        <v>16561</v>
      </c>
    </row>
    <row r="53" spans="1:6" x14ac:dyDescent="0.25">
      <c r="A53" s="1" t="s">
        <v>50</v>
      </c>
      <c r="B53" s="11">
        <f>NetJanToFeb!B53+NetFebToMar!B53+NetMarToApr!B53+NetAprToMay!B53+NetMayToJun!B53+NetJunToJul!B53+NetJulToAug!B53+NetAugToSep!B53+NetSepToOct!B53+NetOctToNov!B53+NetNovToDec!B53</f>
        <v>-502</v>
      </c>
      <c r="C53" s="11">
        <f>NetJanToFeb!C53+NetFebToMar!C53+NetMarToApr!C53+NetAprToMay!C53+NetMayToJun!C53+NetJunToJul!C53+NetJulToAug!C53+NetAugToSep!C53+NetSepToOct!C53+NetOctToNov!C53+NetNovToDec!C53</f>
        <v>-845</v>
      </c>
      <c r="D53" s="11">
        <f>NetJanToFeb!D53+NetFebToMar!D53+NetMarToApr!D53+NetAprToMay!D53+NetMayToJun!D53+NetJunToJul!D53+NetJulToAug!D53+NetAugToSep!D53+NetSepToOct!D53+NetOctToNov!D53+NetNovToDec!D53</f>
        <v>-3352</v>
      </c>
      <c r="E53" s="11">
        <f>NetJanToFeb!E53+NetFebToMar!E53+NetMarToApr!E53+NetAprToMay!E53+NetMayToJun!E53+NetJunToJul!E53+NetJulToAug!E53+NetAugToSep!E53+NetSepToOct!E53+NetOctToNov!E53+NetNovToDec!E53</f>
        <v>6997</v>
      </c>
      <c r="F53" s="10">
        <f t="shared" si="0"/>
        <v>2298</v>
      </c>
    </row>
    <row r="54" spans="1:6" x14ac:dyDescent="0.25">
      <c r="A54" s="1" t="s">
        <v>51</v>
      </c>
      <c r="B54" s="11">
        <f>NetJanToFeb!B54+NetFebToMar!B54+NetMarToApr!B54+NetAprToMay!B54+NetMayToJun!B54+NetJunToJul!B54+NetJulToAug!B54+NetAugToSep!B54+NetSepToOct!B54+NetOctToNov!B54+NetNovToDec!B54</f>
        <v>2357</v>
      </c>
      <c r="C54" s="11">
        <f>NetJanToFeb!C54+NetFebToMar!C54+NetMarToApr!C54+NetAprToMay!C54+NetMayToJun!C54+NetJunToJul!C54+NetJulToAug!C54+NetAugToSep!C54+NetSepToOct!C54+NetOctToNov!C54+NetNovToDec!C54</f>
        <v>-175</v>
      </c>
      <c r="D54" s="11">
        <f>NetJanToFeb!D54+NetFebToMar!D54+NetMarToApr!D54+NetAprToMay!D54+NetMayToJun!D54+NetJunToJul!D54+NetJulToAug!D54+NetAugToSep!D54+NetSepToOct!D54+NetOctToNov!D54+NetNovToDec!D54</f>
        <v>-26772</v>
      </c>
      <c r="E54" s="11">
        <f>NetJanToFeb!E54+NetFebToMar!E54+NetMarToApr!E54+NetAprToMay!E54+NetMayToJun!E54+NetJunToJul!E54+NetJulToAug!E54+NetAugToSep!E54+NetSepToOct!E54+NetOctToNov!E54+NetNovToDec!E54</f>
        <v>30565</v>
      </c>
      <c r="F54" s="10">
        <f t="shared" si="0"/>
        <v>5975</v>
      </c>
    </row>
    <row r="55" spans="1:6" x14ac:dyDescent="0.25">
      <c r="A55" s="1" t="s">
        <v>52</v>
      </c>
      <c r="B55" s="11">
        <f>NetJanToFeb!B55+NetFebToMar!B55+NetMarToApr!B55+NetAprToMay!B55+NetMayToJun!B55+NetJunToJul!B55+NetJulToAug!B55+NetAugToSep!B55+NetSepToOct!B55+NetOctToNov!B55+NetNovToDec!B55</f>
        <v>50</v>
      </c>
      <c r="C55" s="11">
        <f>NetJanToFeb!C55+NetFebToMar!C55+NetMarToApr!C55+NetAprToMay!C55+NetMayToJun!C55+NetJunToJul!C55+NetJulToAug!C55+NetAugToSep!C55+NetSepToOct!C55+NetOctToNov!C55+NetNovToDec!C55</f>
        <v>-1412</v>
      </c>
      <c r="D55" s="11">
        <f>NetJanToFeb!D55+NetFebToMar!D55+NetMarToApr!D55+NetAprToMay!D55+NetMayToJun!D55+NetJunToJul!D55+NetJulToAug!D55+NetAugToSep!D55+NetSepToOct!D55+NetOctToNov!D55+NetNovToDec!D55</f>
        <v>-1791</v>
      </c>
      <c r="E55" s="11">
        <f>NetJanToFeb!E55+NetFebToMar!E55+NetMarToApr!E55+NetAprToMay!E55+NetMayToJun!E55+NetJunToJul!E55+NetJulToAug!E55+NetAugToSep!E55+NetSepToOct!E55+NetOctToNov!E55+NetNovToDec!E55</f>
        <v>3440</v>
      </c>
      <c r="F55" s="10">
        <f t="shared" si="0"/>
        <v>287</v>
      </c>
    </row>
    <row r="56" spans="1:6" x14ac:dyDescent="0.25">
      <c r="A56" s="1" t="s">
        <v>53</v>
      </c>
      <c r="B56" s="11">
        <f>NetJanToFeb!B56+NetFebToMar!B56+NetMarToApr!B56+NetAprToMay!B56+NetMayToJun!B56+NetJunToJul!B56+NetJulToAug!B56+NetAugToSep!B56+NetSepToOct!B56+NetOctToNov!B56+NetNovToDec!B56</f>
        <v>-1253</v>
      </c>
      <c r="C56" s="11">
        <f>NetJanToFeb!C56+NetFebToMar!C56+NetMarToApr!C56+NetAprToMay!C56+NetMayToJun!C56+NetJunToJul!C56+NetJulToAug!C56+NetAugToSep!C56+NetSepToOct!C56+NetOctToNov!C56+NetNovToDec!C56</f>
        <v>-2289</v>
      </c>
      <c r="D56" s="11">
        <f>NetJanToFeb!D56+NetFebToMar!D56+NetMarToApr!D56+NetAprToMay!D56+NetMayToJun!D56+NetJunToJul!D56+NetJulToAug!D56+NetAugToSep!D56+NetSepToOct!D56+NetOctToNov!D56+NetNovToDec!D56</f>
        <v>-970</v>
      </c>
      <c r="E56" s="11">
        <f>NetJanToFeb!E56+NetFebToMar!E56+NetMarToApr!E56+NetAprToMay!E56+NetMayToJun!E56+NetJunToJul!E56+NetJulToAug!E56+NetAugToSep!E56+NetSepToOct!E56+NetOctToNov!E56+NetNovToDec!E56</f>
        <v>3548</v>
      </c>
      <c r="F56" s="10">
        <f t="shared" si="0"/>
        <v>-964</v>
      </c>
    </row>
    <row r="57" spans="1:6" x14ac:dyDescent="0.25">
      <c r="A57" s="1" t="s">
        <v>54</v>
      </c>
      <c r="B57" s="11">
        <f>NetJanToFeb!B57+NetFebToMar!B57+NetMarToApr!B57+NetAprToMay!B57+NetMayToJun!B57+NetJunToJul!B57+NetJulToAug!B57+NetAugToSep!B57+NetSepToOct!B57+NetOctToNov!B57+NetNovToDec!B57</f>
        <v>-2828</v>
      </c>
      <c r="C57" s="11">
        <f>NetJanToFeb!C57+NetFebToMar!C57+NetMarToApr!C57+NetAprToMay!C57+NetMayToJun!C57+NetJunToJul!C57+NetJulToAug!C57+NetAugToSep!C57+NetSepToOct!C57+NetOctToNov!C57+NetNovToDec!C57</f>
        <v>-6394</v>
      </c>
      <c r="D57" s="11">
        <f>NetJanToFeb!D57+NetFebToMar!D57+NetMarToApr!D57+NetAprToMay!D57+NetMayToJun!D57+NetJunToJul!D57+NetJulToAug!D57+NetAugToSep!D57+NetSepToOct!D57+NetOctToNov!D57+NetNovToDec!D57</f>
        <v>-9780</v>
      </c>
      <c r="E57" s="11">
        <f>NetJanToFeb!E57+NetFebToMar!E57+NetMarToApr!E57+NetAprToMay!E57+NetMayToJun!E57+NetJunToJul!E57+NetJulToAug!E57+NetAugToSep!E57+NetSepToOct!E57+NetOctToNov!E57+NetNovToDec!E57</f>
        <v>10730</v>
      </c>
      <c r="F57" s="10">
        <f t="shared" si="0"/>
        <v>-8272</v>
      </c>
    </row>
    <row r="58" spans="1:6" x14ac:dyDescent="0.25">
      <c r="A58" s="1" t="s">
        <v>55</v>
      </c>
      <c r="B58" s="11">
        <f>NetJanToFeb!B58+NetFebToMar!B58+NetMarToApr!B58+NetAprToMay!B58+NetMayToJun!B58+NetJunToJul!B58+NetJulToAug!B58+NetAugToSep!B58+NetSepToOct!B58+NetOctToNov!B58+NetNovToDec!B58</f>
        <v>-256</v>
      </c>
      <c r="C58" s="11">
        <f>NetJanToFeb!C58+NetFebToMar!C58+NetMarToApr!C58+NetAprToMay!C58+NetMayToJun!C58+NetJunToJul!C58+NetJulToAug!C58+NetAugToSep!C58+NetSepToOct!C58+NetOctToNov!C58+NetNovToDec!C58</f>
        <v>-1291</v>
      </c>
      <c r="D58" s="11">
        <f>NetJanToFeb!D58+NetFebToMar!D58+NetMarToApr!D58+NetAprToMay!D58+NetMayToJun!D58+NetJunToJul!D58+NetJulToAug!D58+NetAugToSep!D58+NetSepToOct!D58+NetOctToNov!D58+NetNovToDec!D58</f>
        <v>-788</v>
      </c>
      <c r="E58" s="11">
        <f>NetJanToFeb!E58+NetFebToMar!E58+NetMarToApr!E58+NetAprToMay!E58+NetMayToJun!E58+NetJunToJul!E58+NetJulToAug!E58+NetAugToSep!E58+NetSepToOct!E58+NetOctToNov!E58+NetNovToDec!E58</f>
        <v>443</v>
      </c>
      <c r="F58" s="10">
        <f t="shared" si="0"/>
        <v>-1892</v>
      </c>
    </row>
    <row r="59" spans="1:6" x14ac:dyDescent="0.25">
      <c r="A59" s="1" t="s">
        <v>56</v>
      </c>
      <c r="B59" s="11">
        <f>NetJanToFeb!B59+NetFebToMar!B59+NetMarToApr!B59+NetAprToMay!B59+NetMayToJun!B59+NetJunToJul!B59+NetJulToAug!B59+NetAugToSep!B59+NetSepToOct!B59+NetOctToNov!B59+NetNovToDec!B59</f>
        <v>-2560</v>
      </c>
      <c r="C59" s="11">
        <f>NetJanToFeb!C59+NetFebToMar!C59+NetMarToApr!C59+NetAprToMay!C59+NetMayToJun!C59+NetJunToJul!C59+NetJulToAug!C59+NetAugToSep!C59+NetSepToOct!C59+NetOctToNov!C59+NetNovToDec!C59</f>
        <v>-1676</v>
      </c>
      <c r="D59" s="11">
        <f>NetJanToFeb!D59+NetFebToMar!D59+NetMarToApr!D59+NetAprToMay!D59+NetMayToJun!D59+NetJunToJul!D59+NetJulToAug!D59+NetAugToSep!D59+NetSepToOct!D59+NetOctToNov!D59+NetNovToDec!D59</f>
        <v>-67</v>
      </c>
      <c r="E59" s="11">
        <f>NetJanToFeb!E59+NetFebToMar!E59+NetMarToApr!E59+NetAprToMay!E59+NetMayToJun!E59+NetJunToJul!E59+NetJulToAug!E59+NetAugToSep!E59+NetSepToOct!E59+NetOctToNov!E59+NetNovToDec!E59</f>
        <v>-1090</v>
      </c>
      <c r="F59" s="10">
        <f t="shared" si="0"/>
        <v>-5393</v>
      </c>
    </row>
    <row r="60" spans="1:6" x14ac:dyDescent="0.25">
      <c r="A60" s="1" t="s">
        <v>57</v>
      </c>
      <c r="B60" s="11">
        <f>NetJanToFeb!B60+NetFebToMar!B60+NetMarToApr!B60+NetAprToMay!B60+NetMayToJun!B60+NetJunToJul!B60+NetJulToAug!B60+NetAugToSep!B60+NetSepToOct!B60+NetOctToNov!B60+NetNovToDec!B60</f>
        <v>76</v>
      </c>
      <c r="C60" s="11">
        <f>NetJanToFeb!C60+NetFebToMar!C60+NetMarToApr!C60+NetAprToMay!C60+NetMayToJun!C60+NetJunToJul!C60+NetJulToAug!C60+NetAugToSep!C60+NetSepToOct!C60+NetOctToNov!C60+NetNovToDec!C60</f>
        <v>-248</v>
      </c>
      <c r="D60" s="11">
        <f>NetJanToFeb!D60+NetFebToMar!D60+NetMarToApr!D60+NetAprToMay!D60+NetMayToJun!D60+NetJunToJul!D60+NetJulToAug!D60+NetAugToSep!D60+NetSepToOct!D60+NetOctToNov!D60+NetNovToDec!D60</f>
        <v>-319</v>
      </c>
      <c r="E60" s="11">
        <f>NetJanToFeb!E60+NetFebToMar!E60+NetMarToApr!E60+NetAprToMay!E60+NetMayToJun!E60+NetJunToJul!E60+NetJulToAug!E60+NetAugToSep!E60+NetSepToOct!E60+NetOctToNov!E60+NetNovToDec!E60</f>
        <v>1400</v>
      </c>
      <c r="F60" s="10">
        <f t="shared" si="0"/>
        <v>909</v>
      </c>
    </row>
    <row r="61" spans="1:6" x14ac:dyDescent="0.25">
      <c r="A61" s="1" t="s">
        <v>58</v>
      </c>
      <c r="B61" s="11">
        <f>NetJanToFeb!B61+NetFebToMar!B61+NetMarToApr!B61+NetAprToMay!B61+NetMayToJun!B61+NetJunToJul!B61+NetJulToAug!B61+NetAugToSep!B61+NetSepToOct!B61+NetOctToNov!B61+NetNovToDec!B61</f>
        <v>-3031</v>
      </c>
      <c r="C61" s="11">
        <f>NetJanToFeb!C61+NetFebToMar!C61+NetMarToApr!C61+NetAprToMay!C61+NetMayToJun!C61+NetJunToJul!C61+NetJulToAug!C61+NetAugToSep!C61+NetSepToOct!C61+NetOctToNov!C61+NetNovToDec!C61</f>
        <v>-2141</v>
      </c>
      <c r="D61" s="11">
        <f>NetJanToFeb!D61+NetFebToMar!D61+NetMarToApr!D61+NetAprToMay!D61+NetMayToJun!D61+NetJunToJul!D61+NetJulToAug!D61+NetAugToSep!D61+NetSepToOct!D61+NetOctToNov!D61+NetNovToDec!D61</f>
        <v>-406</v>
      </c>
      <c r="E61" s="11">
        <f>NetJanToFeb!E61+NetFebToMar!E61+NetMarToApr!E61+NetAprToMay!E61+NetMayToJun!E61+NetJunToJul!E61+NetJulToAug!E61+NetAugToSep!E61+NetSepToOct!E61+NetOctToNov!E61+NetNovToDec!E61</f>
        <v>-34</v>
      </c>
      <c r="F61" s="10">
        <f t="shared" si="0"/>
        <v>-5612</v>
      </c>
    </row>
    <row r="62" spans="1:6" x14ac:dyDescent="0.25">
      <c r="A62" s="1" t="s">
        <v>59</v>
      </c>
      <c r="B62" s="11">
        <f>NetJanToFeb!B62+NetFebToMar!B62+NetMarToApr!B62+NetAprToMay!B62+NetMayToJun!B62+NetJunToJul!B62+NetJulToAug!B62+NetAugToSep!B62+NetSepToOct!B62+NetOctToNov!B62+NetNovToDec!B62</f>
        <v>1692</v>
      </c>
      <c r="C62" s="11">
        <f>NetJanToFeb!C62+NetFebToMar!C62+NetMarToApr!C62+NetAprToMay!C62+NetMayToJun!C62+NetJunToJul!C62+NetJulToAug!C62+NetAugToSep!C62+NetSepToOct!C62+NetOctToNov!C62+NetNovToDec!C62</f>
        <v>580</v>
      </c>
      <c r="D62" s="11">
        <f>NetJanToFeb!D62+NetFebToMar!D62+NetMarToApr!D62+NetAprToMay!D62+NetMayToJun!D62+NetJunToJul!D62+NetJulToAug!D62+NetAugToSep!D62+NetSepToOct!D62+NetOctToNov!D62+NetNovToDec!D62</f>
        <v>-57</v>
      </c>
      <c r="E62" s="11">
        <f>NetJanToFeb!E62+NetFebToMar!E62+NetMarToApr!E62+NetAprToMay!E62+NetMayToJun!E62+NetJunToJul!E62+NetJulToAug!E62+NetAugToSep!E62+NetSepToOct!E62+NetOctToNov!E62+NetNovToDec!E62</f>
        <v>1159</v>
      </c>
      <c r="F62" s="10">
        <f t="shared" si="0"/>
        <v>3374</v>
      </c>
    </row>
    <row r="63" spans="1:6" x14ac:dyDescent="0.25">
      <c r="A63" s="1" t="s">
        <v>60</v>
      </c>
      <c r="B63" s="11">
        <f>NetJanToFeb!B63+NetFebToMar!B63+NetMarToApr!B63+NetAprToMay!B63+NetMayToJun!B63+NetJunToJul!B63+NetJulToAug!B63+NetAugToSep!B63+NetSepToOct!B63+NetOctToNov!B63+NetNovToDec!B63</f>
        <v>195</v>
      </c>
      <c r="C63" s="11">
        <f>NetJanToFeb!C63+NetFebToMar!C63+NetMarToApr!C63+NetAprToMay!C63+NetMayToJun!C63+NetJunToJul!C63+NetJulToAug!C63+NetAugToSep!C63+NetSepToOct!C63+NetOctToNov!C63+NetNovToDec!C63</f>
        <v>-442</v>
      </c>
      <c r="D63" s="11">
        <f>NetJanToFeb!D63+NetFebToMar!D63+NetMarToApr!D63+NetAprToMay!D63+NetMayToJun!D63+NetJunToJul!D63+NetJulToAug!D63+NetAugToSep!D63+NetSepToOct!D63+NetOctToNov!D63+NetNovToDec!D63</f>
        <v>-421</v>
      </c>
      <c r="E63" s="11">
        <f>NetJanToFeb!E63+NetFebToMar!E63+NetMarToApr!E63+NetAprToMay!E63+NetMayToJun!E63+NetJunToJul!E63+NetJulToAug!E63+NetAugToSep!E63+NetSepToOct!E63+NetOctToNov!E63+NetNovToDec!E63</f>
        <v>1602</v>
      </c>
      <c r="F63" s="10">
        <f t="shared" si="0"/>
        <v>934</v>
      </c>
    </row>
    <row r="64" spans="1:6" x14ac:dyDescent="0.25">
      <c r="A64" s="1" t="s">
        <v>61</v>
      </c>
      <c r="B64" s="11">
        <f>NetJanToFeb!B64+NetFebToMar!B64+NetMarToApr!B64+NetAprToMay!B64+NetMayToJun!B64+NetJunToJul!B64+NetJulToAug!B64+NetAugToSep!B64+NetSepToOct!B64+NetOctToNov!B64+NetNovToDec!B64</f>
        <v>282</v>
      </c>
      <c r="C64" s="11">
        <f>NetJanToFeb!C64+NetFebToMar!C64+NetMarToApr!C64+NetAprToMay!C64+NetMayToJun!C64+NetJunToJul!C64+NetJulToAug!C64+NetAugToSep!C64+NetSepToOct!C64+NetOctToNov!C64+NetNovToDec!C64</f>
        <v>-571</v>
      </c>
      <c r="D64" s="11">
        <f>NetJanToFeb!D64+NetFebToMar!D64+NetMarToApr!D64+NetAprToMay!D64+NetMayToJun!D64+NetJunToJul!D64+NetJulToAug!D64+NetAugToSep!D64+NetSepToOct!D64+NetOctToNov!D64+NetNovToDec!D64</f>
        <v>-2686</v>
      </c>
      <c r="E64" s="11">
        <f>NetJanToFeb!E64+NetFebToMar!E64+NetMarToApr!E64+NetAprToMay!E64+NetMayToJun!E64+NetJunToJul!E64+NetJulToAug!E64+NetAugToSep!E64+NetSepToOct!E64+NetOctToNov!E64+NetNovToDec!E64</f>
        <v>2260</v>
      </c>
      <c r="F64" s="10">
        <f t="shared" si="0"/>
        <v>-715</v>
      </c>
    </row>
    <row r="65" spans="1:6" x14ac:dyDescent="0.25">
      <c r="A65" s="1" t="s">
        <v>62</v>
      </c>
      <c r="B65" s="11">
        <f>NetJanToFeb!B65+NetFebToMar!B65+NetMarToApr!B65+NetAprToMay!B65+NetMayToJun!B65+NetJunToJul!B65+NetJulToAug!B65+NetAugToSep!B65+NetSepToOct!B65+NetOctToNov!B65+NetNovToDec!B65</f>
        <v>-191</v>
      </c>
      <c r="C65" s="11">
        <f>NetJanToFeb!C65+NetFebToMar!C65+NetMarToApr!C65+NetAprToMay!C65+NetMayToJun!C65+NetJunToJul!C65+NetJulToAug!C65+NetAugToSep!C65+NetSepToOct!C65+NetOctToNov!C65+NetNovToDec!C65</f>
        <v>-844</v>
      </c>
      <c r="D65" s="11">
        <f>NetJanToFeb!D65+NetFebToMar!D65+NetMarToApr!D65+NetAprToMay!D65+NetMayToJun!D65+NetJunToJul!D65+NetJulToAug!D65+NetAugToSep!D65+NetSepToOct!D65+NetOctToNov!D65+NetNovToDec!D65</f>
        <v>-908</v>
      </c>
      <c r="E65" s="11">
        <f>NetJanToFeb!E65+NetFebToMar!E65+NetMarToApr!E65+NetAprToMay!E65+NetMayToJun!E65+NetJunToJul!E65+NetJulToAug!E65+NetAugToSep!E65+NetSepToOct!E65+NetOctToNov!E65+NetNovToDec!E65</f>
        <v>647</v>
      </c>
      <c r="F65" s="10">
        <f t="shared" si="0"/>
        <v>-1296</v>
      </c>
    </row>
    <row r="66" spans="1:6" x14ac:dyDescent="0.25">
      <c r="A66" s="1" t="s">
        <v>63</v>
      </c>
      <c r="B66" s="11">
        <f>NetJanToFeb!B66+NetFebToMar!B66+NetMarToApr!B66+NetAprToMay!B66+NetMayToJun!B66+NetJunToJul!B66+NetJulToAug!B66+NetAugToSep!B66+NetSepToOct!B66+NetOctToNov!B66+NetNovToDec!B66</f>
        <v>90</v>
      </c>
      <c r="C66" s="11">
        <f>NetJanToFeb!C66+NetFebToMar!C66+NetMarToApr!C66+NetAprToMay!C66+NetMayToJun!C66+NetJunToJul!C66+NetJulToAug!C66+NetAugToSep!C66+NetSepToOct!C66+NetOctToNov!C66+NetNovToDec!C66</f>
        <v>-308</v>
      </c>
      <c r="D66" s="11">
        <f>NetJanToFeb!D66+NetFebToMar!D66+NetMarToApr!D66+NetAprToMay!D66+NetMayToJun!D66+NetJunToJul!D66+NetJulToAug!D66+NetAugToSep!D66+NetSepToOct!D66+NetOctToNov!D66+NetNovToDec!D66</f>
        <v>3</v>
      </c>
      <c r="E66" s="11">
        <f>NetJanToFeb!E66+NetFebToMar!E66+NetMarToApr!E66+NetAprToMay!E66+NetMayToJun!E66+NetJunToJul!E66+NetJulToAug!E66+NetAugToSep!E66+NetSepToOct!E66+NetOctToNov!E66+NetNovToDec!E66</f>
        <v>49</v>
      </c>
      <c r="F66" s="10">
        <f t="shared" si="0"/>
        <v>-166</v>
      </c>
    </row>
    <row r="67" spans="1:6" x14ac:dyDescent="0.25">
      <c r="A67" s="1" t="s">
        <v>64</v>
      </c>
      <c r="B67" s="11">
        <f>NetJanToFeb!B67+NetFebToMar!B67+NetMarToApr!B67+NetAprToMay!B67+NetMayToJun!B67+NetJunToJul!B67+NetJulToAug!B67+NetAugToSep!B67+NetSepToOct!B67+NetOctToNov!B67+NetNovToDec!B67</f>
        <v>24</v>
      </c>
      <c r="C67" s="11">
        <f>NetJanToFeb!C67+NetFebToMar!C67+NetMarToApr!C67+NetAprToMay!C67+NetMayToJun!C67+NetJunToJul!C67+NetJulToAug!C67+NetAugToSep!C67+NetSepToOct!C67+NetOctToNov!C67+NetNovToDec!C67</f>
        <v>-83</v>
      </c>
      <c r="D67" s="11">
        <f>NetJanToFeb!D67+NetFebToMar!D67+NetMarToApr!D67+NetAprToMay!D67+NetMayToJun!D67+NetJunToJul!D67+NetJulToAug!D67+NetAugToSep!D67+NetSepToOct!D67+NetOctToNov!D67+NetNovToDec!D67</f>
        <v>-112</v>
      </c>
      <c r="E67" s="11">
        <f>NetJanToFeb!E67+NetFebToMar!E67+NetMarToApr!E67+NetAprToMay!E67+NetMayToJun!E67+NetJunToJul!E67+NetJulToAug!E67+NetAugToSep!E67+NetSepToOct!E67+NetOctToNov!E67+NetNovToDec!E67</f>
        <v>116</v>
      </c>
      <c r="F67" s="10">
        <f t="shared" si="0"/>
        <v>-55</v>
      </c>
    </row>
    <row r="68" spans="1:6" x14ac:dyDescent="0.25">
      <c r="A68" s="1" t="s">
        <v>65</v>
      </c>
      <c r="B68" s="11">
        <f>NetJanToFeb!B68+NetFebToMar!B68+NetMarToApr!B68+NetAprToMay!B68+NetMayToJun!B68+NetJunToJul!B68+NetJulToAug!B68+NetAugToSep!B68+NetSepToOct!B68+NetOctToNov!B68+NetNovToDec!B68</f>
        <v>691</v>
      </c>
      <c r="C68" s="11">
        <f>NetJanToFeb!C68+NetFebToMar!C68+NetMarToApr!C68+NetAprToMay!C68+NetMayToJun!C68+NetJunToJul!C68+NetJulToAug!C68+NetAugToSep!C68+NetSepToOct!C68+NetOctToNov!C68+NetNovToDec!C68</f>
        <v>-3505</v>
      </c>
      <c r="D68" s="11">
        <f>NetJanToFeb!D68+NetFebToMar!D68+NetMarToApr!D68+NetAprToMay!D68+NetMayToJun!D68+NetJunToJul!D68+NetJulToAug!D68+NetAugToSep!D68+NetSepToOct!D68+NetOctToNov!D68+NetNovToDec!D68</f>
        <v>-9895</v>
      </c>
      <c r="E68" s="11">
        <f>NetJanToFeb!E68+NetFebToMar!E68+NetMarToApr!E68+NetAprToMay!E68+NetMayToJun!E68+NetJunToJul!E68+NetJulToAug!E68+NetAugToSep!E68+NetSepToOct!E68+NetOctToNov!E68+NetNovToDec!E68</f>
        <v>11353</v>
      </c>
      <c r="F68" s="10">
        <f t="shared" si="0"/>
        <v>-1356</v>
      </c>
    </row>
    <row r="69" spans="1:6" x14ac:dyDescent="0.25">
      <c r="A69" s="1" t="s">
        <v>66</v>
      </c>
      <c r="B69" s="11">
        <f>NetJanToFeb!B69+NetFebToMar!B69+NetMarToApr!B69+NetAprToMay!B69+NetMayToJun!B69+NetJunToJul!B69+NetJulToAug!B69+NetAugToSep!B69+NetSepToOct!B69+NetOctToNov!B69+NetNovToDec!B69</f>
        <v>80</v>
      </c>
      <c r="C69" s="11">
        <f>NetJanToFeb!C69+NetFebToMar!C69+NetMarToApr!C69+NetAprToMay!C69+NetMayToJun!C69+NetJunToJul!C69+NetJulToAug!C69+NetAugToSep!C69+NetSepToOct!C69+NetOctToNov!C69+NetNovToDec!C69</f>
        <v>-238</v>
      </c>
      <c r="D69" s="11">
        <f>NetJanToFeb!D69+NetFebToMar!D69+NetMarToApr!D69+NetAprToMay!D69+NetMayToJun!D69+NetJunToJul!D69+NetJulToAug!D69+NetAugToSep!D69+NetSepToOct!D69+NetOctToNov!D69+NetNovToDec!D69</f>
        <v>-463</v>
      </c>
      <c r="E69" s="11">
        <f>NetJanToFeb!E69+NetFebToMar!E69+NetMarToApr!E69+NetAprToMay!E69+NetMayToJun!E69+NetJunToJul!E69+NetJulToAug!E69+NetAugToSep!E69+NetSepToOct!E69+NetOctToNov!E69+NetNovToDec!E69</f>
        <v>496</v>
      </c>
      <c r="F69" s="10">
        <f t="shared" si="0"/>
        <v>-125</v>
      </c>
    </row>
    <row r="70" spans="1:6" x14ac:dyDescent="0.25">
      <c r="A70" s="1" t="s">
        <v>67</v>
      </c>
      <c r="B70" s="11">
        <f>NetJanToFeb!B70+NetFebToMar!B70+NetMarToApr!B70+NetAprToMay!B70+NetMayToJun!B70+NetJunToJul!B70+NetJulToAug!B70+NetAugToSep!B70+NetSepToOct!B70+NetOctToNov!B70+NetNovToDec!B70</f>
        <v>544</v>
      </c>
      <c r="C70" s="11">
        <f>NetJanToFeb!C70+NetFebToMar!C70+NetMarToApr!C70+NetAprToMay!C70+NetMayToJun!C70+NetJunToJul!C70+NetJulToAug!C70+NetAugToSep!C70+NetSepToOct!C70+NetOctToNov!C70+NetNovToDec!C70</f>
        <v>-199</v>
      </c>
      <c r="D70" s="11">
        <f>NetJanToFeb!D70+NetFebToMar!D70+NetMarToApr!D70+NetAprToMay!D70+NetMayToJun!D70+NetJunToJul!D70+NetJulToAug!D70+NetAugToSep!D70+NetSepToOct!D70+NetOctToNov!D70+NetNovToDec!D70</f>
        <v>22</v>
      </c>
      <c r="E70" s="11">
        <f>NetJanToFeb!E70+NetFebToMar!E70+NetMarToApr!E70+NetAprToMay!E70+NetMayToJun!E70+NetJunToJul!E70+NetJulToAug!E70+NetAugToSep!E70+NetSepToOct!E70+NetOctToNov!E70+NetNovToDec!E70</f>
        <v>318</v>
      </c>
      <c r="F70" s="10">
        <f t="shared" ref="F70:F71" si="1">SUM(B70:E70)</f>
        <v>685</v>
      </c>
    </row>
    <row r="71" spans="1:6" ht="15.75" thickBot="1" x14ac:dyDescent="0.3">
      <c r="A71" s="1" t="s">
        <v>68</v>
      </c>
      <c r="B71" s="11">
        <f>NetJanToFeb!B71+NetFebToMar!B71+NetMarToApr!B71+NetAprToMay!B71+NetMayToJun!B71+NetJunToJul!B71+NetJulToAug!B71+NetAugToSep!B71+NetSepToOct!B71+NetOctToNov!B71+NetNovToDec!B71</f>
        <v>190</v>
      </c>
      <c r="C71" s="11">
        <f>NetJanToFeb!C71+NetFebToMar!C71+NetMarToApr!C71+NetAprToMay!C71+NetMayToJun!C71+NetJunToJul!C71+NetJulToAug!C71+NetAugToSep!C71+NetSepToOct!C71+NetOctToNov!C71+NetNovToDec!C71</f>
        <v>-129</v>
      </c>
      <c r="D71" s="11">
        <f>NetJanToFeb!D71+NetFebToMar!D71+NetMarToApr!D71+NetAprToMay!D71+NetMayToJun!D71+NetJunToJul!D71+NetJulToAug!D71+NetAugToSep!D71+NetSepToOct!D71+NetOctToNov!D71+NetNovToDec!D71</f>
        <v>-174</v>
      </c>
      <c r="E71" s="11">
        <f>NetJanToFeb!E71+NetFebToMar!E71+NetMarToApr!E71+NetAprToMay!E71+NetMayToJun!E71+NetJunToJul!E71+NetJulToAug!E71+NetAugToSep!E71+NetSepToOct!E71+NetOctToNov!E71+NetNovToDec!E71</f>
        <v>315</v>
      </c>
      <c r="F71" s="10">
        <f t="shared" si="1"/>
        <v>202</v>
      </c>
    </row>
    <row r="72" spans="1:6" ht="16.5" thickTop="1" thickBot="1" x14ac:dyDescent="0.3">
      <c r="A72" s="3" t="s">
        <v>1</v>
      </c>
      <c r="B72" s="8">
        <f>SUM(B5:B71)</f>
        <v>-31680</v>
      </c>
      <c r="C72" s="8">
        <f>SUM(C5:C71)</f>
        <v>-92234</v>
      </c>
      <c r="D72" s="8">
        <f>SUM(D5:D71)</f>
        <v>-112547</v>
      </c>
      <c r="E72" s="8">
        <f>SUM(E5:E71)</f>
        <v>141998</v>
      </c>
      <c r="F72" s="8">
        <f>SUM(F5:F71)</f>
        <v>-94463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Mosca, Alexander N.</dc:creator>
  <cp:lastModifiedBy>Mosca, Alexander N.</cp:lastModifiedBy>
  <cp:lastPrinted>2017-08-11T17:24:54Z</cp:lastPrinted>
  <dcterms:created xsi:type="dcterms:W3CDTF">2017-02-20T20:01:51Z</dcterms:created>
  <dcterms:modified xsi:type="dcterms:W3CDTF">2018-01-25T15:29:44Z</dcterms:modified>
</cp:coreProperties>
</file>