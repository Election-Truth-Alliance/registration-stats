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5FECC413-D418-4015-9E89-FCBF2A2CCEF2}" xr6:coauthVersionLast="47" xr6:coauthVersionMax="47" xr10:uidLastSave="{00000000-0000-0000-0000-000000000000}"/>
  <bookViews>
    <workbookView xWindow="2868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<sst xmlns="http://schemas.openxmlformats.org/spreadsheetml/2006/main" count="1139" uniqueCount="131">
  <si>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</si>
  <si>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</si>
  <si>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</si>
  <si>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</si>
  <si>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</si>
  <si>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</si>
  <si>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</si>
  <si>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</si>
  <si>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</si>
  <si>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</si>
  <si>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</si>
  <si>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</si>
  <si>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</si>
  <si>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</si>
  <si>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</si>
  <si>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</si>
  <si>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</si>
  <si>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</si>
  <si>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</si>
  <si>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</si>
  <si>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</si>
  <si>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</si>
  <si>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</si>
  <si>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</si>
  <si>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</si>
  <si>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</si>
  <si>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</si>
  <si>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</si>
  <si>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</si>
  <si>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</si>
  <si>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</si>
  <si>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</si>
  <si>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</si>
  <si>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</si>
  <si>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</si>
  <si>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</si>
  <si>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</si>
  <si>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</si>
  <si>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</si>
  <si>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</si>
  <si>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</si>
  <si>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</si>
  <si>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</si>
  <si>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</si>
  <si>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</si>
  <si>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</si>
  <si>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</si>
  <si>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</si>
  <si>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</si>
  <si>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</si>
  <si>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</si>
  <si>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</si>
  <si>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</si>
  <si>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</si>
  <si>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</si>
  <si>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</si>
  <si>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</si>
  <si>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</si>
  <si>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</si>
  <si>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</si>
  <si>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</si>
  <si>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</si>
  <si>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</si>
  <si>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</si>
  <si>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</si>
  <si>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</si>
  <si>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</si>
  <si>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</si>
  <si>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</si>
  <si>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</si>
  <si>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</si>
  <si>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</si>
  <si>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</si>
  <si>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</si>
  <si>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</si>
  <si>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</si>
  <si>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</si>
  <si>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</si>
  <si>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</si>
  <si>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</si>
  <si>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</si>
  <si>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</si>
  <si>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</si>
  <si>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</si>
  <si>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</si>
  <si>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</si>
  <si>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</si>
  <si>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</si>
  <si>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</si>
  <si>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</si>
  <si>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</si>
  <si>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</si>
  <si>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</si>
  <si>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</si>
  <si>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</si>
  <si>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</si>
  <si>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</si>
  <si>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</si>
  <si>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</si>
  <si>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</si>
  <si>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</si>
  <si>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</si>
  <si>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</si>
  <si>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</si>
  <si>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</si>
  <si>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</si>
  <si>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</si>
  <si>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</si>
  <si>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</si>
  <si>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</si>
  <si>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</si>
  <si>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</si>
  <si>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</si>
  <si>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</si>
  <si>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</si>
  <si>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</si>
  <si>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</si>
  <si>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</si>
  <si>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</si>
  <si>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</si>
  <si>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</si>
  <si>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</si>
  <si>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</si>
  <si>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</si>
  <si>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</si>
  <si>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</si>
  <si>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</si>
  <si>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</si>
  <si>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</si>
  <si>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08/10/2026</t>
  </si>
  <si>
    <t>Week Of 08-03-2026 to 08-10-2026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</si>
</sst>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/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19166</v>
      </c>
      <c r="D3"/>
      <c r="E3">
        <v>43981</v>
      </c>
      <c r="F3"/>
      <c r="G3">
        <v>10658</v>
      </c>
      <c r="H3"/>
      <c r="I3">
        <v>2783</v>
      </c>
      <c r="K3" s="10">
        <f t="shared" ref="K3:K34" si="0">SUM(C3+E3+G3+I3)</f>
        <v>76588</v>
      </c>
    </row>
    <row r="4" spans="1:12" x14ac:dyDescent="0.2">
      <c r="A4" t="s">
        <v>2</v>
      </c>
      <c r="B4" s="1">
        <v>2291</v>
      </c>
      <c r="C4">
        <v>502995</v>
      </c>
      <c r="D4"/>
      <c r="E4">
        <v>262982</v>
      </c>
      <c r="F4"/>
      <c r="G4">
        <v>113892</v>
      </c>
      <c r="H4"/>
      <c r="I4">
        <v>36664</v>
      </c>
      <c r="K4" s="10">
        <f t="shared" si="0"/>
        <v>916533</v>
      </c>
    </row>
    <row r="5" spans="1:12" x14ac:dyDescent="0.2">
      <c r="A5" t="s">
        <v>3</v>
      </c>
      <c r="B5" s="1">
        <v>2292</v>
      </c>
      <c r="C5">
        <v>10652</v>
      </c>
      <c r="D5"/>
      <c r="E5">
        <v>27648</v>
      </c>
      <c r="F5"/>
      <c r="G5">
        <v>3716</v>
      </c>
      <c r="H5"/>
      <c r="I5">
        <v>1585</v>
      </c>
      <c r="K5" s="10">
        <f t="shared" si="0"/>
        <v>43601</v>
      </c>
    </row>
    <row r="6" spans="1:12" x14ac:dyDescent="0.2">
      <c r="A6" t="s">
        <v>4</v>
      </c>
      <c r="B6" s="1">
        <v>2293</v>
      </c>
      <c r="C6">
        <v>45719</v>
      </c>
      <c r="D6"/>
      <c r="E6">
        <v>51875</v>
      </c>
      <c r="F6"/>
      <c r="G6">
        <v>11790</v>
      </c>
      <c r="H6"/>
      <c r="I6">
        <v>4704</v>
      </c>
      <c r="K6" s="10">
        <f t="shared" si="0"/>
        <v>114088</v>
      </c>
    </row>
    <row r="7" spans="1:12" x14ac:dyDescent="0.2">
      <c r="A7" t="s">
        <v>5</v>
      </c>
      <c r="B7" s="1">
        <v>2294</v>
      </c>
      <c r="C7">
        <v>5265</v>
      </c>
      <c r="D7"/>
      <c r="E7">
        <v>24567</v>
      </c>
      <c r="F7"/>
      <c r="G7">
        <v>2303</v>
      </c>
      <c r="H7"/>
      <c r="I7">
        <v>891</v>
      </c>
      <c r="K7" s="10">
        <f t="shared" si="0"/>
        <v>33026</v>
      </c>
    </row>
    <row r="8" spans="1:12" x14ac:dyDescent="0.2">
      <c r="A8" t="s">
        <v>6</v>
      </c>
      <c r="B8" s="1">
        <v>2295</v>
      </c>
      <c r="C8">
        <v>104257</v>
      </c>
      <c r="D8"/>
      <c r="E8">
        <v>117942</v>
      </c>
      <c r="F8"/>
      <c r="G8">
        <v>41495</v>
      </c>
      <c r="H8"/>
      <c r="I8">
        <v>10376</v>
      </c>
      <c r="K8" s="10">
        <f t="shared" si="0"/>
        <v>274070</v>
      </c>
    </row>
    <row r="9" spans="1:12" x14ac:dyDescent="0.2">
      <c r="A9" t="s">
        <v>7</v>
      </c>
      <c r="B9" s="1">
        <v>2296</v>
      </c>
      <c r="C9">
        <v>19790</v>
      </c>
      <c r="D9"/>
      <c r="E9">
        <v>50594</v>
      </c>
      <c r="F9"/>
      <c r="G9">
        <v>8472</v>
      </c>
      <c r="H9"/>
      <c r="I9">
        <v>2706</v>
      </c>
      <c r="K9" s="10">
        <f t="shared" si="0"/>
        <v>81562</v>
      </c>
    </row>
    <row r="10" spans="1:12" x14ac:dyDescent="0.2">
      <c r="A10" t="s">
        <v>8</v>
      </c>
      <c r="B10" s="1">
        <v>2297</v>
      </c>
      <c r="C10">
        <v>7816</v>
      </c>
      <c r="D10"/>
      <c r="E10">
        <v>25636</v>
      </c>
      <c r="F10"/>
      <c r="G10">
        <v>3881</v>
      </c>
      <c r="H10"/>
      <c r="I10">
        <v>1530</v>
      </c>
      <c r="K10" s="10">
        <f t="shared" si="0"/>
        <v>38863</v>
      </c>
    </row>
    <row r="11" spans="1:12" x14ac:dyDescent="0.2">
      <c r="A11" t="s">
        <v>9</v>
      </c>
      <c r="B11" s="1">
        <v>2298</v>
      </c>
      <c r="C11">
        <v>193900</v>
      </c>
      <c r="D11"/>
      <c r="E11">
        <v>201889</v>
      </c>
      <c r="F11"/>
      <c r="G11">
        <v>70235</v>
      </c>
      <c r="H11"/>
      <c r="I11">
        <v>18293</v>
      </c>
      <c r="K11" s="10">
        <f t="shared" si="0"/>
        <v>484317</v>
      </c>
    </row>
    <row r="12" spans="1:12" x14ac:dyDescent="0.2">
      <c r="A12" t="s">
        <v>10</v>
      </c>
      <c r="B12" s="1">
        <v>2299</v>
      </c>
      <c r="C12">
        <v>39187</v>
      </c>
      <c r="D12"/>
      <c r="E12">
        <v>82897</v>
      </c>
      <c r="F12"/>
      <c r="G12">
        <v>16302</v>
      </c>
      <c r="H12"/>
      <c r="I12">
        <v>5157</v>
      </c>
      <c r="K12" s="10">
        <f t="shared" si="0"/>
        <v>143543</v>
      </c>
    </row>
    <row r="13" spans="1:12" x14ac:dyDescent="0.2">
      <c r="A13" t="s">
        <v>11</v>
      </c>
      <c r="B13" s="1">
        <v>2300</v>
      </c>
      <c r="C13">
        <v>29391</v>
      </c>
      <c r="D13"/>
      <c r="E13">
        <v>46489</v>
      </c>
      <c r="F13"/>
      <c r="G13">
        <v>7856</v>
      </c>
      <c r="H13"/>
      <c r="I13">
        <v>2127</v>
      </c>
      <c r="K13" s="10">
        <f t="shared" si="0"/>
        <v>85863</v>
      </c>
    </row>
    <row r="14" spans="1:12" x14ac:dyDescent="0.2">
      <c r="A14" t="s">
        <v>12</v>
      </c>
      <c r="B14" s="1">
        <v>2301</v>
      </c>
      <c r="C14">
        <v>665</v>
      </c>
      <c r="D14"/>
      <c r="E14">
        <v>1841</v>
      </c>
      <c r="F14"/>
      <c r="G14">
        <v>255</v>
      </c>
      <c r="H14"/>
      <c r="I14">
        <v>123</v>
      </c>
      <c r="K14" s="10">
        <f t="shared" si="0"/>
        <v>2884</v>
      </c>
    </row>
    <row r="15" spans="1:12" x14ac:dyDescent="0.2">
      <c r="A15" t="s">
        <v>13</v>
      </c>
      <c r="B15" s="1">
        <v>2302</v>
      </c>
      <c r="C15">
        <v>14080</v>
      </c>
      <c r="D15"/>
      <c r="E15">
        <v>23882</v>
      </c>
      <c r="F15"/>
      <c r="G15">
        <v>5842</v>
      </c>
      <c r="H15"/>
      <c r="I15">
        <v>1913</v>
      </c>
      <c r="K15" s="10">
        <f t="shared" si="0"/>
        <v>45717</v>
      </c>
    </row>
    <row r="16" spans="1:12" x14ac:dyDescent="0.2">
      <c r="A16" t="s">
        <v>14</v>
      </c>
      <c r="B16" s="1">
        <v>2303</v>
      </c>
      <c r="C16">
        <v>41377</v>
      </c>
      <c r="D16"/>
      <c r="E16">
        <v>41789</v>
      </c>
      <c r="F16"/>
      <c r="G16">
        <v>16084</v>
      </c>
      <c r="H16"/>
      <c r="I16">
        <v>2681</v>
      </c>
      <c r="K16" s="10">
        <f t="shared" si="0"/>
        <v>101931</v>
      </c>
    </row>
    <row r="17" spans="1:11" x14ac:dyDescent="0.2">
      <c r="A17" t="s">
        <v>15</v>
      </c>
      <c r="B17" s="1">
        <v>2304</v>
      </c>
      <c r="C17">
        <v>160795</v>
      </c>
      <c r="D17"/>
      <c r="E17">
        <v>151802</v>
      </c>
      <c r="F17"/>
      <c r="G17">
        <v>58616</v>
      </c>
      <c r="H17"/>
      <c r="I17">
        <v>17902</v>
      </c>
      <c r="K17" s="10">
        <f t="shared" si="0"/>
        <v>389115</v>
      </c>
    </row>
    <row r="18" spans="1:11" x14ac:dyDescent="0.2">
      <c r="A18" t="s">
        <v>16</v>
      </c>
      <c r="B18" s="1">
        <v>2305</v>
      </c>
      <c r="C18">
        <v>5049</v>
      </c>
      <c r="D18"/>
      <c r="E18">
        <v>15543</v>
      </c>
      <c r="F18"/>
      <c r="G18">
        <v>2081</v>
      </c>
      <c r="H18"/>
      <c r="I18">
        <v>642</v>
      </c>
      <c r="K18" s="10">
        <f t="shared" si="0"/>
        <v>23315</v>
      </c>
    </row>
    <row r="19" spans="1:11" x14ac:dyDescent="0.2">
      <c r="A19" t="s">
        <v>17</v>
      </c>
      <c r="B19" s="1">
        <v>2306</v>
      </c>
      <c r="C19">
        <v>12012</v>
      </c>
      <c r="D19"/>
      <c r="E19">
        <v>31426</v>
      </c>
      <c r="F19"/>
      <c r="G19">
        <v>4305</v>
      </c>
      <c r="H19"/>
      <c r="I19">
        <v>1787</v>
      </c>
      <c r="K19" s="10">
        <f t="shared" si="0"/>
        <v>49530</v>
      </c>
    </row>
    <row r="20" spans="1:11" x14ac:dyDescent="0.2">
      <c r="A20" t="s">
        <v>18</v>
      </c>
      <c r="B20" s="1">
        <v>2307</v>
      </c>
      <c r="C20">
        <v>6066</v>
      </c>
      <c r="D20"/>
      <c r="E20">
        <v>13286</v>
      </c>
      <c r="F20"/>
      <c r="G20">
        <v>2417</v>
      </c>
      <c r="H20"/>
      <c r="I20">
        <v>741</v>
      </c>
      <c r="K20" s="10">
        <f t="shared" si="0"/>
        <v>22510</v>
      </c>
    </row>
    <row r="21" spans="1:11" x14ac:dyDescent="0.2">
      <c r="A21" t="s">
        <v>19</v>
      </c>
      <c r="B21" s="1">
        <v>2308</v>
      </c>
      <c r="C21">
        <v>11769</v>
      </c>
      <c r="D21"/>
      <c r="E21">
        <v>22482</v>
      </c>
      <c r="F21"/>
      <c r="G21">
        <v>4881</v>
      </c>
      <c r="H21"/>
      <c r="I21">
        <v>1491</v>
      </c>
      <c r="K21" s="10">
        <f t="shared" si="0"/>
        <v>40623</v>
      </c>
    </row>
    <row r="22" spans="1:11" x14ac:dyDescent="0.2">
      <c r="A22" t="s">
        <v>20</v>
      </c>
      <c r="B22" s="1">
        <v>2309</v>
      </c>
      <c r="C22">
        <v>14392</v>
      </c>
      <c r="D22"/>
      <c r="E22">
        <v>31745</v>
      </c>
      <c r="F22"/>
      <c r="G22">
        <v>4933</v>
      </c>
      <c r="H22"/>
      <c r="I22">
        <v>1833</v>
      </c>
      <c r="K22" s="10">
        <f t="shared" si="0"/>
        <v>52903</v>
      </c>
    </row>
    <row r="23" spans="1:11" x14ac:dyDescent="0.2">
      <c r="A23" t="s">
        <v>21</v>
      </c>
      <c r="B23" s="1">
        <v>2310</v>
      </c>
      <c r="C23">
        <v>61607</v>
      </c>
      <c r="D23"/>
      <c r="E23">
        <v>88228</v>
      </c>
      <c r="F23"/>
      <c r="G23">
        <v>27164</v>
      </c>
      <c r="H23"/>
      <c r="I23">
        <v>6479</v>
      </c>
      <c r="K23" s="10">
        <f t="shared" si="0"/>
        <v>183478</v>
      </c>
    </row>
    <row r="24" spans="1:11" x14ac:dyDescent="0.2">
      <c r="A24" t="s">
        <v>22</v>
      </c>
      <c r="B24" s="1">
        <v>2311</v>
      </c>
      <c r="C24">
        <v>86483</v>
      </c>
      <c r="D24"/>
      <c r="E24">
        <v>75995</v>
      </c>
      <c r="F24"/>
      <c r="G24">
        <v>31168</v>
      </c>
      <c r="H24"/>
      <c r="I24">
        <v>7230</v>
      </c>
      <c r="K24" s="10">
        <f t="shared" si="0"/>
        <v>200876</v>
      </c>
    </row>
    <row r="25" spans="1:11" x14ac:dyDescent="0.2">
      <c r="A25" t="s">
        <v>23</v>
      </c>
      <c r="B25" s="1">
        <v>2312</v>
      </c>
      <c r="C25">
        <v>202675</v>
      </c>
      <c r="D25"/>
      <c r="E25">
        <v>142793</v>
      </c>
      <c r="F25"/>
      <c r="G25">
        <v>49191</v>
      </c>
      <c r="H25"/>
      <c r="I25">
        <v>15688</v>
      </c>
      <c r="K25" s="10">
        <f t="shared" si="0"/>
        <v>410347</v>
      </c>
    </row>
    <row r="26" spans="1:11" x14ac:dyDescent="0.2">
      <c r="A26" t="s">
        <v>24</v>
      </c>
      <c r="B26" s="1">
        <v>2313</v>
      </c>
      <c r="C26">
        <v>5782</v>
      </c>
      <c r="D26"/>
      <c r="E26">
        <v>12119</v>
      </c>
      <c r="F26"/>
      <c r="G26">
        <v>1771</v>
      </c>
      <c r="H26"/>
      <c r="I26">
        <v>782</v>
      </c>
      <c r="K26" s="10">
        <f t="shared" si="0"/>
        <v>20454</v>
      </c>
    </row>
    <row r="27" spans="1:11" x14ac:dyDescent="0.2">
      <c r="A27" t="s">
        <v>25</v>
      </c>
      <c r="B27" s="1">
        <v>2314</v>
      </c>
      <c r="C27">
        <v>76466</v>
      </c>
      <c r="D27"/>
      <c r="E27">
        <v>70819</v>
      </c>
      <c r="F27"/>
      <c r="G27">
        <v>20822</v>
      </c>
      <c r="H27"/>
      <c r="I27">
        <v>6651</v>
      </c>
      <c r="K27" s="10">
        <f t="shared" si="0"/>
        <v>174758</v>
      </c>
    </row>
    <row r="28" spans="1:11" x14ac:dyDescent="0.2">
      <c r="A28" t="s">
        <v>26</v>
      </c>
      <c r="B28" s="1">
        <v>2315</v>
      </c>
      <c r="C28">
        <v>29468</v>
      </c>
      <c r="D28"/>
      <c r="E28">
        <v>41293</v>
      </c>
      <c r="F28"/>
      <c r="G28">
        <v>6687</v>
      </c>
      <c r="H28"/>
      <c r="I28">
        <v>2064</v>
      </c>
      <c r="K28" s="10">
        <f t="shared" si="0"/>
        <v>79512</v>
      </c>
    </row>
    <row r="29" spans="1:11" x14ac:dyDescent="0.2">
      <c r="A29" t="s">
        <v>27</v>
      </c>
      <c r="B29" s="1">
        <v>2316</v>
      </c>
      <c r="C29">
        <v>778</v>
      </c>
      <c r="D29"/>
      <c r="E29">
        <v>2044</v>
      </c>
      <c r="F29"/>
      <c r="G29">
        <v>274</v>
      </c>
      <c r="H29"/>
      <c r="I29">
        <v>124</v>
      </c>
      <c r="K29" s="10">
        <f t="shared" si="0"/>
        <v>3220</v>
      </c>
    </row>
    <row r="30" spans="1:11" x14ac:dyDescent="0.2">
      <c r="A30" t="s">
        <v>28</v>
      </c>
      <c r="B30" s="1">
        <v>2317</v>
      </c>
      <c r="C30">
        <v>23473</v>
      </c>
      <c r="D30"/>
      <c r="E30">
        <v>64343</v>
      </c>
      <c r="F30"/>
      <c r="G30">
        <v>14079</v>
      </c>
      <c r="H30"/>
      <c r="I30">
        <v>3416</v>
      </c>
      <c r="K30" s="10">
        <f t="shared" si="0"/>
        <v>105311</v>
      </c>
    </row>
    <row r="31" spans="1:11" x14ac:dyDescent="0.2">
      <c r="A31" t="s">
        <v>29</v>
      </c>
      <c r="B31" s="1">
        <v>2318</v>
      </c>
      <c r="C31">
        <v>1471</v>
      </c>
      <c r="D31"/>
      <c r="E31">
        <v>7463</v>
      </c>
      <c r="F31"/>
      <c r="G31">
        <v>904</v>
      </c>
      <c r="H31"/>
      <c r="I31">
        <v>266</v>
      </c>
      <c r="K31" s="10">
        <f t="shared" si="0"/>
        <v>10104</v>
      </c>
    </row>
    <row r="32" spans="1:11" x14ac:dyDescent="0.2">
      <c r="A32" t="s">
        <v>30</v>
      </c>
      <c r="B32" s="1">
        <v>2319</v>
      </c>
      <c r="C32">
        <v>7373</v>
      </c>
      <c r="D32"/>
      <c r="E32">
        <v>12155</v>
      </c>
      <c r="F32"/>
      <c r="G32">
        <v>1644</v>
      </c>
      <c r="H32"/>
      <c r="I32">
        <v>600</v>
      </c>
      <c r="K32" s="10">
        <f t="shared" si="0"/>
        <v>21772</v>
      </c>
    </row>
    <row r="33" spans="1:11" x14ac:dyDescent="0.2">
      <c r="A33" t="s">
        <v>31</v>
      </c>
      <c r="B33" s="1">
        <v>2320</v>
      </c>
      <c r="C33">
        <v>6012</v>
      </c>
      <c r="D33"/>
      <c r="E33">
        <v>18901</v>
      </c>
      <c r="F33"/>
      <c r="G33">
        <v>2372</v>
      </c>
      <c r="H33"/>
      <c r="I33">
        <v>598</v>
      </c>
      <c r="K33" s="10">
        <f t="shared" si="0"/>
        <v>27883</v>
      </c>
    </row>
    <row r="34" spans="1:11" x14ac:dyDescent="0.2">
      <c r="A34" t="s">
        <v>32</v>
      </c>
      <c r="B34" s="1">
        <v>2321</v>
      </c>
      <c r="C34">
        <v>13907</v>
      </c>
      <c r="D34"/>
      <c r="E34">
        <v>28895</v>
      </c>
      <c r="F34"/>
      <c r="G34">
        <v>4663</v>
      </c>
      <c r="H34"/>
      <c r="I34">
        <v>1691</v>
      </c>
      <c r="K34" s="10">
        <f t="shared" si="0"/>
        <v>49156</v>
      </c>
    </row>
    <row r="35" spans="1:11" x14ac:dyDescent="0.2">
      <c r="A35" t="s">
        <v>33</v>
      </c>
      <c r="B35" s="1">
        <v>2322</v>
      </c>
      <c r="C35">
        <v>5429</v>
      </c>
      <c r="D35"/>
      <c r="E35">
        <v>19425</v>
      </c>
      <c r="F35"/>
      <c r="G35">
        <v>2284</v>
      </c>
      <c r="H35"/>
      <c r="I35">
        <v>932</v>
      </c>
      <c r="K35" s="10">
        <f t="shared" ref="K35:K69" si="1">SUM(C35+E35+G35+I35)</f>
        <v>28070</v>
      </c>
    </row>
    <row r="36" spans="1:11" x14ac:dyDescent="0.2">
      <c r="A36" t="s">
        <v>34</v>
      </c>
      <c r="B36" s="1">
        <v>2323</v>
      </c>
      <c r="C36">
        <v>2537</v>
      </c>
      <c r="D36"/>
      <c r="E36">
        <v>10019</v>
      </c>
      <c r="F36"/>
      <c r="G36">
        <v>1172</v>
      </c>
      <c r="H36"/>
      <c r="I36">
        <v>336</v>
      </c>
      <c r="K36" s="10">
        <f t="shared" si="1"/>
        <v>14064</v>
      </c>
    </row>
    <row r="37" spans="1:11" x14ac:dyDescent="0.2">
      <c r="A37" t="s">
        <v>35</v>
      </c>
      <c r="B37" s="1">
        <v>2324</v>
      </c>
      <c r="C37">
        <v>76651</v>
      </c>
      <c r="D37"/>
      <c r="E37">
        <v>52312</v>
      </c>
      <c r="F37"/>
      <c r="G37">
        <v>17310</v>
      </c>
      <c r="H37"/>
      <c r="I37">
        <v>3506</v>
      </c>
      <c r="K37" s="10">
        <f t="shared" si="1"/>
        <v>149779</v>
      </c>
    </row>
    <row r="38" spans="1:11" x14ac:dyDescent="0.2">
      <c r="A38" t="s">
        <v>36</v>
      </c>
      <c r="B38" s="1">
        <v>2325</v>
      </c>
      <c r="C38">
        <v>112926</v>
      </c>
      <c r="D38"/>
      <c r="E38">
        <v>183755</v>
      </c>
      <c r="F38"/>
      <c r="G38">
        <v>51524</v>
      </c>
      <c r="H38"/>
      <c r="I38">
        <v>16042</v>
      </c>
      <c r="K38" s="10">
        <f t="shared" si="1"/>
        <v>364247</v>
      </c>
    </row>
    <row r="39" spans="1:11" x14ac:dyDescent="0.2">
      <c r="A39" t="s">
        <v>37</v>
      </c>
      <c r="B39" s="1">
        <v>2326</v>
      </c>
      <c r="C39">
        <v>19677</v>
      </c>
      <c r="D39"/>
      <c r="E39">
        <v>30131</v>
      </c>
      <c r="F39"/>
      <c r="G39">
        <v>5632</v>
      </c>
      <c r="H39"/>
      <c r="I39">
        <v>1893</v>
      </c>
      <c r="K39" s="10">
        <f t="shared" si="1"/>
        <v>57333</v>
      </c>
    </row>
    <row r="40" spans="1:11" x14ac:dyDescent="0.2">
      <c r="A40" t="s">
        <v>38</v>
      </c>
      <c r="B40" s="1">
        <v>2327</v>
      </c>
      <c r="C40">
        <v>25442</v>
      </c>
      <c r="D40"/>
      <c r="E40">
        <v>52610</v>
      </c>
      <c r="F40"/>
      <c r="G40">
        <v>12288</v>
      </c>
      <c r="H40"/>
      <c r="I40">
        <v>3679</v>
      </c>
      <c r="K40" s="10">
        <f t="shared" si="1"/>
        <v>94019</v>
      </c>
    </row>
    <row r="41" spans="1:11" x14ac:dyDescent="0.2">
      <c r="A41" t="s">
        <v>39</v>
      </c>
      <c r="B41" s="1">
        <v>2328</v>
      </c>
      <c r="C41">
        <v>111492</v>
      </c>
      <c r="D41"/>
      <c r="E41">
        <v>89461</v>
      </c>
      <c r="F41"/>
      <c r="G41">
        <v>45628</v>
      </c>
      <c r="H41"/>
      <c r="I41">
        <v>7343</v>
      </c>
      <c r="K41" s="10">
        <f t="shared" si="1"/>
        <v>253924</v>
      </c>
    </row>
    <row r="42" spans="1:11" x14ac:dyDescent="0.2">
      <c r="A42" t="s">
        <v>40</v>
      </c>
      <c r="B42" s="1">
        <v>2329</v>
      </c>
      <c r="C42">
        <v>85073</v>
      </c>
      <c r="D42"/>
      <c r="E42">
        <v>90917</v>
      </c>
      <c r="F42"/>
      <c r="G42">
        <v>25755</v>
      </c>
      <c r="H42"/>
      <c r="I42">
        <v>5684</v>
      </c>
      <c r="K42" s="10">
        <f t="shared" si="1"/>
        <v>207429</v>
      </c>
    </row>
    <row r="43" spans="1:11" x14ac:dyDescent="0.2">
      <c r="A43" t="s">
        <v>41</v>
      </c>
      <c r="B43" s="1">
        <v>2330</v>
      </c>
      <c r="C43">
        <v>18203</v>
      </c>
      <c r="D43"/>
      <c r="E43">
        <v>43753</v>
      </c>
      <c r="F43"/>
      <c r="G43">
        <v>7969</v>
      </c>
      <c r="H43"/>
      <c r="I43">
        <v>2718</v>
      </c>
      <c r="K43" s="10">
        <f t="shared" si="1"/>
        <v>72643</v>
      </c>
    </row>
    <row r="44" spans="1:11" x14ac:dyDescent="0.2">
      <c r="A44" t="s">
        <v>91</v>
      </c>
      <c r="B44" s="1">
        <v>2331</v>
      </c>
      <c r="C44">
        <v>5287</v>
      </c>
      <c r="D44"/>
      <c r="E44">
        <v>16168</v>
      </c>
      <c r="F44"/>
      <c r="G44">
        <v>2702</v>
      </c>
      <c r="H44"/>
      <c r="I44">
        <v>1027</v>
      </c>
      <c r="K44" s="10">
        <f t="shared" si="1"/>
        <v>25184</v>
      </c>
    </row>
    <row r="45" spans="1:11" x14ac:dyDescent="0.2">
      <c r="A45" t="s">
        <v>43</v>
      </c>
      <c r="B45" s="1">
        <v>2332</v>
      </c>
      <c r="C45">
        <v>23113</v>
      </c>
      <c r="D45"/>
      <c r="E45">
        <v>38291</v>
      </c>
      <c r="F45"/>
      <c r="G45">
        <v>8415</v>
      </c>
      <c r="H45"/>
      <c r="I45">
        <v>2036</v>
      </c>
      <c r="K45" s="10">
        <f t="shared" si="1"/>
        <v>71855</v>
      </c>
    </row>
    <row r="46" spans="1:11" x14ac:dyDescent="0.2">
      <c r="A46" t="s">
        <v>44</v>
      </c>
      <c r="B46" s="1">
        <v>2333</v>
      </c>
      <c r="C46">
        <v>5372</v>
      </c>
      <c r="D46"/>
      <c r="E46">
        <v>18623</v>
      </c>
      <c r="F46"/>
      <c r="G46">
        <v>2511</v>
      </c>
      <c r="H46"/>
      <c r="I46">
        <v>623</v>
      </c>
      <c r="K46" s="10">
        <f t="shared" si="1"/>
        <v>27129</v>
      </c>
    </row>
    <row r="47" spans="1:11" x14ac:dyDescent="0.2">
      <c r="A47" t="s">
        <v>45</v>
      </c>
      <c r="B47" s="1">
        <v>2334</v>
      </c>
      <c r="C47">
        <v>48502</v>
      </c>
      <c r="D47"/>
      <c r="E47">
        <v>43286</v>
      </c>
      <c r="F47"/>
      <c r="G47">
        <v>20636</v>
      </c>
      <c r="H47"/>
      <c r="I47">
        <v>4990</v>
      </c>
      <c r="K47" s="10">
        <f t="shared" si="1"/>
        <v>117414</v>
      </c>
    </row>
    <row r="48" spans="1:11" x14ac:dyDescent="0.2">
      <c r="A48" t="s">
        <v>46</v>
      </c>
      <c r="B48" s="1">
        <v>2335</v>
      </c>
      <c r="C48">
        <v>305291</v>
      </c>
      <c r="D48"/>
      <c r="E48">
        <v>207748</v>
      </c>
      <c r="F48"/>
      <c r="G48">
        <v>84438</v>
      </c>
      <c r="H48"/>
      <c r="I48">
        <v>25985</v>
      </c>
      <c r="K48" s="10">
        <f t="shared" si="1"/>
        <v>623462</v>
      </c>
    </row>
    <row r="49" spans="1:11" x14ac:dyDescent="0.2">
      <c r="A49" t="s">
        <v>47</v>
      </c>
      <c r="B49" s="1">
        <v>2336</v>
      </c>
      <c r="C49">
        <v>3771</v>
      </c>
      <c r="D49"/>
      <c r="E49">
        <v>6551</v>
      </c>
      <c r="F49"/>
      <c r="G49">
        <v>1615</v>
      </c>
      <c r="H49"/>
      <c r="I49">
        <v>412</v>
      </c>
      <c r="K49" s="10">
        <f t="shared" si="1"/>
        <v>12349</v>
      </c>
    </row>
    <row r="50" spans="1:11" x14ac:dyDescent="0.2">
      <c r="A50" t="s">
        <v>48</v>
      </c>
      <c r="B50" s="1">
        <v>2337</v>
      </c>
      <c r="C50">
        <v>95963</v>
      </c>
      <c r="D50"/>
      <c r="E50">
        <v>86827</v>
      </c>
      <c r="F50"/>
      <c r="G50">
        <v>39741</v>
      </c>
      <c r="H50"/>
      <c r="I50">
        <v>9560</v>
      </c>
      <c r="K50" s="10">
        <f t="shared" si="1"/>
        <v>232091</v>
      </c>
    </row>
    <row r="51" spans="1:11" x14ac:dyDescent="0.2">
      <c r="A51" t="s">
        <v>49</v>
      </c>
      <c r="B51" s="1">
        <v>2338</v>
      </c>
      <c r="C51">
        <v>15341</v>
      </c>
      <c r="D51"/>
      <c r="E51">
        <v>31920</v>
      </c>
      <c r="F51"/>
      <c r="G51">
        <v>5824</v>
      </c>
      <c r="H51"/>
      <c r="I51">
        <v>2238</v>
      </c>
      <c r="K51" s="10">
        <f t="shared" si="1"/>
        <v>55323</v>
      </c>
    </row>
    <row r="52" spans="1:11" x14ac:dyDescent="0.2">
      <c r="A52" t="s">
        <v>50</v>
      </c>
      <c r="B52" s="1">
        <v>2339</v>
      </c>
      <c r="C52">
        <v>6027</v>
      </c>
      <c r="D52"/>
      <c r="E52">
        <v>20945</v>
      </c>
      <c r="F52"/>
      <c r="G52">
        <v>3433</v>
      </c>
      <c r="H52"/>
      <c r="I52">
        <v>849</v>
      </c>
      <c r="K52" s="10">
        <f t="shared" si="1"/>
        <v>31254</v>
      </c>
    </row>
    <row r="53" spans="1:11" x14ac:dyDescent="0.2">
      <c r="A53" t="s">
        <v>51</v>
      </c>
      <c r="B53" s="1">
        <v>2340</v>
      </c>
      <c r="C53">
        <v>777217</v>
      </c>
      <c r="D53"/>
      <c r="E53">
        <v>131122</v>
      </c>
      <c r="F53"/>
      <c r="G53">
        <v>151767</v>
      </c>
      <c r="H53"/>
      <c r="I53">
        <v>26328</v>
      </c>
      <c r="K53" s="10">
        <f t="shared" si="1"/>
        <v>1086434</v>
      </c>
    </row>
    <row r="54" spans="1:11" x14ac:dyDescent="0.2">
      <c r="A54" t="s">
        <v>52</v>
      </c>
      <c r="B54" s="1">
        <v>2341</v>
      </c>
      <c r="C54">
        <v>13594</v>
      </c>
      <c r="D54"/>
      <c r="E54">
        <v>23055</v>
      </c>
      <c r="F54"/>
      <c r="G54">
        <v>8487</v>
      </c>
      <c r="H54"/>
      <c r="I54">
        <v>2149</v>
      </c>
      <c r="K54" s="10">
        <f t="shared" si="1"/>
        <v>47285</v>
      </c>
    </row>
    <row r="55" spans="1:11" x14ac:dyDescent="0.2">
      <c r="A55" t="s">
        <v>53</v>
      </c>
      <c r="B55" s="1">
        <v>2342</v>
      </c>
      <c r="C55">
        <v>1739</v>
      </c>
      <c r="D55"/>
      <c r="E55">
        <v>8005</v>
      </c>
      <c r="F55"/>
      <c r="G55">
        <v>993</v>
      </c>
      <c r="H55"/>
      <c r="I55">
        <v>273</v>
      </c>
      <c r="K55" s="10">
        <f t="shared" si="1"/>
        <v>11010</v>
      </c>
    </row>
    <row r="56" spans="1:11" x14ac:dyDescent="0.2">
      <c r="A56" t="s">
        <v>54</v>
      </c>
      <c r="B56" s="1">
        <v>2343</v>
      </c>
      <c r="C56">
        <v>25343</v>
      </c>
      <c r="D56"/>
      <c r="E56">
        <v>53159</v>
      </c>
      <c r="F56"/>
      <c r="G56">
        <v>10113</v>
      </c>
      <c r="H56"/>
      <c r="I56">
        <v>3768</v>
      </c>
      <c r="K56" s="10">
        <f t="shared" si="1"/>
        <v>92383</v>
      </c>
    </row>
    <row r="57" spans="1:11" x14ac:dyDescent="0.2">
      <c r="A57" t="s">
        <v>55</v>
      </c>
      <c r="B57" s="1">
        <v>2344</v>
      </c>
      <c r="C57">
        <v>4884</v>
      </c>
      <c r="D57"/>
      <c r="E57">
        <v>15950</v>
      </c>
      <c r="F57"/>
      <c r="G57">
        <v>2349</v>
      </c>
      <c r="H57"/>
      <c r="I57">
        <v>669</v>
      </c>
      <c r="K57" s="10">
        <f t="shared" si="1"/>
        <v>23852</v>
      </c>
    </row>
    <row r="58" spans="1:11" x14ac:dyDescent="0.2">
      <c r="A58" t="s">
        <v>56</v>
      </c>
      <c r="B58" s="1">
        <v>2345</v>
      </c>
      <c r="C58">
        <v>10500</v>
      </c>
      <c r="D58"/>
      <c r="E58">
        <v>32858</v>
      </c>
      <c r="F58"/>
      <c r="G58">
        <v>4394</v>
      </c>
      <c r="H58"/>
      <c r="I58">
        <v>769</v>
      </c>
      <c r="K58" s="10">
        <f t="shared" si="1"/>
        <v>48521</v>
      </c>
    </row>
    <row r="59" spans="1:11" x14ac:dyDescent="0.2">
      <c r="A59" t="s">
        <v>57</v>
      </c>
      <c r="B59" s="1">
        <v>2346</v>
      </c>
      <c r="C59">
        <v>1063</v>
      </c>
      <c r="D59"/>
      <c r="E59">
        <v>2846</v>
      </c>
      <c r="F59"/>
      <c r="G59">
        <v>378</v>
      </c>
      <c r="H59"/>
      <c r="I59">
        <v>162</v>
      </c>
      <c r="K59" s="10">
        <f t="shared" si="1"/>
        <v>4449</v>
      </c>
    </row>
    <row r="60" spans="1:11" x14ac:dyDescent="0.2">
      <c r="A60" t="s">
        <v>58</v>
      </c>
      <c r="B60" s="1">
        <v>2347</v>
      </c>
      <c r="C60">
        <v>6231</v>
      </c>
      <c r="D60"/>
      <c r="E60">
        <v>17451</v>
      </c>
      <c r="F60"/>
      <c r="G60">
        <v>2929</v>
      </c>
      <c r="H60"/>
      <c r="I60">
        <v>1148</v>
      </c>
      <c r="K60" s="10">
        <f t="shared" si="1"/>
        <v>27759</v>
      </c>
    </row>
    <row r="61" spans="1:11" x14ac:dyDescent="0.2">
      <c r="A61" t="s">
        <v>59</v>
      </c>
      <c r="B61" s="1">
        <v>2348</v>
      </c>
      <c r="C61">
        <v>4924</v>
      </c>
      <c r="D61"/>
      <c r="E61">
        <v>18104</v>
      </c>
      <c r="F61"/>
      <c r="G61">
        <v>2964</v>
      </c>
      <c r="H61"/>
      <c r="I61">
        <v>794</v>
      </c>
      <c r="K61" s="10">
        <f t="shared" si="1"/>
        <v>26786</v>
      </c>
    </row>
    <row r="62" spans="1:11" x14ac:dyDescent="0.2">
      <c r="A62" t="s">
        <v>60</v>
      </c>
      <c r="B62" s="1">
        <v>2349</v>
      </c>
      <c r="C62">
        <v>7796</v>
      </c>
      <c r="D62"/>
      <c r="E62">
        <v>14405</v>
      </c>
      <c r="F62"/>
      <c r="G62">
        <v>3241</v>
      </c>
      <c r="H62"/>
      <c r="I62">
        <v>979</v>
      </c>
      <c r="K62" s="10">
        <f t="shared" si="1"/>
        <v>26421</v>
      </c>
    </row>
    <row r="63" spans="1:11" x14ac:dyDescent="0.2">
      <c r="A63" t="s">
        <v>61</v>
      </c>
      <c r="B63" s="1">
        <v>2350</v>
      </c>
      <c r="C63">
        <v>8026</v>
      </c>
      <c r="D63"/>
      <c r="E63">
        <v>20133</v>
      </c>
      <c r="F63"/>
      <c r="G63">
        <v>3422</v>
      </c>
      <c r="H63"/>
      <c r="I63">
        <v>1218</v>
      </c>
      <c r="K63" s="10">
        <f t="shared" si="1"/>
        <v>32799</v>
      </c>
    </row>
    <row r="64" spans="1:11" x14ac:dyDescent="0.2">
      <c r="A64" t="s">
        <v>62</v>
      </c>
      <c r="B64" s="1">
        <v>2351</v>
      </c>
      <c r="C64">
        <v>6344</v>
      </c>
      <c r="D64"/>
      <c r="E64">
        <v>15234</v>
      </c>
      <c r="F64"/>
      <c r="G64">
        <v>2593</v>
      </c>
      <c r="H64"/>
      <c r="I64">
        <v>1245</v>
      </c>
      <c r="K64" s="10">
        <f t="shared" si="1"/>
        <v>25416</v>
      </c>
    </row>
    <row r="65" spans="1:11" x14ac:dyDescent="0.2">
      <c r="A65" t="s">
        <v>63</v>
      </c>
      <c r="B65" s="1">
        <v>2352</v>
      </c>
      <c r="C65">
        <v>52604</v>
      </c>
      <c r="D65"/>
      <c r="E65">
        <v>72651</v>
      </c>
      <c r="F65"/>
      <c r="G65">
        <v>15897</v>
      </c>
      <c r="H65"/>
      <c r="I65">
        <v>3777</v>
      </c>
      <c r="K65" s="10">
        <f t="shared" si="1"/>
        <v>144929</v>
      </c>
    </row>
    <row r="66" spans="1:11" x14ac:dyDescent="0.2">
      <c r="A66" t="s">
        <v>64</v>
      </c>
      <c r="B66" s="1">
        <v>2353</v>
      </c>
      <c r="C66">
        <v>8701</v>
      </c>
      <c r="D66"/>
      <c r="E66">
        <v>21722</v>
      </c>
      <c r="F66"/>
      <c r="G66">
        <v>5169</v>
      </c>
      <c r="H66"/>
      <c r="I66">
        <v>1051</v>
      </c>
      <c r="K66" s="10">
        <f t="shared" si="1"/>
        <v>36643</v>
      </c>
    </row>
    <row r="67" spans="1:11" x14ac:dyDescent="0.2">
      <c r="A67" t="s">
        <v>65</v>
      </c>
      <c r="B67" s="1">
        <v>2354</v>
      </c>
      <c r="C67">
        <v>86776</v>
      </c>
      <c r="D67"/>
      <c r="E67">
        <v>130824</v>
      </c>
      <c r="F67"/>
      <c r="G67">
        <v>23925</v>
      </c>
      <c r="H67"/>
      <c r="I67">
        <v>9188</v>
      </c>
      <c r="K67" s="10">
        <f t="shared" si="1"/>
        <v>250713</v>
      </c>
    </row>
    <row r="68" spans="1:11" x14ac:dyDescent="0.2">
      <c r="A68" t="s">
        <v>66</v>
      </c>
      <c r="B68" s="1">
        <v>2355</v>
      </c>
      <c r="C68">
        <v>4665</v>
      </c>
      <c r="D68"/>
      <c r="E68">
        <v>11322</v>
      </c>
      <c r="F68"/>
      <c r="G68">
        <v>1813</v>
      </c>
      <c r="H68"/>
      <c r="I68">
        <v>660</v>
      </c>
      <c r="K68" s="10">
        <f t="shared" si="1"/>
        <v>18460</v>
      </c>
    </row>
    <row r="69" spans="1:11" ht="13.5" thickBot="1" x14ac:dyDescent="0.25">
      <c r="A69" s="2" t="s">
        <v>67</v>
      </c>
      <c r="B69" s="5">
        <v>2356</v>
      </c>
      <c r="C69">
        <v>96498</v>
      </c>
      <c r="D69"/>
      <c r="E69">
        <v>168254</v>
      </c>
      <c r="F69"/>
      <c r="G69">
        <v>53871</v>
      </c>
      <c r="H69"/>
      <c r="I69">
        <v>8863</v>
      </c>
      <c r="J69" s="13"/>
      <c r="K69" s="10">
        <f t="shared" si="1"/>
        <v>327486</v>
      </c>
    </row>
    <row r="70" spans="1:11" ht="21.75" customHeight="1" x14ac:dyDescent="0.2">
      <c r="A70" s="6" t="s">
        <v>68</v>
      </c>
      <c r="C70" s="14">
        <f>SUM(C3:C69)</f>
        <v>3842840</v>
      </c>
      <c r="D70" s="14"/>
      <c r="E70" s="14">
        <f>SUM(E3:E69)</f>
        <v>3635181</v>
      </c>
      <c r="F70" s="14"/>
      <c r="G70" s="14">
        <f>SUM(G3:G69)</f>
        <v>1183935</v>
      </c>
      <c r="H70" s="14"/>
      <c r="I70" s="14">
        <f>SUM(I3:I69)</f>
        <v>314412</v>
      </c>
      <c r="J70" s="14"/>
      <c r="K70" s="44">
        <f>SUM(K3:K69)</f>
        <v>8976368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53" activePane="bottomLeft" state="frozen"/>
      <selection pane="bottomLeft" activeCell="L13" sqref="L13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5</v>
      </c>
      <c r="C4" s="42">
        <v>3</v>
      </c>
      <c r="D4" s="42">
        <v>4</v>
      </c>
      <c r="E4" s="42">
        <v>5</v>
      </c>
      <c r="F4" s="42">
        <v>121</v>
      </c>
      <c r="G4" s="42">
        <v>144</v>
      </c>
      <c r="H4" s="42">
        <v>116</v>
      </c>
      <c r="I4" s="42">
        <v>154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49</v>
      </c>
      <c r="C5" s="42">
        <v>110</v>
      </c>
      <c r="D5" s="42">
        <v>46</v>
      </c>
      <c r="E5" s="42">
        <v>27</v>
      </c>
      <c r="F5" s="42">
        <v>1296</v>
      </c>
      <c r="G5" s="42">
        <v>2308</v>
      </c>
      <c r="H5" s="42">
        <v>1292</v>
      </c>
      <c r="I5" s="42">
        <v>639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0</v>
      </c>
      <c r="C6" s="42">
        <v>0</v>
      </c>
      <c r="D6" s="42">
        <v>2</v>
      </c>
      <c r="E6" s="42">
        <v>2</v>
      </c>
      <c r="F6" s="42">
        <v>36</v>
      </c>
      <c r="G6" s="42">
        <v>34</v>
      </c>
      <c r="H6" s="42">
        <v>103</v>
      </c>
      <c r="I6" s="42">
        <v>41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5</v>
      </c>
      <c r="C7" s="42">
        <v>2</v>
      </c>
      <c r="D7" s="42">
        <v>10</v>
      </c>
      <c r="E7" s="42">
        <v>6</v>
      </c>
      <c r="F7" s="42">
        <v>127</v>
      </c>
      <c r="G7" s="42">
        <v>178</v>
      </c>
      <c r="H7" s="42">
        <v>247</v>
      </c>
      <c r="I7" s="42">
        <v>98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0</v>
      </c>
      <c r="C8" s="42">
        <v>0</v>
      </c>
      <c r="D8" s="42">
        <v>0</v>
      </c>
      <c r="E8" s="42">
        <v>0</v>
      </c>
      <c r="F8" s="42">
        <v>19</v>
      </c>
      <c r="G8" s="42">
        <v>18</v>
      </c>
      <c r="H8" s="42">
        <v>27</v>
      </c>
      <c r="I8" s="42">
        <v>21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14</v>
      </c>
      <c r="C9" s="42">
        <v>21</v>
      </c>
      <c r="D9" s="42">
        <v>18</v>
      </c>
      <c r="E9" s="42">
        <v>18</v>
      </c>
      <c r="F9" s="42">
        <v>515</v>
      </c>
      <c r="G9" s="42">
        <v>776</v>
      </c>
      <c r="H9" s="42">
        <v>641</v>
      </c>
      <c r="I9" s="42">
        <v>494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3</v>
      </c>
      <c r="C10" s="42">
        <v>4</v>
      </c>
      <c r="D10" s="42">
        <v>4</v>
      </c>
      <c r="E10" s="42">
        <v>1</v>
      </c>
      <c r="F10" s="42">
        <v>101</v>
      </c>
      <c r="G10" s="42">
        <v>120</v>
      </c>
      <c r="H10" s="42">
        <v>103</v>
      </c>
      <c r="I10" s="42">
        <v>91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1</v>
      </c>
      <c r="C11" s="42">
        <v>0</v>
      </c>
      <c r="D11" s="42">
        <v>0</v>
      </c>
      <c r="E11" s="42">
        <v>0</v>
      </c>
      <c r="F11" s="42">
        <v>49</v>
      </c>
      <c r="G11" s="42">
        <v>49</v>
      </c>
      <c r="H11" s="42">
        <v>60</v>
      </c>
      <c r="I11" s="42">
        <v>70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19</v>
      </c>
      <c r="C12" s="42">
        <v>44</v>
      </c>
      <c r="D12" s="42">
        <v>21</v>
      </c>
      <c r="E12" s="42">
        <v>28</v>
      </c>
      <c r="F12" s="42">
        <v>963</v>
      </c>
      <c r="G12" s="42">
        <v>1533</v>
      </c>
      <c r="H12" s="42">
        <v>834</v>
      </c>
      <c r="I12" s="42">
        <v>867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2</v>
      </c>
      <c r="C13" s="42">
        <v>3</v>
      </c>
      <c r="D13" s="42">
        <v>1</v>
      </c>
      <c r="E13" s="42">
        <v>1</v>
      </c>
      <c r="F13" s="42">
        <v>190</v>
      </c>
      <c r="G13" s="42">
        <v>235</v>
      </c>
      <c r="H13" s="42">
        <v>156</v>
      </c>
      <c r="I13" s="42">
        <v>170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1</v>
      </c>
      <c r="C14" s="42">
        <v>2</v>
      </c>
      <c r="D14" s="42">
        <v>4</v>
      </c>
      <c r="E14" s="42">
        <v>3</v>
      </c>
      <c r="F14" s="42">
        <v>110</v>
      </c>
      <c r="G14" s="42">
        <v>91</v>
      </c>
      <c r="H14" s="42">
        <v>240</v>
      </c>
      <c r="I14" s="42">
        <v>90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2</v>
      </c>
      <c r="G15" s="42">
        <v>2</v>
      </c>
      <c r="H15" s="42">
        <v>9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0</v>
      </c>
      <c r="C16" s="42">
        <v>1</v>
      </c>
      <c r="D16" s="42">
        <v>5</v>
      </c>
      <c r="E16" s="42">
        <v>6</v>
      </c>
      <c r="F16" s="42">
        <v>60</v>
      </c>
      <c r="G16" s="42">
        <v>97</v>
      </c>
      <c r="H16" s="42">
        <v>88</v>
      </c>
      <c r="I16" s="42">
        <v>71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0</v>
      </c>
      <c r="C17" s="42">
        <v>1</v>
      </c>
      <c r="D17" s="42">
        <v>0</v>
      </c>
      <c r="E17" s="42">
        <v>1</v>
      </c>
      <c r="F17" s="42">
        <v>136</v>
      </c>
      <c r="G17" s="42">
        <v>180</v>
      </c>
      <c r="H17" s="42">
        <v>73</v>
      </c>
      <c r="I17" s="42">
        <v>97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29</v>
      </c>
      <c r="C18" s="42">
        <v>27</v>
      </c>
      <c r="D18" s="42">
        <v>21</v>
      </c>
      <c r="E18" s="42">
        <v>10</v>
      </c>
      <c r="F18" s="42">
        <v>762</v>
      </c>
      <c r="G18" s="42">
        <v>1273</v>
      </c>
      <c r="H18" s="42">
        <v>409</v>
      </c>
      <c r="I18" s="42">
        <v>596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15</v>
      </c>
      <c r="G19" s="42">
        <v>17</v>
      </c>
      <c r="H19" s="42">
        <v>31</v>
      </c>
      <c r="I19" s="42">
        <v>11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1</v>
      </c>
      <c r="C20" s="42">
        <v>2</v>
      </c>
      <c r="D20" s="42">
        <v>1</v>
      </c>
      <c r="E20" s="42">
        <v>2</v>
      </c>
      <c r="F20" s="42">
        <v>34</v>
      </c>
      <c r="G20" s="42">
        <v>48</v>
      </c>
      <c r="H20" s="42">
        <v>106</v>
      </c>
      <c r="I20" s="42">
        <v>67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0</v>
      </c>
      <c r="C21" s="42">
        <v>1</v>
      </c>
      <c r="D21" s="42">
        <v>1</v>
      </c>
      <c r="E21" s="42">
        <v>0</v>
      </c>
      <c r="F21" s="42">
        <v>27</v>
      </c>
      <c r="G21" s="42">
        <v>37</v>
      </c>
      <c r="H21" s="42">
        <v>38</v>
      </c>
      <c r="I21" s="42">
        <v>36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1</v>
      </c>
      <c r="C22" s="42">
        <v>2</v>
      </c>
      <c r="D22" s="42">
        <v>1</v>
      </c>
      <c r="E22" s="42">
        <v>1</v>
      </c>
      <c r="F22" s="42">
        <v>47</v>
      </c>
      <c r="G22" s="42">
        <v>56</v>
      </c>
      <c r="H22" s="42">
        <v>60</v>
      </c>
      <c r="I22" s="42">
        <v>40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2</v>
      </c>
      <c r="C23" s="42">
        <v>2</v>
      </c>
      <c r="D23" s="42">
        <v>0</v>
      </c>
      <c r="E23" s="42">
        <v>1</v>
      </c>
      <c r="F23" s="42">
        <v>57</v>
      </c>
      <c r="G23" s="42">
        <v>48</v>
      </c>
      <c r="H23" s="42">
        <v>62</v>
      </c>
      <c r="I23" s="42">
        <v>46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13</v>
      </c>
      <c r="C24" s="42">
        <v>21</v>
      </c>
      <c r="D24" s="42">
        <v>5</v>
      </c>
      <c r="E24" s="42">
        <v>6</v>
      </c>
      <c r="F24" s="42">
        <v>428</v>
      </c>
      <c r="G24" s="42">
        <v>607</v>
      </c>
      <c r="H24" s="42">
        <v>274</v>
      </c>
      <c r="I24" s="42">
        <v>384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21</v>
      </c>
      <c r="C25" s="42">
        <v>46</v>
      </c>
      <c r="D25" s="42">
        <v>15</v>
      </c>
      <c r="E25" s="42">
        <v>13</v>
      </c>
      <c r="F25" s="42">
        <v>654</v>
      </c>
      <c r="G25" s="42">
        <v>1278</v>
      </c>
      <c r="H25" s="42">
        <v>383</v>
      </c>
      <c r="I25" s="42">
        <v>334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19</v>
      </c>
      <c r="C26" s="42">
        <v>15</v>
      </c>
      <c r="D26" s="42">
        <v>17</v>
      </c>
      <c r="E26" s="42">
        <v>11</v>
      </c>
      <c r="F26" s="42">
        <v>753</v>
      </c>
      <c r="G26" s="42">
        <v>916</v>
      </c>
      <c r="H26" s="42">
        <v>474</v>
      </c>
      <c r="I26" s="42">
        <v>257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0</v>
      </c>
      <c r="D27" s="42">
        <v>1</v>
      </c>
      <c r="E27" s="42">
        <v>0</v>
      </c>
      <c r="F27" s="42">
        <v>19</v>
      </c>
      <c r="G27" s="42">
        <v>17</v>
      </c>
      <c r="H27" s="42">
        <v>46</v>
      </c>
      <c r="I27" s="42">
        <v>16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9</v>
      </c>
      <c r="C28" s="42">
        <v>6</v>
      </c>
      <c r="D28" s="42">
        <v>10</v>
      </c>
      <c r="E28" s="42">
        <v>4</v>
      </c>
      <c r="F28" s="42">
        <v>298</v>
      </c>
      <c r="G28" s="42">
        <v>308</v>
      </c>
      <c r="H28" s="42">
        <v>306</v>
      </c>
      <c r="I28" s="42">
        <v>148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2</v>
      </c>
      <c r="C29" s="42">
        <v>4</v>
      </c>
      <c r="D29" s="42">
        <v>7</v>
      </c>
      <c r="E29" s="42">
        <v>1</v>
      </c>
      <c r="F29" s="42">
        <v>108</v>
      </c>
      <c r="G29" s="42">
        <v>83</v>
      </c>
      <c r="H29" s="42">
        <v>268</v>
      </c>
      <c r="I29" s="42">
        <v>83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3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3</v>
      </c>
      <c r="C31" s="42">
        <v>0</v>
      </c>
      <c r="D31" s="42">
        <v>3</v>
      </c>
      <c r="E31" s="42">
        <v>4</v>
      </c>
      <c r="F31" s="42">
        <v>175</v>
      </c>
      <c r="G31" s="42">
        <v>193</v>
      </c>
      <c r="H31" s="42">
        <v>142</v>
      </c>
      <c r="I31" s="42">
        <v>203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6</v>
      </c>
      <c r="G32" s="42">
        <v>2</v>
      </c>
      <c r="H32" s="42">
        <v>18</v>
      </c>
      <c r="I32" s="42">
        <v>13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21</v>
      </c>
      <c r="G33" s="42">
        <v>13</v>
      </c>
      <c r="H33" s="42">
        <v>93</v>
      </c>
      <c r="I33" s="42">
        <v>44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20</v>
      </c>
      <c r="G34" s="42">
        <v>26</v>
      </c>
      <c r="H34" s="42">
        <v>38</v>
      </c>
      <c r="I34" s="42">
        <v>21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0</v>
      </c>
      <c r="C35" s="42">
        <v>1</v>
      </c>
      <c r="D35" s="42">
        <v>0</v>
      </c>
      <c r="E35" s="42">
        <v>1</v>
      </c>
      <c r="F35" s="42">
        <v>37</v>
      </c>
      <c r="G35" s="42">
        <v>46</v>
      </c>
      <c r="H35" s="42">
        <v>85</v>
      </c>
      <c r="I35" s="42">
        <v>62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2</v>
      </c>
      <c r="C36" s="42">
        <v>0</v>
      </c>
      <c r="D36" s="42">
        <v>0</v>
      </c>
      <c r="E36" s="42">
        <v>1</v>
      </c>
      <c r="F36" s="42">
        <v>18</v>
      </c>
      <c r="G36" s="42">
        <v>27</v>
      </c>
      <c r="H36" s="42">
        <v>13</v>
      </c>
      <c r="I36" s="42">
        <v>24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2</v>
      </c>
      <c r="D37" s="42">
        <v>0</v>
      </c>
      <c r="E37" s="42">
        <v>0</v>
      </c>
      <c r="F37" s="42">
        <v>13</v>
      </c>
      <c r="G37" s="42">
        <v>11</v>
      </c>
      <c r="H37" s="42">
        <v>14</v>
      </c>
      <c r="I37" s="42">
        <v>11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11</v>
      </c>
      <c r="C38" s="42">
        <v>13</v>
      </c>
      <c r="D38" s="42">
        <v>13</v>
      </c>
      <c r="E38" s="42">
        <v>5</v>
      </c>
      <c r="F38" s="42">
        <v>387</v>
      </c>
      <c r="G38" s="42">
        <v>394</v>
      </c>
      <c r="H38" s="42">
        <v>391</v>
      </c>
      <c r="I38" s="42">
        <v>154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22</v>
      </c>
      <c r="C39" s="42">
        <v>21</v>
      </c>
      <c r="D39" s="42">
        <v>10</v>
      </c>
      <c r="E39" s="42">
        <v>18</v>
      </c>
      <c r="F39" s="42">
        <v>761</v>
      </c>
      <c r="G39" s="42">
        <v>1143</v>
      </c>
      <c r="H39" s="42">
        <v>560</v>
      </c>
      <c r="I39" s="42">
        <v>772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0</v>
      </c>
      <c r="C40" s="42">
        <v>2</v>
      </c>
      <c r="D40" s="42">
        <v>4</v>
      </c>
      <c r="E40" s="42">
        <v>0</v>
      </c>
      <c r="F40" s="42">
        <v>56</v>
      </c>
      <c r="G40" s="42">
        <v>58</v>
      </c>
      <c r="H40" s="42">
        <v>110</v>
      </c>
      <c r="I40" s="42">
        <v>67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7</v>
      </c>
      <c r="C41" s="42">
        <v>7</v>
      </c>
      <c r="D41" s="42">
        <v>8</v>
      </c>
      <c r="E41" s="42">
        <v>7</v>
      </c>
      <c r="F41" s="42">
        <v>184</v>
      </c>
      <c r="G41" s="42">
        <v>167</v>
      </c>
      <c r="H41" s="42">
        <v>156</v>
      </c>
      <c r="I41" s="42">
        <v>168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19</v>
      </c>
      <c r="C42" s="42">
        <v>50</v>
      </c>
      <c r="D42" s="42">
        <v>18</v>
      </c>
      <c r="E42" s="42">
        <v>9</v>
      </c>
      <c r="F42" s="42">
        <v>644</v>
      </c>
      <c r="G42" s="42">
        <v>982</v>
      </c>
      <c r="H42" s="42">
        <v>435</v>
      </c>
      <c r="I42" s="42">
        <v>310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31</v>
      </c>
      <c r="C43" s="42">
        <v>42</v>
      </c>
      <c r="D43" s="42">
        <v>15</v>
      </c>
      <c r="E43" s="42">
        <v>6</v>
      </c>
      <c r="F43" s="42">
        <v>450</v>
      </c>
      <c r="G43" s="42">
        <v>613</v>
      </c>
      <c r="H43" s="42">
        <v>559</v>
      </c>
      <c r="I43" s="42">
        <v>254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3</v>
      </c>
      <c r="C44" s="42">
        <v>2</v>
      </c>
      <c r="D44" s="42">
        <v>5</v>
      </c>
      <c r="E44" s="42">
        <v>0</v>
      </c>
      <c r="F44" s="42">
        <v>122</v>
      </c>
      <c r="G44" s="42">
        <v>120</v>
      </c>
      <c r="H44" s="42">
        <v>116</v>
      </c>
      <c r="I44" s="42">
        <v>135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3</v>
      </c>
      <c r="C45" s="42">
        <v>3</v>
      </c>
      <c r="D45" s="42">
        <v>2</v>
      </c>
      <c r="E45" s="42">
        <v>1</v>
      </c>
      <c r="F45" s="42">
        <v>19</v>
      </c>
      <c r="G45" s="42">
        <v>13</v>
      </c>
      <c r="H45" s="42">
        <v>9</v>
      </c>
      <c r="I45" s="42">
        <v>9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1</v>
      </c>
      <c r="C46" s="42">
        <v>1</v>
      </c>
      <c r="D46" s="42">
        <v>5</v>
      </c>
      <c r="E46" s="42">
        <v>3</v>
      </c>
      <c r="F46" s="42">
        <v>79</v>
      </c>
      <c r="G46" s="42">
        <v>105</v>
      </c>
      <c r="H46" s="42">
        <v>122</v>
      </c>
      <c r="I46" s="42">
        <v>71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0</v>
      </c>
      <c r="C47" s="42">
        <v>0</v>
      </c>
      <c r="D47" s="42">
        <v>1</v>
      </c>
      <c r="E47" s="42">
        <v>0</v>
      </c>
      <c r="F47" s="42">
        <v>30</v>
      </c>
      <c r="G47" s="42">
        <v>32</v>
      </c>
      <c r="H47" s="42">
        <v>34</v>
      </c>
      <c r="I47" s="42">
        <v>23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5</v>
      </c>
      <c r="C48" s="42">
        <v>15</v>
      </c>
      <c r="D48" s="42">
        <v>6</v>
      </c>
      <c r="E48" s="42">
        <v>4</v>
      </c>
      <c r="F48" s="42">
        <v>142</v>
      </c>
      <c r="G48" s="42">
        <v>307</v>
      </c>
      <c r="H48" s="42">
        <v>193</v>
      </c>
      <c r="I48" s="42">
        <v>206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35</v>
      </c>
      <c r="C49" s="42">
        <v>39</v>
      </c>
      <c r="D49" s="42">
        <v>30</v>
      </c>
      <c r="E49" s="42">
        <v>30</v>
      </c>
      <c r="F49" s="42">
        <v>1280</v>
      </c>
      <c r="G49" s="42">
        <v>1778</v>
      </c>
      <c r="H49" s="42">
        <v>930</v>
      </c>
      <c r="I49" s="42">
        <v>773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13</v>
      </c>
      <c r="G50" s="42">
        <v>10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14</v>
      </c>
      <c r="C51" s="42">
        <v>28</v>
      </c>
      <c r="D51" s="42">
        <v>18</v>
      </c>
      <c r="E51" s="42">
        <v>13</v>
      </c>
      <c r="F51" s="42">
        <v>457</v>
      </c>
      <c r="G51" s="42">
        <v>786</v>
      </c>
      <c r="H51" s="42">
        <v>463</v>
      </c>
      <c r="I51" s="42">
        <v>422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3</v>
      </c>
      <c r="C52" s="42">
        <v>3</v>
      </c>
      <c r="D52" s="42">
        <v>5</v>
      </c>
      <c r="E52" s="42">
        <v>0</v>
      </c>
      <c r="F52" s="42">
        <v>72</v>
      </c>
      <c r="G52" s="42">
        <v>69</v>
      </c>
      <c r="H52" s="42">
        <v>86</v>
      </c>
      <c r="I52" s="42">
        <v>46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0</v>
      </c>
      <c r="C53" s="42">
        <v>0</v>
      </c>
      <c r="D53" s="42">
        <v>0</v>
      </c>
      <c r="E53" s="42">
        <v>0</v>
      </c>
      <c r="F53" s="42">
        <v>43</v>
      </c>
      <c r="G53" s="42">
        <v>60</v>
      </c>
      <c r="H53" s="42">
        <v>47</v>
      </c>
      <c r="I53" s="42">
        <v>48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93</v>
      </c>
      <c r="C54" s="42">
        <v>265</v>
      </c>
      <c r="D54" s="42">
        <v>106</v>
      </c>
      <c r="E54" s="42">
        <v>49</v>
      </c>
      <c r="F54" s="42">
        <v>1938</v>
      </c>
      <c r="G54" s="42">
        <v>5832</v>
      </c>
      <c r="H54" s="42">
        <v>2014</v>
      </c>
      <c r="I54" s="42">
        <v>850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0</v>
      </c>
      <c r="C55" s="42">
        <v>2</v>
      </c>
      <c r="D55" s="42">
        <v>3</v>
      </c>
      <c r="E55" s="42">
        <v>0</v>
      </c>
      <c r="F55" s="42">
        <v>48</v>
      </c>
      <c r="G55" s="42">
        <v>78</v>
      </c>
      <c r="H55" s="42">
        <v>66</v>
      </c>
      <c r="I55" s="42">
        <v>100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0</v>
      </c>
      <c r="C56" s="42">
        <v>0</v>
      </c>
      <c r="D56" s="42">
        <v>1</v>
      </c>
      <c r="E56" s="42">
        <v>2</v>
      </c>
      <c r="F56" s="42">
        <v>5</v>
      </c>
      <c r="G56" s="42">
        <v>6</v>
      </c>
      <c r="H56" s="42">
        <v>11</v>
      </c>
      <c r="I56" s="42">
        <v>11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4</v>
      </c>
      <c r="C57" s="42">
        <v>7</v>
      </c>
      <c r="D57" s="42">
        <v>11</v>
      </c>
      <c r="E57" s="42">
        <v>13</v>
      </c>
      <c r="F57" s="42">
        <v>137</v>
      </c>
      <c r="G57" s="42">
        <v>124</v>
      </c>
      <c r="H57" s="42">
        <v>216</v>
      </c>
      <c r="I57" s="42">
        <v>135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0</v>
      </c>
      <c r="C58" s="42">
        <v>1</v>
      </c>
      <c r="D58" s="42">
        <v>1</v>
      </c>
      <c r="E58" s="42">
        <v>2</v>
      </c>
      <c r="F58" s="42">
        <v>19</v>
      </c>
      <c r="G58" s="42">
        <v>21</v>
      </c>
      <c r="H58" s="42">
        <v>13</v>
      </c>
      <c r="I58" s="42">
        <v>30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48</v>
      </c>
      <c r="G59" s="42">
        <v>48</v>
      </c>
      <c r="H59" s="42">
        <v>124</v>
      </c>
      <c r="I59" s="42">
        <v>88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0</v>
      </c>
      <c r="D61" s="42">
        <v>0</v>
      </c>
      <c r="E61" s="42">
        <v>0</v>
      </c>
      <c r="F61" s="42">
        <v>37</v>
      </c>
      <c r="G61" s="42">
        <v>36</v>
      </c>
      <c r="H61" s="42">
        <v>35</v>
      </c>
      <c r="I61" s="42">
        <v>36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2</v>
      </c>
      <c r="C62" s="42">
        <v>0</v>
      </c>
      <c r="D62" s="42">
        <v>0</v>
      </c>
      <c r="E62" s="42">
        <v>3</v>
      </c>
      <c r="F62" s="42">
        <v>37</v>
      </c>
      <c r="G62" s="42">
        <v>39</v>
      </c>
      <c r="H62" s="42">
        <v>40</v>
      </c>
      <c r="I62" s="42">
        <v>45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1</v>
      </c>
      <c r="C63" s="42">
        <v>0</v>
      </c>
      <c r="D63" s="42">
        <v>1</v>
      </c>
      <c r="E63" s="42">
        <v>0</v>
      </c>
      <c r="F63" s="42">
        <v>17</v>
      </c>
      <c r="G63" s="42">
        <v>35</v>
      </c>
      <c r="H63" s="42">
        <v>21</v>
      </c>
      <c r="I63" s="42">
        <v>21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1</v>
      </c>
      <c r="C64" s="42">
        <v>0</v>
      </c>
      <c r="D64" s="42">
        <v>3</v>
      </c>
      <c r="E64" s="42">
        <v>2</v>
      </c>
      <c r="F64" s="42">
        <v>41</v>
      </c>
      <c r="G64" s="42">
        <v>48</v>
      </c>
      <c r="H64" s="42">
        <v>44</v>
      </c>
      <c r="I64" s="42">
        <v>40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1</v>
      </c>
      <c r="C65" s="42">
        <v>1</v>
      </c>
      <c r="D65" s="42">
        <v>1</v>
      </c>
      <c r="E65" s="42">
        <v>3</v>
      </c>
      <c r="F65" s="42">
        <v>30</v>
      </c>
      <c r="G65" s="42">
        <v>38</v>
      </c>
      <c r="H65" s="42">
        <v>35</v>
      </c>
      <c r="I65" s="42">
        <v>34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2</v>
      </c>
      <c r="C66" s="42">
        <v>1</v>
      </c>
      <c r="D66" s="42">
        <v>9</v>
      </c>
      <c r="E66" s="42">
        <v>7</v>
      </c>
      <c r="F66" s="42">
        <v>171</v>
      </c>
      <c r="G66" s="42">
        <v>190</v>
      </c>
      <c r="H66" s="42">
        <v>300</v>
      </c>
      <c r="I66" s="42">
        <v>178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2</v>
      </c>
      <c r="C67" s="42">
        <v>0</v>
      </c>
      <c r="D67" s="42">
        <v>1</v>
      </c>
      <c r="E67" s="42">
        <v>0</v>
      </c>
      <c r="F67" s="42">
        <v>30</v>
      </c>
      <c r="G67" s="42">
        <v>51</v>
      </c>
      <c r="H67" s="42">
        <v>56</v>
      </c>
      <c r="I67" s="42">
        <v>53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5</v>
      </c>
      <c r="C68" s="42">
        <v>7</v>
      </c>
      <c r="D68" s="42">
        <v>14</v>
      </c>
      <c r="E68" s="42">
        <v>9</v>
      </c>
      <c r="F68" s="42">
        <v>327</v>
      </c>
      <c r="G68" s="42">
        <v>357</v>
      </c>
      <c r="H68" s="42">
        <v>496</v>
      </c>
      <c r="I68" s="42">
        <v>268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32</v>
      </c>
      <c r="G69" s="42">
        <v>26</v>
      </c>
      <c r="H69" s="42">
        <v>39</v>
      </c>
      <c r="I69" s="42">
        <v>31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21</v>
      </c>
      <c r="C70" s="42">
        <v>33</v>
      </c>
      <c r="D70" s="42">
        <v>17</v>
      </c>
      <c r="E70" s="42">
        <v>18</v>
      </c>
      <c r="F70" s="42">
        <v>664</v>
      </c>
      <c r="G70" s="42">
        <v>1018</v>
      </c>
      <c r="H70" s="42">
        <v>492</v>
      </c>
      <c r="I70" s="42">
        <v>635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487</v>
      </c>
      <c r="C71" s="67">
        <f>SUM(C4:C70)</f>
        <v>863</v>
      </c>
      <c r="D71" s="67">
        <f>SUM(D4:D70)</f>
        <v>505</v>
      </c>
      <c r="E71" s="67">
        <f>SUM(E4:E70)</f>
        <v>357</v>
      </c>
      <c r="F71" s="67">
        <f t="shared" ref="F71:I71" si="0">SUM(F4:F70)</f>
        <v>15547</v>
      </c>
      <c r="G71" s="67">
        <f t="shared" si="0"/>
        <v>25358</v>
      </c>
      <c r="H71" s="67">
        <f t="shared" si="0"/>
        <v>15081</v>
      </c>
      <c r="I71" s="67">
        <f t="shared" si="0"/>
        <v>11326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3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57" activePane="bottomLeft" state="frozen"/>
      <selection pane="bottomLeft" activeCell="I16" sqref="I16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1" t="s">
        <v>130</v>
      </c>
      <c r="C1" s="92"/>
      <c r="D1" s="93" t="s">
        <v>126</v>
      </c>
      <c r="E1" s="94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0</v>
      </c>
      <c r="C3" s="53">
        <v>10</v>
      </c>
      <c r="D3" s="53">
        <v>113</v>
      </c>
      <c r="E3" s="53">
        <v>225</v>
      </c>
    </row>
    <row r="4" spans="1:5" x14ac:dyDescent="0.2">
      <c r="A4" s="42" t="s">
        <v>2</v>
      </c>
      <c r="B4" s="53">
        <v>123</v>
      </c>
      <c r="C4" s="53">
        <v>43</v>
      </c>
      <c r="D4" s="53">
        <v>1759</v>
      </c>
      <c r="E4" s="53">
        <v>1016</v>
      </c>
    </row>
    <row r="5" spans="1:5" x14ac:dyDescent="0.2">
      <c r="A5" s="42" t="s">
        <v>3</v>
      </c>
      <c r="B5" s="53">
        <v>0</v>
      </c>
      <c r="C5" s="53">
        <v>2</v>
      </c>
      <c r="D5" s="53">
        <v>19</v>
      </c>
      <c r="E5" s="53">
        <v>47</v>
      </c>
    </row>
    <row r="6" spans="1:5" x14ac:dyDescent="0.2">
      <c r="A6" s="42" t="s">
        <v>4</v>
      </c>
      <c r="B6" s="53">
        <v>5</v>
      </c>
      <c r="C6" s="53">
        <v>4</v>
      </c>
      <c r="D6" s="53">
        <v>87</v>
      </c>
      <c r="E6" s="53">
        <v>113</v>
      </c>
    </row>
    <row r="7" spans="1:5" x14ac:dyDescent="0.2">
      <c r="A7" s="42" t="s">
        <v>5</v>
      </c>
      <c r="B7" s="53">
        <v>0</v>
      </c>
      <c r="C7" s="53">
        <v>0</v>
      </c>
      <c r="D7" s="53">
        <v>6</v>
      </c>
      <c r="E7" s="53">
        <v>10</v>
      </c>
    </row>
    <row r="8" spans="1:5" x14ac:dyDescent="0.2">
      <c r="A8" s="42" t="s">
        <v>6</v>
      </c>
      <c r="B8" s="53">
        <v>30</v>
      </c>
      <c r="C8" s="53">
        <v>18</v>
      </c>
      <c r="D8" s="53">
        <v>876</v>
      </c>
      <c r="E8" s="53">
        <v>729</v>
      </c>
    </row>
    <row r="9" spans="1:5" x14ac:dyDescent="0.2">
      <c r="A9" s="42" t="s">
        <v>7</v>
      </c>
      <c r="B9" s="53">
        <v>2</v>
      </c>
      <c r="C9" s="53">
        <v>3</v>
      </c>
      <c r="D9" s="53">
        <v>75</v>
      </c>
      <c r="E9" s="53">
        <v>107</v>
      </c>
    </row>
    <row r="10" spans="1:5" x14ac:dyDescent="0.2">
      <c r="A10" s="42" t="s">
        <v>8</v>
      </c>
      <c r="B10" s="53">
        <v>1</v>
      </c>
      <c r="C10" s="53">
        <v>1</v>
      </c>
      <c r="D10" s="53">
        <v>33</v>
      </c>
      <c r="E10" s="53">
        <v>56</v>
      </c>
    </row>
    <row r="11" spans="1:5" x14ac:dyDescent="0.2">
      <c r="A11" s="42" t="s">
        <v>9</v>
      </c>
      <c r="B11" s="53">
        <v>48</v>
      </c>
      <c r="C11" s="53">
        <v>36</v>
      </c>
      <c r="D11" s="53">
        <v>1057</v>
      </c>
      <c r="E11" s="53">
        <v>1184</v>
      </c>
    </row>
    <row r="12" spans="1:5" x14ac:dyDescent="0.2">
      <c r="A12" s="42" t="s">
        <v>10</v>
      </c>
      <c r="B12" s="53">
        <v>1</v>
      </c>
      <c r="C12" s="53">
        <v>1</v>
      </c>
      <c r="D12" s="53">
        <v>116</v>
      </c>
      <c r="E12" s="53">
        <v>211</v>
      </c>
    </row>
    <row r="13" spans="1:5" x14ac:dyDescent="0.2">
      <c r="A13" s="42" t="s">
        <v>11</v>
      </c>
      <c r="B13" s="53">
        <v>2</v>
      </c>
      <c r="C13" s="53">
        <v>3</v>
      </c>
      <c r="D13" s="53">
        <v>98</v>
      </c>
      <c r="E13" s="53">
        <v>102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">
      <c r="A15" s="42" t="s">
        <v>13</v>
      </c>
      <c r="B15" s="53">
        <v>4</v>
      </c>
      <c r="C15" s="53">
        <v>3</v>
      </c>
      <c r="D15" s="53">
        <v>55</v>
      </c>
      <c r="E15" s="53">
        <v>69</v>
      </c>
    </row>
    <row r="16" spans="1:5" x14ac:dyDescent="0.2">
      <c r="A16" s="42" t="s">
        <v>14</v>
      </c>
      <c r="B16" s="53">
        <v>0</v>
      </c>
      <c r="C16" s="53">
        <v>0</v>
      </c>
      <c r="D16" s="53">
        <v>123</v>
      </c>
      <c r="E16" s="53">
        <v>116</v>
      </c>
    </row>
    <row r="17" spans="1:5" x14ac:dyDescent="0.2">
      <c r="A17" s="42" t="s">
        <v>15</v>
      </c>
      <c r="B17" s="53">
        <v>25</v>
      </c>
      <c r="C17" s="53">
        <v>32</v>
      </c>
      <c r="D17" s="53">
        <v>789</v>
      </c>
      <c r="E17" s="53">
        <v>809</v>
      </c>
    </row>
    <row r="18" spans="1:5" x14ac:dyDescent="0.2">
      <c r="A18" s="42" t="s">
        <v>16</v>
      </c>
      <c r="B18" s="53">
        <v>0</v>
      </c>
      <c r="C18" s="53">
        <v>0</v>
      </c>
      <c r="D18" s="53">
        <v>14</v>
      </c>
      <c r="E18" s="53">
        <v>25</v>
      </c>
    </row>
    <row r="19" spans="1:5" x14ac:dyDescent="0.2">
      <c r="A19" s="42" t="s">
        <v>17</v>
      </c>
      <c r="B19" s="53">
        <v>2</v>
      </c>
      <c r="C19" s="53">
        <v>3</v>
      </c>
      <c r="D19" s="53">
        <v>38</v>
      </c>
      <c r="E19" s="53">
        <v>56</v>
      </c>
    </row>
    <row r="20" spans="1:5" x14ac:dyDescent="0.2">
      <c r="A20" s="42" t="s">
        <v>18</v>
      </c>
      <c r="B20" s="53">
        <v>0</v>
      </c>
      <c r="C20" s="53">
        <v>1</v>
      </c>
      <c r="D20" s="53">
        <v>25</v>
      </c>
      <c r="E20" s="53">
        <v>39</v>
      </c>
    </row>
    <row r="21" spans="1:5" x14ac:dyDescent="0.2">
      <c r="A21" s="42" t="s">
        <v>19</v>
      </c>
      <c r="B21" s="53">
        <v>1</v>
      </c>
      <c r="C21" s="53">
        <v>3</v>
      </c>
      <c r="D21" s="53">
        <v>27</v>
      </c>
      <c r="E21" s="53">
        <v>52</v>
      </c>
    </row>
    <row r="22" spans="1:5" x14ac:dyDescent="0.2">
      <c r="A22" s="42" t="s">
        <v>20</v>
      </c>
      <c r="B22" s="53">
        <v>2</v>
      </c>
      <c r="C22" s="53">
        <v>0</v>
      </c>
      <c r="D22" s="53">
        <v>48</v>
      </c>
      <c r="E22" s="53">
        <v>51</v>
      </c>
    </row>
    <row r="23" spans="1:5" x14ac:dyDescent="0.2">
      <c r="A23" s="42" t="s">
        <v>21</v>
      </c>
      <c r="B23" s="53">
        <v>11</v>
      </c>
      <c r="C23" s="53">
        <v>11</v>
      </c>
      <c r="D23" s="53">
        <v>416</v>
      </c>
      <c r="E23" s="53">
        <v>491</v>
      </c>
    </row>
    <row r="24" spans="1:5" x14ac:dyDescent="0.2">
      <c r="A24" s="42" t="s">
        <v>22</v>
      </c>
      <c r="B24" s="53">
        <v>46</v>
      </c>
      <c r="C24" s="53">
        <v>22</v>
      </c>
      <c r="D24" s="53">
        <v>930</v>
      </c>
      <c r="E24" s="53">
        <v>523</v>
      </c>
    </row>
    <row r="25" spans="1:5" x14ac:dyDescent="0.2">
      <c r="A25" s="42" t="s">
        <v>23</v>
      </c>
      <c r="B25" s="53">
        <v>56</v>
      </c>
      <c r="C25" s="53">
        <v>24</v>
      </c>
      <c r="D25" s="53">
        <v>766</v>
      </c>
      <c r="E25" s="53">
        <v>501</v>
      </c>
    </row>
    <row r="26" spans="1:5" x14ac:dyDescent="0.2">
      <c r="A26" s="42" t="s">
        <v>24</v>
      </c>
      <c r="B26" s="53">
        <v>1</v>
      </c>
      <c r="C26" s="53">
        <v>1</v>
      </c>
      <c r="D26" s="53">
        <v>6</v>
      </c>
      <c r="E26" s="53">
        <v>24</v>
      </c>
    </row>
    <row r="27" spans="1:5" x14ac:dyDescent="0.2">
      <c r="A27" s="42" t="s">
        <v>25</v>
      </c>
      <c r="B27" s="53">
        <v>9</v>
      </c>
      <c r="C27" s="53">
        <v>3</v>
      </c>
      <c r="D27" s="53">
        <v>215</v>
      </c>
      <c r="E27" s="53">
        <v>186</v>
      </c>
    </row>
    <row r="28" spans="1:5" x14ac:dyDescent="0.2">
      <c r="A28" s="42" t="s">
        <v>26</v>
      </c>
      <c r="B28" s="53">
        <v>2</v>
      </c>
      <c r="C28" s="53">
        <v>2</v>
      </c>
      <c r="D28" s="53">
        <v>74</v>
      </c>
      <c r="E28" s="53">
        <v>85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">
      <c r="A30" s="42" t="s">
        <v>28</v>
      </c>
      <c r="B30" s="53">
        <v>4</v>
      </c>
      <c r="C30" s="53">
        <v>4</v>
      </c>
      <c r="D30" s="53">
        <v>184</v>
      </c>
      <c r="E30" s="53">
        <v>302</v>
      </c>
    </row>
    <row r="31" spans="1:5" x14ac:dyDescent="0.2">
      <c r="A31" s="42" t="s">
        <v>29</v>
      </c>
      <c r="B31" s="53">
        <v>0</v>
      </c>
      <c r="C31" s="53">
        <v>1</v>
      </c>
      <c r="D31" s="53">
        <v>8</v>
      </c>
      <c r="E31" s="53">
        <v>15</v>
      </c>
    </row>
    <row r="32" spans="1:5" x14ac:dyDescent="0.2">
      <c r="A32" s="42" t="s">
        <v>30</v>
      </c>
      <c r="B32" s="53">
        <v>0</v>
      </c>
      <c r="C32" s="53">
        <v>0</v>
      </c>
      <c r="D32" s="53">
        <v>22</v>
      </c>
      <c r="E32" s="53">
        <v>19</v>
      </c>
    </row>
    <row r="33" spans="1:5" x14ac:dyDescent="0.2">
      <c r="A33" s="42" t="s">
        <v>31</v>
      </c>
      <c r="B33" s="53">
        <v>0</v>
      </c>
      <c r="C33" s="53">
        <v>0</v>
      </c>
      <c r="D33" s="53">
        <v>13</v>
      </c>
      <c r="E33" s="53">
        <v>17</v>
      </c>
    </row>
    <row r="34" spans="1:5" x14ac:dyDescent="0.2">
      <c r="A34" s="42" t="s">
        <v>32</v>
      </c>
      <c r="B34" s="53">
        <v>0</v>
      </c>
      <c r="C34" s="53">
        <v>0</v>
      </c>
      <c r="D34" s="53">
        <v>38</v>
      </c>
      <c r="E34" s="53">
        <v>42</v>
      </c>
    </row>
    <row r="35" spans="1:5" x14ac:dyDescent="0.2">
      <c r="A35" s="42" t="s">
        <v>33</v>
      </c>
      <c r="B35" s="53">
        <v>0</v>
      </c>
      <c r="C35" s="53">
        <v>1</v>
      </c>
      <c r="D35" s="53">
        <v>7</v>
      </c>
      <c r="E35" s="53">
        <v>18</v>
      </c>
    </row>
    <row r="36" spans="1:5" x14ac:dyDescent="0.2">
      <c r="A36" s="42" t="s">
        <v>34</v>
      </c>
      <c r="B36" s="53">
        <v>0</v>
      </c>
      <c r="C36" s="53">
        <v>2</v>
      </c>
      <c r="D36" s="53">
        <v>16</v>
      </c>
      <c r="E36" s="53">
        <v>14</v>
      </c>
    </row>
    <row r="37" spans="1:5" x14ac:dyDescent="0.2">
      <c r="A37" s="42" t="s">
        <v>35</v>
      </c>
      <c r="B37" s="53">
        <v>4</v>
      </c>
      <c r="C37" s="53">
        <v>7</v>
      </c>
      <c r="D37" s="53">
        <v>309</v>
      </c>
      <c r="E37" s="53">
        <v>248</v>
      </c>
    </row>
    <row r="38" spans="1:5" x14ac:dyDescent="0.2">
      <c r="A38" s="42" t="s">
        <v>36</v>
      </c>
      <c r="B38" s="53">
        <v>25</v>
      </c>
      <c r="C38" s="53">
        <v>22</v>
      </c>
      <c r="D38" s="53">
        <v>903</v>
      </c>
      <c r="E38" s="53">
        <v>1020</v>
      </c>
    </row>
    <row r="39" spans="1:5" x14ac:dyDescent="0.2">
      <c r="A39" s="42" t="s">
        <v>37</v>
      </c>
      <c r="B39" s="53">
        <v>2</v>
      </c>
      <c r="C39" s="53">
        <v>0</v>
      </c>
      <c r="D39" s="53">
        <v>46</v>
      </c>
      <c r="E39" s="53">
        <v>53</v>
      </c>
    </row>
    <row r="40" spans="1:5" x14ac:dyDescent="0.2">
      <c r="A40" s="42" t="s">
        <v>38</v>
      </c>
      <c r="B40" s="53">
        <v>4</v>
      </c>
      <c r="C40" s="53">
        <v>3</v>
      </c>
      <c r="D40" s="53">
        <v>137</v>
      </c>
      <c r="E40" s="53">
        <v>148</v>
      </c>
    </row>
    <row r="41" spans="1:5" x14ac:dyDescent="0.2">
      <c r="A41" s="42" t="s">
        <v>39</v>
      </c>
      <c r="B41" s="53">
        <v>24</v>
      </c>
      <c r="C41" s="53">
        <v>18</v>
      </c>
      <c r="D41" s="53">
        <v>645</v>
      </c>
      <c r="E41" s="53">
        <v>441</v>
      </c>
    </row>
    <row r="42" spans="1:5" x14ac:dyDescent="0.2">
      <c r="A42" s="42" t="s">
        <v>40</v>
      </c>
      <c r="B42" s="53">
        <v>22</v>
      </c>
      <c r="C42" s="53">
        <v>13</v>
      </c>
      <c r="D42" s="53">
        <v>399</v>
      </c>
      <c r="E42" s="53">
        <v>317</v>
      </c>
    </row>
    <row r="43" spans="1:5" x14ac:dyDescent="0.2">
      <c r="A43" s="42" t="s">
        <v>41</v>
      </c>
      <c r="B43" s="53">
        <v>5</v>
      </c>
      <c r="C43" s="53">
        <v>6</v>
      </c>
      <c r="D43" s="53">
        <v>110</v>
      </c>
      <c r="E43" s="53">
        <v>145</v>
      </c>
    </row>
    <row r="44" spans="1:5" x14ac:dyDescent="0.2">
      <c r="A44" s="42" t="s">
        <v>42</v>
      </c>
      <c r="B44" s="53">
        <v>0</v>
      </c>
      <c r="C44" s="53">
        <v>3</v>
      </c>
      <c r="D44" s="53">
        <v>10</v>
      </c>
      <c r="E44" s="53">
        <v>14</v>
      </c>
    </row>
    <row r="45" spans="1:5" x14ac:dyDescent="0.2">
      <c r="A45" s="42" t="s">
        <v>43</v>
      </c>
      <c r="B45" s="53">
        <v>4</v>
      </c>
      <c r="C45" s="53">
        <v>5</v>
      </c>
      <c r="D45" s="53">
        <v>80</v>
      </c>
      <c r="E45" s="53">
        <v>81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11</v>
      </c>
      <c r="E46" s="53">
        <v>28</v>
      </c>
    </row>
    <row r="47" spans="1:5" x14ac:dyDescent="0.2">
      <c r="A47" s="42" t="s">
        <v>45</v>
      </c>
      <c r="B47" s="53">
        <v>7</v>
      </c>
      <c r="C47" s="53">
        <v>8</v>
      </c>
      <c r="D47" s="53">
        <v>265</v>
      </c>
      <c r="E47" s="53">
        <v>194</v>
      </c>
    </row>
    <row r="48" spans="1:5" x14ac:dyDescent="0.2">
      <c r="A48" s="42" t="s">
        <v>46</v>
      </c>
      <c r="B48" s="53">
        <v>62</v>
      </c>
      <c r="C48" s="53">
        <v>27</v>
      </c>
      <c r="D48" s="53">
        <v>1509</v>
      </c>
      <c r="E48" s="53">
        <v>1230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">
      <c r="A50" s="42" t="s">
        <v>48</v>
      </c>
      <c r="B50" s="53">
        <v>24</v>
      </c>
      <c r="C50" s="53">
        <v>6</v>
      </c>
      <c r="D50" s="53">
        <v>593</v>
      </c>
      <c r="E50" s="53">
        <v>474</v>
      </c>
    </row>
    <row r="51" spans="1:5" x14ac:dyDescent="0.2">
      <c r="A51" s="42" t="s">
        <v>49</v>
      </c>
      <c r="B51" s="53">
        <v>2</v>
      </c>
      <c r="C51" s="53">
        <v>2</v>
      </c>
      <c r="D51" s="53">
        <v>56</v>
      </c>
      <c r="E51" s="53">
        <v>65</v>
      </c>
    </row>
    <row r="52" spans="1:5" x14ac:dyDescent="0.2">
      <c r="A52" s="42" t="s">
        <v>50</v>
      </c>
      <c r="B52" s="53">
        <v>0</v>
      </c>
      <c r="C52" s="53">
        <v>0</v>
      </c>
      <c r="D52" s="53">
        <v>42</v>
      </c>
      <c r="E52" s="53">
        <v>73</v>
      </c>
    </row>
    <row r="53" spans="1:5" x14ac:dyDescent="0.2">
      <c r="A53" s="42" t="s">
        <v>51</v>
      </c>
      <c r="B53" s="53">
        <v>362</v>
      </c>
      <c r="C53" s="53">
        <v>61</v>
      </c>
      <c r="D53" s="53">
        <v>4891</v>
      </c>
      <c r="E53" s="53">
        <v>1199</v>
      </c>
    </row>
    <row r="54" spans="1:5" x14ac:dyDescent="0.2">
      <c r="A54" s="42" t="s">
        <v>52</v>
      </c>
      <c r="B54" s="53">
        <v>0</v>
      </c>
      <c r="C54" s="53">
        <v>2</v>
      </c>
      <c r="D54" s="53">
        <v>72</v>
      </c>
      <c r="E54" s="53">
        <v>87</v>
      </c>
    </row>
    <row r="55" spans="1:5" x14ac:dyDescent="0.2">
      <c r="A55" s="42" t="s">
        <v>53</v>
      </c>
      <c r="B55" s="53">
        <v>0</v>
      </c>
      <c r="C55" s="53">
        <v>0</v>
      </c>
      <c r="D55" s="53">
        <v>7</v>
      </c>
      <c r="E55" s="53">
        <v>13</v>
      </c>
    </row>
    <row r="56" spans="1:5" x14ac:dyDescent="0.2">
      <c r="A56" s="42" t="s">
        <v>54</v>
      </c>
      <c r="B56" s="53">
        <v>5</v>
      </c>
      <c r="C56" s="53">
        <v>5</v>
      </c>
      <c r="D56" s="53">
        <v>113</v>
      </c>
      <c r="E56" s="53">
        <v>145</v>
      </c>
    </row>
    <row r="57" spans="1:5" x14ac:dyDescent="0.2">
      <c r="A57" s="42" t="s">
        <v>55</v>
      </c>
      <c r="B57" s="53">
        <v>1</v>
      </c>
      <c r="C57" s="53">
        <v>0</v>
      </c>
      <c r="D57" s="53">
        <v>8</v>
      </c>
      <c r="E57" s="53">
        <v>11</v>
      </c>
    </row>
    <row r="58" spans="1:5" x14ac:dyDescent="0.2">
      <c r="A58" s="42" t="s">
        <v>56</v>
      </c>
      <c r="B58" s="53">
        <v>0</v>
      </c>
      <c r="C58" s="53">
        <v>0</v>
      </c>
      <c r="D58" s="53">
        <v>53</v>
      </c>
      <c r="E58" s="53">
        <v>70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8</v>
      </c>
    </row>
    <row r="60" spans="1:5" x14ac:dyDescent="0.2">
      <c r="A60" s="42" t="s">
        <v>58</v>
      </c>
      <c r="B60" s="53">
        <v>0</v>
      </c>
      <c r="C60" s="53">
        <v>2</v>
      </c>
      <c r="D60" s="53">
        <v>26</v>
      </c>
      <c r="E60" s="53">
        <v>35</v>
      </c>
    </row>
    <row r="61" spans="1:5" x14ac:dyDescent="0.2">
      <c r="A61" s="42" t="s">
        <v>59</v>
      </c>
      <c r="B61" s="53">
        <v>1</v>
      </c>
      <c r="C61" s="53">
        <v>0</v>
      </c>
      <c r="D61" s="53">
        <v>26</v>
      </c>
      <c r="E61" s="53">
        <v>41</v>
      </c>
    </row>
    <row r="62" spans="1:5" x14ac:dyDescent="0.2">
      <c r="A62" s="42" t="s">
        <v>60</v>
      </c>
      <c r="B62" s="53">
        <v>1</v>
      </c>
      <c r="C62" s="53">
        <v>1</v>
      </c>
      <c r="D62" s="53">
        <v>11</v>
      </c>
      <c r="E62" s="53">
        <v>30</v>
      </c>
    </row>
    <row r="63" spans="1:5" x14ac:dyDescent="0.2">
      <c r="A63" s="42" t="s">
        <v>61</v>
      </c>
      <c r="B63" s="53">
        <v>2</v>
      </c>
      <c r="C63" s="53">
        <v>0</v>
      </c>
      <c r="D63" s="53">
        <v>34</v>
      </c>
      <c r="E63" s="53">
        <v>54</v>
      </c>
    </row>
    <row r="64" spans="1:5" x14ac:dyDescent="0.2">
      <c r="A64" s="42" t="s">
        <v>62</v>
      </c>
      <c r="B64" s="53">
        <v>1</v>
      </c>
      <c r="C64" s="53">
        <v>1</v>
      </c>
      <c r="D64" s="53">
        <v>21</v>
      </c>
      <c r="E64" s="53">
        <v>38</v>
      </c>
    </row>
    <row r="65" spans="1:5" x14ac:dyDescent="0.2">
      <c r="A65" s="42" t="s">
        <v>63</v>
      </c>
      <c r="B65" s="53">
        <v>4</v>
      </c>
      <c r="C65" s="53">
        <v>5</v>
      </c>
      <c r="D65" s="53">
        <v>155</v>
      </c>
      <c r="E65" s="53">
        <v>183</v>
      </c>
    </row>
    <row r="66" spans="1:5" x14ac:dyDescent="0.2">
      <c r="A66" s="42" t="s">
        <v>64</v>
      </c>
      <c r="B66" s="53">
        <v>1</v>
      </c>
      <c r="C66" s="53">
        <v>1</v>
      </c>
      <c r="D66" s="53">
        <v>38</v>
      </c>
      <c r="E66" s="53">
        <v>38</v>
      </c>
    </row>
    <row r="67" spans="1:5" x14ac:dyDescent="0.2">
      <c r="A67" s="42" t="s">
        <v>65</v>
      </c>
      <c r="B67" s="53">
        <v>8</v>
      </c>
      <c r="C67" s="53">
        <v>10</v>
      </c>
      <c r="D67" s="53">
        <v>268</v>
      </c>
      <c r="E67" s="53">
        <v>297</v>
      </c>
    </row>
    <row r="68" spans="1:5" x14ac:dyDescent="0.2">
      <c r="A68" s="42" t="s">
        <v>66</v>
      </c>
      <c r="B68" s="53">
        <v>0</v>
      </c>
      <c r="C68" s="53">
        <v>0</v>
      </c>
      <c r="D68" s="53">
        <v>27</v>
      </c>
      <c r="E68" s="53">
        <v>45</v>
      </c>
    </row>
    <row r="69" spans="1:5" x14ac:dyDescent="0.2">
      <c r="A69" s="42" t="s">
        <v>67</v>
      </c>
      <c r="B69" s="53">
        <v>37</v>
      </c>
      <c r="C69" s="53">
        <v>41</v>
      </c>
      <c r="D69" s="53">
        <v>842</v>
      </c>
      <c r="E69" s="53">
        <v>861</v>
      </c>
    </row>
    <row r="70" spans="1:5" x14ac:dyDescent="0.2">
      <c r="A70" s="39" t="s">
        <v>68</v>
      </c>
      <c r="B70" s="43">
        <f>SUM(B3:B69)</f>
        <v>983</v>
      </c>
      <c r="C70" s="43">
        <f>SUM(C3:C69)</f>
        <v>484</v>
      </c>
      <c r="D70" s="43">
        <f t="shared" ref="D70:E70" si="0">SUM(D3:D69)</f>
        <v>19768</v>
      </c>
      <c r="E70" s="43">
        <f t="shared" si="0"/>
        <v>14954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0"/>
      <c r="E137" s="90"/>
    </row>
    <row r="138" spans="4:5" ht="15" x14ac:dyDescent="0.2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0"/>
      <c r="AA137" s="90"/>
    </row>
    <row r="138" spans="26:27" ht="15" x14ac:dyDescent="0.2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K20" sqref="K20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6305</v>
      </c>
      <c r="C2" s="11">
        <v>10650</v>
      </c>
      <c r="D2" s="11">
        <v>10881</v>
      </c>
      <c r="E2" s="11">
        <v>10053</v>
      </c>
      <c r="F2" s="11">
        <v>13731</v>
      </c>
      <c r="G2" s="11">
        <v>14033</v>
      </c>
      <c r="H2" s="11">
        <v>10935</v>
      </c>
    </row>
    <row r="3" spans="1:8" x14ac:dyDescent="0.2">
      <c r="A3" s="11" t="s">
        <v>2</v>
      </c>
      <c r="B3" s="11">
        <v>79620</v>
      </c>
      <c r="C3" s="11">
        <v>172051</v>
      </c>
      <c r="D3" s="11">
        <v>161774</v>
      </c>
      <c r="E3" s="11">
        <v>123259</v>
      </c>
      <c r="F3" s="11">
        <v>131759</v>
      </c>
      <c r="G3" s="11">
        <v>139355</v>
      </c>
      <c r="H3" s="11">
        <v>108715</v>
      </c>
    </row>
    <row r="4" spans="1:8" x14ac:dyDescent="0.2">
      <c r="A4" s="11" t="s">
        <v>3</v>
      </c>
      <c r="B4" s="11">
        <v>3138</v>
      </c>
      <c r="C4" s="11">
        <v>5630</v>
      </c>
      <c r="D4" s="11">
        <v>6134</v>
      </c>
      <c r="E4" s="11">
        <v>6402</v>
      </c>
      <c r="F4" s="11">
        <v>7734</v>
      </c>
      <c r="G4" s="11">
        <v>8226</v>
      </c>
      <c r="H4" s="11">
        <v>6337</v>
      </c>
    </row>
    <row r="5" spans="1:8" x14ac:dyDescent="0.2">
      <c r="A5" s="11" t="s">
        <v>4</v>
      </c>
      <c r="B5" s="11">
        <v>7567</v>
      </c>
      <c r="C5" s="11">
        <v>16081</v>
      </c>
      <c r="D5" s="11">
        <v>17895</v>
      </c>
      <c r="E5" s="11">
        <v>16259</v>
      </c>
      <c r="F5" s="11">
        <v>19581</v>
      </c>
      <c r="G5" s="11">
        <v>20973</v>
      </c>
      <c r="H5" s="11">
        <v>15732</v>
      </c>
    </row>
    <row r="6" spans="1:8" x14ac:dyDescent="0.2">
      <c r="A6" s="11" t="s">
        <v>5</v>
      </c>
      <c r="B6" s="11">
        <v>2248</v>
      </c>
      <c r="C6" s="11">
        <v>4231</v>
      </c>
      <c r="D6" s="11">
        <v>4452</v>
      </c>
      <c r="E6" s="11">
        <v>4798</v>
      </c>
      <c r="F6" s="11">
        <v>6044</v>
      </c>
      <c r="G6" s="11">
        <v>6360</v>
      </c>
      <c r="H6" s="11">
        <v>4893</v>
      </c>
    </row>
    <row r="7" spans="1:8" x14ac:dyDescent="0.2">
      <c r="A7" s="11" t="s">
        <v>6</v>
      </c>
      <c r="B7" s="11">
        <v>23470</v>
      </c>
      <c r="C7" s="11">
        <v>41796</v>
      </c>
      <c r="D7" s="11">
        <v>44005</v>
      </c>
      <c r="E7" s="11">
        <v>40596</v>
      </c>
      <c r="F7" s="11">
        <v>47618</v>
      </c>
      <c r="G7" s="11">
        <v>42902</v>
      </c>
      <c r="H7" s="11">
        <v>33683</v>
      </c>
    </row>
    <row r="8" spans="1:8" x14ac:dyDescent="0.2">
      <c r="A8" s="11" t="s">
        <v>7</v>
      </c>
      <c r="B8" s="11">
        <v>6256</v>
      </c>
      <c r="C8" s="11">
        <v>11297</v>
      </c>
      <c r="D8" s="11">
        <v>12272</v>
      </c>
      <c r="E8" s="11">
        <v>12225</v>
      </c>
      <c r="F8" s="11">
        <v>13606</v>
      </c>
      <c r="G8" s="11">
        <v>13988</v>
      </c>
      <c r="H8" s="11">
        <v>11918</v>
      </c>
    </row>
    <row r="9" spans="1:8" x14ac:dyDescent="0.2">
      <c r="A9" s="11" t="s">
        <v>8</v>
      </c>
      <c r="B9" s="11">
        <v>2932</v>
      </c>
      <c r="C9" s="11">
        <v>5281</v>
      </c>
      <c r="D9" s="11">
        <v>5757</v>
      </c>
      <c r="E9" s="11">
        <v>5380</v>
      </c>
      <c r="F9" s="11">
        <v>6983</v>
      </c>
      <c r="G9" s="11">
        <v>6888</v>
      </c>
      <c r="H9" s="11">
        <v>5642</v>
      </c>
    </row>
    <row r="10" spans="1:8" x14ac:dyDescent="0.2">
      <c r="A10" s="11" t="s">
        <v>9</v>
      </c>
      <c r="B10" s="11">
        <v>39544</v>
      </c>
      <c r="C10" s="11">
        <v>68352</v>
      </c>
      <c r="D10" s="11">
        <v>73683</v>
      </c>
      <c r="E10" s="11">
        <v>71069</v>
      </c>
      <c r="F10" s="11">
        <v>86792</v>
      </c>
      <c r="G10" s="11">
        <v>82287</v>
      </c>
      <c r="H10" s="11">
        <v>62590</v>
      </c>
    </row>
    <row r="11" spans="1:8" x14ac:dyDescent="0.2">
      <c r="A11" s="11" t="s">
        <v>10</v>
      </c>
      <c r="B11" s="11">
        <v>11149</v>
      </c>
      <c r="C11" s="11">
        <v>20486</v>
      </c>
      <c r="D11" s="11">
        <v>22572</v>
      </c>
      <c r="E11" s="11">
        <v>20841</v>
      </c>
      <c r="F11" s="11">
        <v>25074</v>
      </c>
      <c r="G11" s="11">
        <v>24573</v>
      </c>
      <c r="H11" s="11">
        <v>18848</v>
      </c>
    </row>
    <row r="12" spans="1:8" x14ac:dyDescent="0.2">
      <c r="A12" s="11" t="s">
        <v>11</v>
      </c>
      <c r="B12" s="11">
        <v>6300</v>
      </c>
      <c r="C12" s="11">
        <v>11193</v>
      </c>
      <c r="D12" s="11">
        <v>12043</v>
      </c>
      <c r="E12" s="11">
        <v>12630</v>
      </c>
      <c r="F12" s="11">
        <v>14487</v>
      </c>
      <c r="G12" s="11">
        <v>16358</v>
      </c>
      <c r="H12" s="11">
        <v>12852</v>
      </c>
    </row>
    <row r="13" spans="1:8" x14ac:dyDescent="0.2">
      <c r="A13" s="11" t="s">
        <v>12</v>
      </c>
      <c r="B13" s="11">
        <v>145</v>
      </c>
      <c r="C13" s="11">
        <v>293</v>
      </c>
      <c r="D13" s="11">
        <v>362</v>
      </c>
      <c r="E13" s="11">
        <v>348</v>
      </c>
      <c r="F13" s="11">
        <v>546</v>
      </c>
      <c r="G13" s="11">
        <v>658</v>
      </c>
      <c r="H13" s="11">
        <v>532</v>
      </c>
    </row>
    <row r="14" spans="1:8" x14ac:dyDescent="0.2">
      <c r="A14" s="11" t="s">
        <v>13</v>
      </c>
      <c r="B14" s="11">
        <v>3157</v>
      </c>
      <c r="C14" s="11">
        <v>6167</v>
      </c>
      <c r="D14" s="11">
        <v>6812</v>
      </c>
      <c r="E14" s="11">
        <v>6833</v>
      </c>
      <c r="F14" s="11">
        <v>8613</v>
      </c>
      <c r="G14" s="11">
        <v>8278</v>
      </c>
      <c r="H14" s="11">
        <v>5857</v>
      </c>
    </row>
    <row r="15" spans="1:8" x14ac:dyDescent="0.2">
      <c r="A15" s="11" t="s">
        <v>14</v>
      </c>
      <c r="B15" s="11">
        <v>17551</v>
      </c>
      <c r="C15" s="11">
        <v>19378</v>
      </c>
      <c r="D15" s="11">
        <v>13808</v>
      </c>
      <c r="E15" s="11">
        <v>12329</v>
      </c>
      <c r="F15" s="11">
        <v>13896</v>
      </c>
      <c r="G15" s="11">
        <v>13523</v>
      </c>
      <c r="H15" s="11">
        <v>11446</v>
      </c>
    </row>
    <row r="16" spans="1:8" x14ac:dyDescent="0.2">
      <c r="A16" s="11" t="s">
        <v>15</v>
      </c>
      <c r="B16" s="11">
        <v>36861</v>
      </c>
      <c r="C16" s="11">
        <v>60650</v>
      </c>
      <c r="D16" s="11">
        <v>60074</v>
      </c>
      <c r="E16" s="11">
        <v>58849</v>
      </c>
      <c r="F16" s="11">
        <v>66746</v>
      </c>
      <c r="G16" s="11">
        <v>59717</v>
      </c>
      <c r="H16" s="11">
        <v>46218</v>
      </c>
    </row>
    <row r="17" spans="1:8" x14ac:dyDescent="0.2">
      <c r="A17" s="11" t="s">
        <v>16</v>
      </c>
      <c r="B17" s="11">
        <v>1659</v>
      </c>
      <c r="C17" s="11">
        <v>3080</v>
      </c>
      <c r="D17" s="11">
        <v>3269</v>
      </c>
      <c r="E17" s="11">
        <v>3392</v>
      </c>
      <c r="F17" s="11">
        <v>4211</v>
      </c>
      <c r="G17" s="11">
        <v>4291</v>
      </c>
      <c r="H17" s="11">
        <v>3413</v>
      </c>
    </row>
    <row r="18" spans="1:8" x14ac:dyDescent="0.2">
      <c r="A18" s="11" t="s">
        <v>17</v>
      </c>
      <c r="B18" s="11">
        <v>3350</v>
      </c>
      <c r="C18" s="11">
        <v>6442</v>
      </c>
      <c r="D18" s="11">
        <v>7090</v>
      </c>
      <c r="E18" s="11">
        <v>7483</v>
      </c>
      <c r="F18" s="11">
        <v>9103</v>
      </c>
      <c r="G18" s="11">
        <v>8990</v>
      </c>
      <c r="H18" s="11">
        <v>7072</v>
      </c>
    </row>
    <row r="19" spans="1:8" x14ac:dyDescent="0.2">
      <c r="A19" s="11" t="s">
        <v>18</v>
      </c>
      <c r="B19" s="11">
        <v>1710</v>
      </c>
      <c r="C19" s="11">
        <v>3291</v>
      </c>
      <c r="D19" s="11">
        <v>3290</v>
      </c>
      <c r="E19" s="11">
        <v>3339</v>
      </c>
      <c r="F19" s="11">
        <v>3835</v>
      </c>
      <c r="G19" s="11">
        <v>3946</v>
      </c>
      <c r="H19" s="11">
        <v>3099</v>
      </c>
    </row>
    <row r="20" spans="1:8" x14ac:dyDescent="0.2">
      <c r="A20" s="11" t="s">
        <v>19</v>
      </c>
      <c r="B20" s="11">
        <v>3776</v>
      </c>
      <c r="C20" s="11">
        <v>5948</v>
      </c>
      <c r="D20" s="11">
        <v>5895</v>
      </c>
      <c r="E20" s="11">
        <v>5783</v>
      </c>
      <c r="F20" s="11">
        <v>6737</v>
      </c>
      <c r="G20" s="11">
        <v>6984</v>
      </c>
      <c r="H20" s="11">
        <v>5500</v>
      </c>
    </row>
    <row r="21" spans="1:8" x14ac:dyDescent="0.2">
      <c r="A21" s="11" t="s">
        <v>20</v>
      </c>
      <c r="B21" s="11">
        <v>3913</v>
      </c>
      <c r="C21" s="11">
        <v>6983</v>
      </c>
      <c r="D21" s="11">
        <v>7459</v>
      </c>
      <c r="E21" s="11">
        <v>7359</v>
      </c>
      <c r="F21" s="11">
        <v>9291</v>
      </c>
      <c r="G21" s="11">
        <v>9769</v>
      </c>
      <c r="H21" s="11">
        <v>8129</v>
      </c>
    </row>
    <row r="22" spans="1:8" x14ac:dyDescent="0.2">
      <c r="A22" s="11" t="s">
        <v>21</v>
      </c>
      <c r="B22" s="11">
        <v>16004</v>
      </c>
      <c r="C22" s="11">
        <v>28069</v>
      </c>
      <c r="D22" s="11">
        <v>30270</v>
      </c>
      <c r="E22" s="11">
        <v>27315</v>
      </c>
      <c r="F22" s="11">
        <v>29203</v>
      </c>
      <c r="G22" s="11">
        <v>28208</v>
      </c>
      <c r="H22" s="11">
        <v>24409</v>
      </c>
    </row>
    <row r="23" spans="1:8" x14ac:dyDescent="0.2">
      <c r="A23" s="11" t="s">
        <v>22</v>
      </c>
      <c r="B23" s="11">
        <v>17002</v>
      </c>
      <c r="C23" s="11">
        <v>34595</v>
      </c>
      <c r="D23" s="11">
        <v>34686</v>
      </c>
      <c r="E23" s="11">
        <v>29979</v>
      </c>
      <c r="F23" s="11">
        <v>32487</v>
      </c>
      <c r="G23" s="11">
        <v>30392</v>
      </c>
      <c r="H23" s="11">
        <v>21735</v>
      </c>
    </row>
    <row r="24" spans="1:8" x14ac:dyDescent="0.2">
      <c r="A24" s="11" t="s">
        <v>23</v>
      </c>
      <c r="B24" s="11">
        <v>37760</v>
      </c>
      <c r="C24" s="11">
        <v>66233</v>
      </c>
      <c r="D24" s="11">
        <v>72517</v>
      </c>
      <c r="E24" s="11">
        <v>60799</v>
      </c>
      <c r="F24" s="11">
        <v>65300</v>
      </c>
      <c r="G24" s="11">
        <v>61962</v>
      </c>
      <c r="H24" s="11">
        <v>45776</v>
      </c>
    </row>
    <row r="25" spans="1:8" x14ac:dyDescent="0.2">
      <c r="A25" s="11" t="s">
        <v>24</v>
      </c>
      <c r="B25" s="11">
        <v>1483</v>
      </c>
      <c r="C25" s="11">
        <v>2537</v>
      </c>
      <c r="D25" s="11">
        <v>2748</v>
      </c>
      <c r="E25" s="11">
        <v>2832</v>
      </c>
      <c r="F25" s="11">
        <v>3906</v>
      </c>
      <c r="G25" s="11">
        <v>3942</v>
      </c>
      <c r="H25" s="11">
        <v>3006</v>
      </c>
    </row>
    <row r="26" spans="1:8" x14ac:dyDescent="0.2">
      <c r="A26" s="11" t="s">
        <v>25</v>
      </c>
      <c r="B26" s="11">
        <v>14513</v>
      </c>
      <c r="C26" s="11">
        <v>27141</v>
      </c>
      <c r="D26" s="11">
        <v>27226</v>
      </c>
      <c r="E26" s="11">
        <v>25188</v>
      </c>
      <c r="F26" s="11">
        <v>28667</v>
      </c>
      <c r="G26" s="11">
        <v>29552</v>
      </c>
      <c r="H26" s="11">
        <v>22471</v>
      </c>
    </row>
    <row r="27" spans="1:8" x14ac:dyDescent="0.2">
      <c r="A27" s="11" t="s">
        <v>26</v>
      </c>
      <c r="B27" s="11">
        <v>5074</v>
      </c>
      <c r="C27" s="11">
        <v>10723</v>
      </c>
      <c r="D27" s="11">
        <v>11643</v>
      </c>
      <c r="E27" s="11">
        <v>12079</v>
      </c>
      <c r="F27" s="11">
        <v>14076</v>
      </c>
      <c r="G27" s="11">
        <v>14641</v>
      </c>
      <c r="H27" s="11">
        <v>11276</v>
      </c>
    </row>
    <row r="28" spans="1:8" x14ac:dyDescent="0.2">
      <c r="A28" s="11" t="s">
        <v>27</v>
      </c>
      <c r="B28" s="11">
        <v>149</v>
      </c>
      <c r="C28" s="11">
        <v>241</v>
      </c>
      <c r="D28" s="11">
        <v>297</v>
      </c>
      <c r="E28" s="11">
        <v>391</v>
      </c>
      <c r="F28" s="11">
        <v>664</v>
      </c>
      <c r="G28" s="11">
        <v>835</v>
      </c>
      <c r="H28" s="11">
        <v>643</v>
      </c>
    </row>
    <row r="29" spans="1:8" x14ac:dyDescent="0.2">
      <c r="A29" s="11" t="s">
        <v>28</v>
      </c>
      <c r="B29" s="11">
        <v>8289</v>
      </c>
      <c r="C29" s="11">
        <v>15398</v>
      </c>
      <c r="D29" s="11">
        <v>16122</v>
      </c>
      <c r="E29" s="11">
        <v>15710</v>
      </c>
      <c r="F29" s="11">
        <v>18063</v>
      </c>
      <c r="G29" s="11">
        <v>16956</v>
      </c>
      <c r="H29" s="11">
        <v>14773</v>
      </c>
    </row>
    <row r="30" spans="1:8" x14ac:dyDescent="0.2">
      <c r="A30" s="11" t="s">
        <v>29</v>
      </c>
      <c r="B30" s="11">
        <v>724</v>
      </c>
      <c r="C30" s="11">
        <v>1374</v>
      </c>
      <c r="D30" s="11">
        <v>1392</v>
      </c>
      <c r="E30" s="11">
        <v>1535</v>
      </c>
      <c r="F30" s="11">
        <v>1876</v>
      </c>
      <c r="G30" s="11">
        <v>1758</v>
      </c>
      <c r="H30" s="11">
        <v>1445</v>
      </c>
    </row>
    <row r="31" spans="1:8" x14ac:dyDescent="0.2">
      <c r="A31" s="11" t="s">
        <v>30</v>
      </c>
      <c r="B31" s="11">
        <v>1521</v>
      </c>
      <c r="C31" s="11">
        <v>2987</v>
      </c>
      <c r="D31" s="11">
        <v>3054</v>
      </c>
      <c r="E31" s="11">
        <v>3417</v>
      </c>
      <c r="F31" s="11">
        <v>3791</v>
      </c>
      <c r="G31" s="11">
        <v>3990</v>
      </c>
      <c r="H31" s="11">
        <v>3012</v>
      </c>
    </row>
    <row r="32" spans="1:8" x14ac:dyDescent="0.2">
      <c r="A32" s="11" t="s">
        <v>31</v>
      </c>
      <c r="B32" s="11">
        <v>2301</v>
      </c>
      <c r="C32" s="11">
        <v>3716</v>
      </c>
      <c r="D32" s="11">
        <v>3631</v>
      </c>
      <c r="E32" s="11">
        <v>3984</v>
      </c>
      <c r="F32" s="11">
        <v>4954</v>
      </c>
      <c r="G32" s="11">
        <v>5059</v>
      </c>
      <c r="H32" s="11">
        <v>4238</v>
      </c>
    </row>
    <row r="33" spans="1:8" x14ac:dyDescent="0.2">
      <c r="A33" s="11" t="s">
        <v>32</v>
      </c>
      <c r="B33" s="11">
        <v>4501</v>
      </c>
      <c r="C33" s="11">
        <v>6604</v>
      </c>
      <c r="D33" s="11">
        <v>6758</v>
      </c>
      <c r="E33" s="11">
        <v>6942</v>
      </c>
      <c r="F33" s="11">
        <v>8313</v>
      </c>
      <c r="G33" s="11">
        <v>8999</v>
      </c>
      <c r="H33" s="11">
        <v>7039</v>
      </c>
    </row>
    <row r="34" spans="1:8" x14ac:dyDescent="0.2">
      <c r="A34" s="11" t="s">
        <v>33</v>
      </c>
      <c r="B34" s="11">
        <v>2085</v>
      </c>
      <c r="C34" s="11">
        <v>3586</v>
      </c>
      <c r="D34" s="11">
        <v>4144</v>
      </c>
      <c r="E34" s="11">
        <v>4070</v>
      </c>
      <c r="F34" s="11">
        <v>4896</v>
      </c>
      <c r="G34" s="11">
        <v>5298</v>
      </c>
      <c r="H34" s="11">
        <v>3991</v>
      </c>
    </row>
    <row r="35" spans="1:8" x14ac:dyDescent="0.2">
      <c r="A35" s="11" t="s">
        <v>34</v>
      </c>
      <c r="B35" s="11">
        <v>944</v>
      </c>
      <c r="C35" s="11">
        <v>1772</v>
      </c>
      <c r="D35" s="11">
        <v>1994</v>
      </c>
      <c r="E35" s="11">
        <v>2109</v>
      </c>
      <c r="F35" s="11">
        <v>2606</v>
      </c>
      <c r="G35" s="11">
        <v>2567</v>
      </c>
      <c r="H35" s="11">
        <v>2072</v>
      </c>
    </row>
    <row r="36" spans="1:8" x14ac:dyDescent="0.2">
      <c r="A36" s="11" t="s">
        <v>35</v>
      </c>
      <c r="B36" s="11">
        <v>12082</v>
      </c>
      <c r="C36" s="11">
        <v>22847</v>
      </c>
      <c r="D36" s="11">
        <v>24197</v>
      </c>
      <c r="E36" s="11">
        <v>21669</v>
      </c>
      <c r="F36" s="11">
        <v>25030</v>
      </c>
      <c r="G36" s="11">
        <v>24098</v>
      </c>
      <c r="H36" s="11">
        <v>19856</v>
      </c>
    </row>
    <row r="37" spans="1:8" x14ac:dyDescent="0.2">
      <c r="A37" s="11" t="s">
        <v>36</v>
      </c>
      <c r="B37" s="11">
        <v>30664</v>
      </c>
      <c r="C37" s="11">
        <v>58840</v>
      </c>
      <c r="D37" s="11">
        <v>59560</v>
      </c>
      <c r="E37" s="11">
        <v>51066</v>
      </c>
      <c r="F37" s="11">
        <v>56829</v>
      </c>
      <c r="G37" s="11">
        <v>57513</v>
      </c>
      <c r="H37" s="11">
        <v>49775</v>
      </c>
    </row>
    <row r="38" spans="1:8" x14ac:dyDescent="0.2">
      <c r="A38" s="11" t="s">
        <v>37</v>
      </c>
      <c r="B38" s="11">
        <v>4259</v>
      </c>
      <c r="C38" s="11">
        <v>7866</v>
      </c>
      <c r="D38" s="11">
        <v>8374</v>
      </c>
      <c r="E38" s="11">
        <v>8288</v>
      </c>
      <c r="F38" s="11">
        <v>9785</v>
      </c>
      <c r="G38" s="11">
        <v>10377</v>
      </c>
      <c r="H38" s="11">
        <v>8384</v>
      </c>
    </row>
    <row r="39" spans="1:8" x14ac:dyDescent="0.2">
      <c r="A39" s="11" t="s">
        <v>38</v>
      </c>
      <c r="B39" s="11">
        <v>7259</v>
      </c>
      <c r="C39" s="11">
        <v>13143</v>
      </c>
      <c r="D39" s="11">
        <v>14461</v>
      </c>
      <c r="E39" s="11">
        <v>14079</v>
      </c>
      <c r="F39" s="11">
        <v>15923</v>
      </c>
      <c r="G39" s="11">
        <v>15663</v>
      </c>
      <c r="H39" s="11">
        <v>13491</v>
      </c>
    </row>
    <row r="40" spans="1:8" x14ac:dyDescent="0.2">
      <c r="A40" s="11" t="s">
        <v>39</v>
      </c>
      <c r="B40" s="11">
        <v>21566</v>
      </c>
      <c r="C40" s="11">
        <v>41831</v>
      </c>
      <c r="D40" s="11">
        <v>42477</v>
      </c>
      <c r="E40" s="11">
        <v>38596</v>
      </c>
      <c r="F40" s="11">
        <v>41273</v>
      </c>
      <c r="G40" s="11">
        <v>38332</v>
      </c>
      <c r="H40" s="11">
        <v>29849</v>
      </c>
    </row>
    <row r="41" spans="1:8" x14ac:dyDescent="0.2">
      <c r="A41" s="11" t="s">
        <v>40</v>
      </c>
      <c r="B41" s="11">
        <v>15985</v>
      </c>
      <c r="C41" s="11">
        <v>30852</v>
      </c>
      <c r="D41" s="11">
        <v>33248</v>
      </c>
      <c r="E41" s="11">
        <v>30663</v>
      </c>
      <c r="F41" s="11">
        <v>35917</v>
      </c>
      <c r="G41" s="11">
        <v>33401</v>
      </c>
      <c r="H41" s="11">
        <v>27362</v>
      </c>
    </row>
    <row r="42" spans="1:8" x14ac:dyDescent="0.2">
      <c r="A42" s="11" t="s">
        <v>41</v>
      </c>
      <c r="B42" s="11">
        <v>5552</v>
      </c>
      <c r="C42" s="11">
        <v>10035</v>
      </c>
      <c r="D42" s="11">
        <v>11444</v>
      </c>
      <c r="E42" s="11">
        <v>10457</v>
      </c>
      <c r="F42" s="11">
        <v>12186</v>
      </c>
      <c r="G42" s="11">
        <v>12978</v>
      </c>
      <c r="H42" s="11">
        <v>9991</v>
      </c>
    </row>
    <row r="43" spans="1:8" x14ac:dyDescent="0.2">
      <c r="A43" s="11" t="s">
        <v>91</v>
      </c>
      <c r="B43" s="11">
        <v>1761</v>
      </c>
      <c r="C43" s="11">
        <v>3244</v>
      </c>
      <c r="D43" s="11">
        <v>3653</v>
      </c>
      <c r="E43" s="11">
        <v>3747</v>
      </c>
      <c r="F43" s="11">
        <v>4541</v>
      </c>
      <c r="G43" s="11">
        <v>4647</v>
      </c>
      <c r="H43" s="11">
        <v>3591</v>
      </c>
    </row>
    <row r="44" spans="1:8" x14ac:dyDescent="0.2">
      <c r="A44" s="11" t="s">
        <v>43</v>
      </c>
      <c r="B44" s="11">
        <v>5518</v>
      </c>
      <c r="C44" s="11">
        <v>9793</v>
      </c>
      <c r="D44" s="11">
        <v>9999</v>
      </c>
      <c r="E44" s="11">
        <v>9872</v>
      </c>
      <c r="F44" s="11">
        <v>12362</v>
      </c>
      <c r="G44" s="11">
        <v>13462</v>
      </c>
      <c r="H44" s="11">
        <v>10849</v>
      </c>
    </row>
    <row r="45" spans="1:8" x14ac:dyDescent="0.2">
      <c r="A45" s="11" t="s">
        <v>44</v>
      </c>
      <c r="B45" s="11">
        <v>1728</v>
      </c>
      <c r="C45" s="11">
        <v>3660</v>
      </c>
      <c r="D45" s="11">
        <v>3880</v>
      </c>
      <c r="E45" s="11">
        <v>3914</v>
      </c>
      <c r="F45" s="11">
        <v>5013</v>
      </c>
      <c r="G45" s="11">
        <v>4762</v>
      </c>
      <c r="H45" s="11">
        <v>4172</v>
      </c>
    </row>
    <row r="46" spans="1:8" x14ac:dyDescent="0.2">
      <c r="A46" s="11" t="s">
        <v>45</v>
      </c>
      <c r="B46" s="11">
        <v>9587</v>
      </c>
      <c r="C46" s="11">
        <v>17534</v>
      </c>
      <c r="D46" s="11">
        <v>17717</v>
      </c>
      <c r="E46" s="11">
        <v>17446</v>
      </c>
      <c r="F46" s="11">
        <v>22525</v>
      </c>
      <c r="G46" s="11">
        <v>20225</v>
      </c>
      <c r="H46" s="11">
        <v>12380</v>
      </c>
    </row>
    <row r="47" spans="1:8" x14ac:dyDescent="0.2">
      <c r="A47" s="11" t="s">
        <v>46</v>
      </c>
      <c r="B47" s="11">
        <v>53793</v>
      </c>
      <c r="C47" s="11">
        <v>96701</v>
      </c>
      <c r="D47" s="11">
        <v>104965</v>
      </c>
      <c r="E47" s="11">
        <v>93614</v>
      </c>
      <c r="F47" s="11">
        <v>101613</v>
      </c>
      <c r="G47" s="11">
        <v>95374</v>
      </c>
      <c r="H47" s="11">
        <v>77402</v>
      </c>
    </row>
    <row r="48" spans="1:8" x14ac:dyDescent="0.2">
      <c r="A48" s="11" t="s">
        <v>47</v>
      </c>
      <c r="B48" s="11">
        <v>821</v>
      </c>
      <c r="C48" s="11">
        <v>1878</v>
      </c>
      <c r="D48" s="11">
        <v>2009</v>
      </c>
      <c r="E48" s="11">
        <v>1651</v>
      </c>
      <c r="F48" s="11">
        <v>1974</v>
      </c>
      <c r="G48" s="11">
        <v>2169</v>
      </c>
      <c r="H48" s="11">
        <v>1847</v>
      </c>
    </row>
    <row r="49" spans="1:8" x14ac:dyDescent="0.2">
      <c r="A49" s="11" t="s">
        <v>48</v>
      </c>
      <c r="B49" s="11">
        <v>22536</v>
      </c>
      <c r="C49" s="11">
        <v>36820</v>
      </c>
      <c r="D49" s="11">
        <v>35835</v>
      </c>
      <c r="E49" s="11">
        <v>33139</v>
      </c>
      <c r="F49" s="11">
        <v>38482</v>
      </c>
      <c r="G49" s="11">
        <v>36348</v>
      </c>
      <c r="H49" s="11">
        <v>28931</v>
      </c>
    </row>
    <row r="50" spans="1:8" x14ac:dyDescent="0.2">
      <c r="A50" s="11" t="s">
        <v>49</v>
      </c>
      <c r="B50" s="11">
        <v>3656</v>
      </c>
      <c r="C50" s="11">
        <v>7183</v>
      </c>
      <c r="D50" s="11">
        <v>8569</v>
      </c>
      <c r="E50" s="11">
        <v>8225</v>
      </c>
      <c r="F50" s="11">
        <v>9686</v>
      </c>
      <c r="G50" s="11">
        <v>10038</v>
      </c>
      <c r="H50" s="11">
        <v>7964</v>
      </c>
    </row>
    <row r="51" spans="1:8" x14ac:dyDescent="0.2">
      <c r="A51" s="11" t="s">
        <v>50</v>
      </c>
      <c r="B51" s="11">
        <v>2372</v>
      </c>
      <c r="C51" s="11">
        <v>4331</v>
      </c>
      <c r="D51" s="11">
        <v>4864</v>
      </c>
      <c r="E51" s="11">
        <v>4744</v>
      </c>
      <c r="F51" s="11">
        <v>5825</v>
      </c>
      <c r="G51" s="11">
        <v>5360</v>
      </c>
      <c r="H51" s="11">
        <v>3758</v>
      </c>
    </row>
    <row r="52" spans="1:8" x14ac:dyDescent="0.2">
      <c r="A52" s="11" t="s">
        <v>51</v>
      </c>
      <c r="B52" s="11">
        <v>99067</v>
      </c>
      <c r="C52" s="11">
        <v>258406</v>
      </c>
      <c r="D52" s="11">
        <v>221683</v>
      </c>
      <c r="E52" s="11">
        <v>143972</v>
      </c>
      <c r="F52" s="11">
        <v>144626</v>
      </c>
      <c r="G52" s="11">
        <v>126933</v>
      </c>
      <c r="H52" s="11">
        <v>91747</v>
      </c>
    </row>
    <row r="53" spans="1:8" x14ac:dyDescent="0.2">
      <c r="A53" s="11" t="s">
        <v>52</v>
      </c>
      <c r="B53" s="11">
        <v>3139</v>
      </c>
      <c r="C53" s="11">
        <v>5943</v>
      </c>
      <c r="D53" s="11">
        <v>6463</v>
      </c>
      <c r="E53" s="11">
        <v>6631</v>
      </c>
      <c r="F53" s="11">
        <v>9543</v>
      </c>
      <c r="G53" s="11">
        <v>9207</v>
      </c>
      <c r="H53" s="11">
        <v>6359</v>
      </c>
    </row>
    <row r="54" spans="1:8" x14ac:dyDescent="0.2">
      <c r="A54" s="11" t="s">
        <v>53</v>
      </c>
      <c r="B54" s="11">
        <v>742</v>
      </c>
      <c r="C54" s="11">
        <v>1266</v>
      </c>
      <c r="D54" s="11">
        <v>1476</v>
      </c>
      <c r="E54" s="11">
        <v>1496</v>
      </c>
      <c r="F54" s="11">
        <v>2046</v>
      </c>
      <c r="G54" s="11">
        <v>2217</v>
      </c>
      <c r="H54" s="11">
        <v>1767</v>
      </c>
    </row>
    <row r="55" spans="1:8" x14ac:dyDescent="0.2">
      <c r="A55" s="11" t="s">
        <v>54</v>
      </c>
      <c r="B55" s="11">
        <v>6882</v>
      </c>
      <c r="C55" s="11">
        <v>12475</v>
      </c>
      <c r="D55" s="11">
        <v>13848</v>
      </c>
      <c r="E55" s="11">
        <v>14208</v>
      </c>
      <c r="F55" s="11">
        <v>16619</v>
      </c>
      <c r="G55" s="11">
        <v>16118</v>
      </c>
      <c r="H55" s="11">
        <v>12233</v>
      </c>
    </row>
    <row r="56" spans="1:8" x14ac:dyDescent="0.2">
      <c r="A56" s="11" t="s">
        <v>55</v>
      </c>
      <c r="B56" s="11">
        <v>2244</v>
      </c>
      <c r="C56" s="11">
        <v>3202</v>
      </c>
      <c r="D56" s="11">
        <v>3462</v>
      </c>
      <c r="E56" s="11">
        <v>3441</v>
      </c>
      <c r="F56" s="11">
        <v>4151</v>
      </c>
      <c r="G56" s="11">
        <v>3966</v>
      </c>
      <c r="H56" s="11">
        <v>3386</v>
      </c>
    </row>
    <row r="57" spans="1:8" x14ac:dyDescent="0.2">
      <c r="A57" s="11" t="s">
        <v>56</v>
      </c>
      <c r="B57" s="11">
        <v>3259</v>
      </c>
      <c r="C57" s="11">
        <v>5984</v>
      </c>
      <c r="D57" s="11">
        <v>6761</v>
      </c>
      <c r="E57" s="11">
        <v>7069</v>
      </c>
      <c r="F57" s="11">
        <v>8570</v>
      </c>
      <c r="G57" s="11">
        <v>9381</v>
      </c>
      <c r="H57" s="11">
        <v>7497</v>
      </c>
    </row>
    <row r="58" spans="1:8" x14ac:dyDescent="0.2">
      <c r="A58" s="11" t="s">
        <v>57</v>
      </c>
      <c r="B58" s="11">
        <v>244</v>
      </c>
      <c r="C58" s="11">
        <v>409</v>
      </c>
      <c r="D58" s="11">
        <v>562</v>
      </c>
      <c r="E58" s="11">
        <v>559</v>
      </c>
      <c r="F58" s="11">
        <v>804</v>
      </c>
      <c r="G58" s="11">
        <v>1078</v>
      </c>
      <c r="H58" s="11">
        <v>793</v>
      </c>
    </row>
    <row r="59" spans="1:8" x14ac:dyDescent="0.2">
      <c r="A59" s="11" t="s">
        <v>58</v>
      </c>
      <c r="B59" s="11">
        <v>1880</v>
      </c>
      <c r="C59" s="11">
        <v>3631</v>
      </c>
      <c r="D59" s="11">
        <v>3976</v>
      </c>
      <c r="E59" s="11">
        <v>3692</v>
      </c>
      <c r="F59" s="11">
        <v>5042</v>
      </c>
      <c r="G59" s="11">
        <v>5337</v>
      </c>
      <c r="H59" s="11">
        <v>4201</v>
      </c>
    </row>
    <row r="60" spans="1:8" x14ac:dyDescent="0.2">
      <c r="A60" s="11" t="s">
        <v>59</v>
      </c>
      <c r="B60" s="11">
        <v>1881</v>
      </c>
      <c r="C60" s="11">
        <v>3274</v>
      </c>
      <c r="D60" s="11">
        <v>3919</v>
      </c>
      <c r="E60" s="11">
        <v>3745</v>
      </c>
      <c r="F60" s="11">
        <v>4753</v>
      </c>
      <c r="G60" s="11">
        <v>5064</v>
      </c>
      <c r="H60" s="11">
        <v>4150</v>
      </c>
    </row>
    <row r="61" spans="1:8" x14ac:dyDescent="0.2">
      <c r="A61" s="11" t="s">
        <v>60</v>
      </c>
      <c r="B61" s="11">
        <v>3650</v>
      </c>
      <c r="C61" s="11">
        <v>4045</v>
      </c>
      <c r="D61" s="11">
        <v>3646</v>
      </c>
      <c r="E61" s="11">
        <v>3457</v>
      </c>
      <c r="F61" s="11">
        <v>3993</v>
      </c>
      <c r="G61" s="11">
        <v>3886</v>
      </c>
      <c r="H61" s="11">
        <v>3744</v>
      </c>
    </row>
    <row r="62" spans="1:8" x14ac:dyDescent="0.2">
      <c r="A62" s="11" t="s">
        <v>61</v>
      </c>
      <c r="B62" s="11">
        <v>2215</v>
      </c>
      <c r="C62" s="11">
        <v>3930</v>
      </c>
      <c r="D62" s="11">
        <v>4665</v>
      </c>
      <c r="E62" s="11">
        <v>4780</v>
      </c>
      <c r="F62" s="11">
        <v>5694</v>
      </c>
      <c r="G62" s="11">
        <v>6584</v>
      </c>
      <c r="H62" s="11">
        <v>4931</v>
      </c>
    </row>
    <row r="63" spans="1:8" x14ac:dyDescent="0.2">
      <c r="A63" s="11" t="s">
        <v>62</v>
      </c>
      <c r="B63" s="11">
        <v>1731</v>
      </c>
      <c r="C63" s="11">
        <v>3058</v>
      </c>
      <c r="D63" s="11">
        <v>3616</v>
      </c>
      <c r="E63" s="11">
        <v>3509</v>
      </c>
      <c r="F63" s="11">
        <v>4679</v>
      </c>
      <c r="G63" s="11">
        <v>5012</v>
      </c>
      <c r="H63" s="11">
        <v>3811</v>
      </c>
    </row>
    <row r="64" spans="1:8" x14ac:dyDescent="0.2">
      <c r="A64" s="11" t="s">
        <v>63</v>
      </c>
      <c r="B64" s="11">
        <v>10415</v>
      </c>
      <c r="C64" s="11">
        <v>19631</v>
      </c>
      <c r="D64" s="11">
        <v>22473</v>
      </c>
      <c r="E64" s="11">
        <v>21250</v>
      </c>
      <c r="F64" s="11">
        <v>25044</v>
      </c>
      <c r="G64" s="11">
        <v>26083</v>
      </c>
      <c r="H64" s="11">
        <v>20033</v>
      </c>
    </row>
    <row r="65" spans="1:8" x14ac:dyDescent="0.2">
      <c r="A65" s="11" t="s">
        <v>64</v>
      </c>
      <c r="B65" s="11">
        <v>2204</v>
      </c>
      <c r="C65" s="11">
        <v>4561</v>
      </c>
      <c r="D65" s="11">
        <v>5029</v>
      </c>
      <c r="E65" s="11">
        <v>4905</v>
      </c>
      <c r="F65" s="11">
        <v>6906</v>
      </c>
      <c r="G65" s="11">
        <v>7418</v>
      </c>
      <c r="H65" s="11">
        <v>5620</v>
      </c>
    </row>
    <row r="66" spans="1:8" x14ac:dyDescent="0.2">
      <c r="A66" s="11" t="s">
        <v>65</v>
      </c>
      <c r="B66" s="11">
        <v>17441</v>
      </c>
      <c r="C66" s="11">
        <v>33101</v>
      </c>
      <c r="D66" s="11">
        <v>36369</v>
      </c>
      <c r="E66" s="11">
        <v>35128</v>
      </c>
      <c r="F66" s="11">
        <v>44147</v>
      </c>
      <c r="G66" s="11">
        <v>46562</v>
      </c>
      <c r="H66" s="11">
        <v>37965</v>
      </c>
    </row>
    <row r="67" spans="1:8" x14ac:dyDescent="0.2">
      <c r="A67" s="11" t="s">
        <v>66</v>
      </c>
      <c r="B67" s="11">
        <v>1354</v>
      </c>
      <c r="C67" s="11">
        <v>2479</v>
      </c>
      <c r="D67" s="11">
        <v>2702</v>
      </c>
      <c r="E67" s="11">
        <v>2697</v>
      </c>
      <c r="F67" s="11">
        <v>3240</v>
      </c>
      <c r="G67" s="11">
        <v>3345</v>
      </c>
      <c r="H67" s="11">
        <v>2643</v>
      </c>
    </row>
    <row r="68" spans="1:8" ht="13.5" thickBot="1" x14ac:dyDescent="0.25">
      <c r="A68" s="13" t="s">
        <v>67</v>
      </c>
      <c r="B68" s="13">
        <v>26652</v>
      </c>
      <c r="C68" s="13">
        <v>50336</v>
      </c>
      <c r="D68" s="13">
        <v>54671</v>
      </c>
      <c r="E68" s="13">
        <v>50204</v>
      </c>
      <c r="F68" s="13">
        <v>57055</v>
      </c>
      <c r="G68" s="13">
        <v>50444</v>
      </c>
      <c r="H68" s="13">
        <v>38124</v>
      </c>
    </row>
    <row r="69" spans="1:8" x14ac:dyDescent="0.2">
      <c r="A69" s="32" t="s">
        <v>68</v>
      </c>
      <c r="B69" s="32">
        <f>SUM(B2:B68)</f>
        <v>757140</v>
      </c>
      <c r="C69" s="32">
        <f t="shared" ref="C69:G69" si="0">SUM(C2:C68)</f>
        <v>1466545</v>
      </c>
      <c r="D69" s="32">
        <f t="shared" si="0"/>
        <v>1476582</v>
      </c>
      <c r="E69" s="32">
        <f t="shared" si="0"/>
        <v>1287490</v>
      </c>
      <c r="F69" s="32">
        <f t="shared" si="0"/>
        <v>1461065</v>
      </c>
      <c r="G69" s="32">
        <f t="shared" si="0"/>
        <v>1419640</v>
      </c>
      <c r="H69" s="32">
        <f>SUM(H2:H68)</f>
        <v>1107903</v>
      </c>
    </row>
    <row r="70" spans="1:8" x14ac:dyDescent="0.2">
      <c r="B70" s="17">
        <f t="shared" ref="B70:H70" si="1">B69/$B$72</f>
        <v>8.4348174344514734E-2</v>
      </c>
      <c r="C70" s="17">
        <f>C69/$B$72</f>
        <v>0.16337849452423114</v>
      </c>
      <c r="D70" s="17">
        <f>D69/$B$72</f>
        <v>0.16449665315525827</v>
      </c>
      <c r="E70" s="17">
        <f t="shared" si="1"/>
        <v>0.14343111047734802</v>
      </c>
      <c r="F70" s="17">
        <f t="shared" si="1"/>
        <v>0.16276800241523157</v>
      </c>
      <c r="G70" s="17">
        <f t="shared" si="1"/>
        <v>0.15815310540513894</v>
      </c>
      <c r="H70" s="17">
        <f t="shared" si="1"/>
        <v>0.12342445967827734</v>
      </c>
    </row>
    <row r="72" spans="1:8" x14ac:dyDescent="0.2">
      <c r="A72" s="32" t="s">
        <v>80</v>
      </c>
      <c r="B72" s="16">
        <f>SUM(B69:H69)</f>
        <v>8976365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50" activePane="bottomRight" state="frozen"/>
      <selection pane="topRight" activeCell="C1" sqref="C1"/>
      <selection pane="bottomLeft" activeCell="A2" sqref="A2"/>
      <selection pane="bottomRight" activeCell="M15" sqref="M15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</v>
      </c>
      <c r="B2" s="10" t="s">
        <v>0</v>
      </c>
      <c r="C2" s="11">
        <v>1953</v>
      </c>
      <c r="D2" s="11">
        <v>2772</v>
      </c>
      <c r="E2" s="11">
        <v>2343</v>
      </c>
      <c r="F2" s="11">
        <v>2119</v>
      </c>
      <c r="G2" s="11">
        <v>2658</v>
      </c>
      <c r="H2" s="11">
        <v>3788</v>
      </c>
      <c r="I2" s="11">
        <v>3533</v>
      </c>
    </row>
    <row r="3" spans="1:9" x14ac:dyDescent="0.2">
      <c r="A3" s="11" t="s">
        <v>2</v>
      </c>
      <c r="B3" s="10" t="s">
        <v>0</v>
      </c>
      <c r="C3" s="11">
        <v>41606</v>
      </c>
      <c r="D3" s="11">
        <v>94530</v>
      </c>
      <c r="E3" s="11">
        <v>89442</v>
      </c>
      <c r="F3" s="11">
        <v>64338</v>
      </c>
      <c r="G3" s="11">
        <v>67373</v>
      </c>
      <c r="H3" s="11">
        <v>79990</v>
      </c>
      <c r="I3" s="11">
        <v>65716</v>
      </c>
    </row>
    <row r="4" spans="1:9" x14ac:dyDescent="0.2">
      <c r="A4" s="11" t="s">
        <v>3</v>
      </c>
      <c r="B4" s="10" t="s">
        <v>0</v>
      </c>
      <c r="C4" s="11">
        <v>613</v>
      </c>
      <c r="D4" s="11">
        <v>1099</v>
      </c>
      <c r="E4" s="11">
        <v>1197</v>
      </c>
      <c r="F4" s="11">
        <v>1268</v>
      </c>
      <c r="G4" s="11">
        <v>1751</v>
      </c>
      <c r="H4" s="11">
        <v>2539</v>
      </c>
      <c r="I4" s="11">
        <v>2185</v>
      </c>
    </row>
    <row r="5" spans="1:9" x14ac:dyDescent="0.2">
      <c r="A5" s="11" t="s">
        <v>4</v>
      </c>
      <c r="B5" s="10" t="s">
        <v>0</v>
      </c>
      <c r="C5" s="11">
        <v>2523</v>
      </c>
      <c r="D5" s="11">
        <v>5671</v>
      </c>
      <c r="E5" s="11">
        <v>6408</v>
      </c>
      <c r="F5" s="11">
        <v>5903</v>
      </c>
      <c r="G5" s="11">
        <v>7328</v>
      </c>
      <c r="H5" s="11">
        <v>9830</v>
      </c>
      <c r="I5" s="11">
        <v>8056</v>
      </c>
    </row>
    <row r="6" spans="1:9" x14ac:dyDescent="0.2">
      <c r="A6" s="11" t="s">
        <v>5</v>
      </c>
      <c r="B6" s="10" t="s">
        <v>0</v>
      </c>
      <c r="C6" s="11">
        <v>304</v>
      </c>
      <c r="D6" s="11">
        <v>522</v>
      </c>
      <c r="E6" s="11">
        <v>584</v>
      </c>
      <c r="F6" s="11">
        <v>622</v>
      </c>
      <c r="G6" s="11">
        <v>857</v>
      </c>
      <c r="H6" s="11">
        <v>1186</v>
      </c>
      <c r="I6" s="11">
        <v>1190</v>
      </c>
    </row>
    <row r="7" spans="1:9" x14ac:dyDescent="0.2">
      <c r="A7" s="11" t="s">
        <v>6</v>
      </c>
      <c r="B7" s="10" t="s">
        <v>0</v>
      </c>
      <c r="C7" s="11">
        <v>8531</v>
      </c>
      <c r="D7" s="11">
        <v>15760</v>
      </c>
      <c r="E7" s="11">
        <v>16354</v>
      </c>
      <c r="F7" s="11">
        <v>14886</v>
      </c>
      <c r="G7" s="11">
        <v>16870</v>
      </c>
      <c r="H7" s="11">
        <v>17317</v>
      </c>
      <c r="I7" s="11">
        <v>14539</v>
      </c>
    </row>
    <row r="8" spans="1:9" x14ac:dyDescent="0.2">
      <c r="A8" s="11" t="s">
        <v>7</v>
      </c>
      <c r="B8" s="10" t="s">
        <v>0</v>
      </c>
      <c r="C8" s="11">
        <v>1530</v>
      </c>
      <c r="D8" s="11">
        <v>3035</v>
      </c>
      <c r="E8" s="11">
        <v>3129</v>
      </c>
      <c r="F8" s="11">
        <v>2566</v>
      </c>
      <c r="G8" s="11">
        <v>2726</v>
      </c>
      <c r="H8" s="11">
        <v>3535</v>
      </c>
      <c r="I8" s="11">
        <v>3269</v>
      </c>
    </row>
    <row r="9" spans="1:9" x14ac:dyDescent="0.2">
      <c r="A9" s="11" t="s">
        <v>8</v>
      </c>
      <c r="B9" s="10" t="s">
        <v>0</v>
      </c>
      <c r="C9" s="11">
        <v>513</v>
      </c>
      <c r="D9" s="11">
        <v>1059</v>
      </c>
      <c r="E9" s="11">
        <v>1070</v>
      </c>
      <c r="F9" s="11">
        <v>908</v>
      </c>
      <c r="G9" s="11">
        <v>1174</v>
      </c>
      <c r="H9" s="11">
        <v>1597</v>
      </c>
      <c r="I9" s="11">
        <v>1495</v>
      </c>
    </row>
    <row r="10" spans="1:9" x14ac:dyDescent="0.2">
      <c r="A10" s="11" t="s">
        <v>9</v>
      </c>
      <c r="B10" s="10" t="s">
        <v>0</v>
      </c>
      <c r="C10" s="11">
        <v>15657</v>
      </c>
      <c r="D10" s="11">
        <v>28181</v>
      </c>
      <c r="E10" s="11">
        <v>30079</v>
      </c>
      <c r="F10" s="11">
        <v>27142</v>
      </c>
      <c r="G10" s="11">
        <v>31127</v>
      </c>
      <c r="H10" s="11">
        <v>34569</v>
      </c>
      <c r="I10" s="11">
        <v>27145</v>
      </c>
    </row>
    <row r="11" spans="1:9" x14ac:dyDescent="0.2">
      <c r="A11" s="11" t="s">
        <v>10</v>
      </c>
      <c r="B11" s="10" t="s">
        <v>0</v>
      </c>
      <c r="C11" s="11">
        <v>2983</v>
      </c>
      <c r="D11" s="11">
        <v>5319</v>
      </c>
      <c r="E11" s="11">
        <v>5933</v>
      </c>
      <c r="F11" s="11">
        <v>5028</v>
      </c>
      <c r="G11" s="11">
        <v>5762</v>
      </c>
      <c r="H11" s="11">
        <v>7539</v>
      </c>
      <c r="I11" s="11">
        <v>6623</v>
      </c>
    </row>
    <row r="12" spans="1:9" x14ac:dyDescent="0.2">
      <c r="A12" s="11" t="s">
        <v>11</v>
      </c>
      <c r="B12" s="10" t="s">
        <v>0</v>
      </c>
      <c r="C12" s="11">
        <v>1722</v>
      </c>
      <c r="D12" s="11">
        <v>3336</v>
      </c>
      <c r="E12" s="11">
        <v>3682</v>
      </c>
      <c r="F12" s="11">
        <v>3702</v>
      </c>
      <c r="G12" s="11">
        <v>4638</v>
      </c>
      <c r="H12" s="11">
        <v>6613</v>
      </c>
      <c r="I12" s="11">
        <v>5698</v>
      </c>
    </row>
    <row r="13" spans="1:9" x14ac:dyDescent="0.2">
      <c r="A13" s="11" t="s">
        <v>12</v>
      </c>
      <c r="B13" s="10" t="s">
        <v>0</v>
      </c>
      <c r="C13" s="11">
        <v>33</v>
      </c>
      <c r="D13" s="11">
        <v>67</v>
      </c>
      <c r="E13" s="11">
        <v>78</v>
      </c>
      <c r="F13" s="11">
        <v>60</v>
      </c>
      <c r="G13" s="11">
        <v>109</v>
      </c>
      <c r="H13" s="11">
        <v>173</v>
      </c>
      <c r="I13" s="11">
        <v>145</v>
      </c>
    </row>
    <row r="14" spans="1:9" x14ac:dyDescent="0.2">
      <c r="A14" s="11" t="s">
        <v>13</v>
      </c>
      <c r="B14" s="10" t="s">
        <v>0</v>
      </c>
      <c r="C14" s="11">
        <v>873</v>
      </c>
      <c r="D14" s="11">
        <v>1772</v>
      </c>
      <c r="E14" s="11">
        <v>1944</v>
      </c>
      <c r="F14" s="11">
        <v>1926</v>
      </c>
      <c r="G14" s="11">
        <v>2406</v>
      </c>
      <c r="H14" s="11">
        <v>2874</v>
      </c>
      <c r="I14" s="11">
        <v>2285</v>
      </c>
    </row>
    <row r="15" spans="1:9" x14ac:dyDescent="0.2">
      <c r="A15" s="11" t="s">
        <v>14</v>
      </c>
      <c r="B15" s="10" t="s">
        <v>0</v>
      </c>
      <c r="C15" s="11">
        <v>7670</v>
      </c>
      <c r="D15" s="11">
        <v>9074</v>
      </c>
      <c r="E15" s="11">
        <v>5728</v>
      </c>
      <c r="F15" s="11">
        <v>4636</v>
      </c>
      <c r="G15" s="11">
        <v>4498</v>
      </c>
      <c r="H15" s="11">
        <v>5096</v>
      </c>
      <c r="I15" s="11">
        <v>4675</v>
      </c>
    </row>
    <row r="16" spans="1:9" x14ac:dyDescent="0.2">
      <c r="A16" s="11" t="s">
        <v>15</v>
      </c>
      <c r="B16" s="10" t="s">
        <v>0</v>
      </c>
      <c r="C16" s="11">
        <v>16526</v>
      </c>
      <c r="D16" s="11">
        <v>27285</v>
      </c>
      <c r="E16" s="11">
        <v>26330</v>
      </c>
      <c r="F16" s="11">
        <v>23409</v>
      </c>
      <c r="G16" s="11">
        <v>24046</v>
      </c>
      <c r="H16" s="11">
        <v>24411</v>
      </c>
      <c r="I16" s="11">
        <v>18788</v>
      </c>
    </row>
    <row r="17" spans="1:9" x14ac:dyDescent="0.2">
      <c r="A17" s="11" t="s">
        <v>16</v>
      </c>
      <c r="B17" s="10" t="s">
        <v>0</v>
      </c>
      <c r="C17" s="11">
        <v>296</v>
      </c>
      <c r="D17" s="11">
        <v>634</v>
      </c>
      <c r="E17" s="11">
        <v>597</v>
      </c>
      <c r="F17" s="11">
        <v>592</v>
      </c>
      <c r="G17" s="11">
        <v>728</v>
      </c>
      <c r="H17" s="11">
        <v>1153</v>
      </c>
      <c r="I17" s="11">
        <v>1049</v>
      </c>
    </row>
    <row r="18" spans="1:9" x14ac:dyDescent="0.2">
      <c r="A18" s="11" t="s">
        <v>17</v>
      </c>
      <c r="B18" s="10" t="s">
        <v>0</v>
      </c>
      <c r="C18" s="11">
        <v>688</v>
      </c>
      <c r="D18" s="11">
        <v>1355</v>
      </c>
      <c r="E18" s="11">
        <v>1468</v>
      </c>
      <c r="F18" s="11">
        <v>1517</v>
      </c>
      <c r="G18" s="11">
        <v>1952</v>
      </c>
      <c r="H18" s="11">
        <v>2558</v>
      </c>
      <c r="I18" s="11">
        <v>2474</v>
      </c>
    </row>
    <row r="19" spans="1:9" x14ac:dyDescent="0.2">
      <c r="A19" s="11" t="s">
        <v>18</v>
      </c>
      <c r="B19" s="10" t="s">
        <v>0</v>
      </c>
      <c r="C19" s="11">
        <v>385</v>
      </c>
      <c r="D19" s="11">
        <v>854</v>
      </c>
      <c r="E19" s="11">
        <v>777</v>
      </c>
      <c r="F19" s="11">
        <v>752</v>
      </c>
      <c r="G19" s="11">
        <v>905</v>
      </c>
      <c r="H19" s="11">
        <v>1273</v>
      </c>
      <c r="I19" s="11">
        <v>1120</v>
      </c>
    </row>
    <row r="20" spans="1:9" x14ac:dyDescent="0.2">
      <c r="A20" s="11" t="s">
        <v>19</v>
      </c>
      <c r="B20" s="10" t="s">
        <v>0</v>
      </c>
      <c r="C20" s="11">
        <v>1188</v>
      </c>
      <c r="D20" s="11">
        <v>1731</v>
      </c>
      <c r="E20" s="11">
        <v>1673</v>
      </c>
      <c r="F20" s="11">
        <v>1472</v>
      </c>
      <c r="G20" s="11">
        <v>1604</v>
      </c>
      <c r="H20" s="11">
        <v>2201</v>
      </c>
      <c r="I20" s="11">
        <v>1900</v>
      </c>
    </row>
    <row r="21" spans="1:9" x14ac:dyDescent="0.2">
      <c r="A21" s="11" t="s">
        <v>20</v>
      </c>
      <c r="B21" s="10" t="s">
        <v>0</v>
      </c>
      <c r="C21" s="11">
        <v>1017</v>
      </c>
      <c r="D21" s="11">
        <v>1821</v>
      </c>
      <c r="E21" s="11">
        <v>1751</v>
      </c>
      <c r="F21" s="11">
        <v>1744</v>
      </c>
      <c r="G21" s="11">
        <v>2149</v>
      </c>
      <c r="H21" s="11">
        <v>3039</v>
      </c>
      <c r="I21" s="11">
        <v>2871</v>
      </c>
    </row>
    <row r="22" spans="1:9" x14ac:dyDescent="0.2">
      <c r="A22" s="11" t="s">
        <v>21</v>
      </c>
      <c r="B22" s="10" t="s">
        <v>0</v>
      </c>
      <c r="C22" s="11">
        <v>6259</v>
      </c>
      <c r="D22" s="11">
        <v>10347</v>
      </c>
      <c r="E22" s="11">
        <v>10887</v>
      </c>
      <c r="F22" s="11">
        <v>8723</v>
      </c>
      <c r="G22" s="11">
        <v>8007</v>
      </c>
      <c r="H22" s="11">
        <v>9059</v>
      </c>
      <c r="I22" s="11">
        <v>8325</v>
      </c>
    </row>
    <row r="23" spans="1:9" x14ac:dyDescent="0.2">
      <c r="A23" s="11" t="s">
        <v>22</v>
      </c>
      <c r="B23" s="10" t="s">
        <v>0</v>
      </c>
      <c r="C23" s="11">
        <v>7389</v>
      </c>
      <c r="D23" s="11">
        <v>15655</v>
      </c>
      <c r="E23" s="11">
        <v>15274</v>
      </c>
      <c r="F23" s="11">
        <v>12867</v>
      </c>
      <c r="G23" s="11">
        <v>13011</v>
      </c>
      <c r="H23" s="11">
        <v>13152</v>
      </c>
      <c r="I23" s="11">
        <v>9135</v>
      </c>
    </row>
    <row r="24" spans="1:9" x14ac:dyDescent="0.2">
      <c r="A24" s="11" t="s">
        <v>23</v>
      </c>
      <c r="B24" s="10" t="s">
        <v>0</v>
      </c>
      <c r="C24" s="11">
        <v>19163</v>
      </c>
      <c r="D24" s="11">
        <v>34937</v>
      </c>
      <c r="E24" s="11">
        <v>38732</v>
      </c>
      <c r="F24" s="11">
        <v>30567</v>
      </c>
      <c r="G24" s="11">
        <v>29417</v>
      </c>
      <c r="H24" s="11">
        <v>29041</v>
      </c>
      <c r="I24" s="11">
        <v>20818</v>
      </c>
    </row>
    <row r="25" spans="1:9" x14ac:dyDescent="0.2">
      <c r="A25" s="11" t="s">
        <v>24</v>
      </c>
      <c r="B25" s="10" t="s">
        <v>0</v>
      </c>
      <c r="C25" s="11">
        <v>326</v>
      </c>
      <c r="D25" s="11">
        <v>598</v>
      </c>
      <c r="E25" s="11">
        <v>653</v>
      </c>
      <c r="F25" s="11">
        <v>646</v>
      </c>
      <c r="G25" s="11">
        <v>1002</v>
      </c>
      <c r="H25" s="11">
        <v>1326</v>
      </c>
      <c r="I25" s="11">
        <v>1231</v>
      </c>
    </row>
    <row r="26" spans="1:9" x14ac:dyDescent="0.2">
      <c r="A26" s="11" t="s">
        <v>25</v>
      </c>
      <c r="B26" s="10" t="s">
        <v>0</v>
      </c>
      <c r="C26" s="11">
        <v>5472</v>
      </c>
      <c r="D26" s="11">
        <v>11270</v>
      </c>
      <c r="E26" s="11">
        <v>11167</v>
      </c>
      <c r="F26" s="11">
        <v>10136</v>
      </c>
      <c r="G26" s="11">
        <v>11711</v>
      </c>
      <c r="H26" s="11">
        <v>14854</v>
      </c>
      <c r="I26" s="11">
        <v>11856</v>
      </c>
    </row>
    <row r="27" spans="1:9" x14ac:dyDescent="0.2">
      <c r="A27" s="11" t="s">
        <v>26</v>
      </c>
      <c r="B27" s="10" t="s">
        <v>0</v>
      </c>
      <c r="C27" s="11">
        <v>1344</v>
      </c>
      <c r="D27" s="11">
        <v>2925</v>
      </c>
      <c r="E27" s="11">
        <v>3485</v>
      </c>
      <c r="F27" s="11">
        <v>3841</v>
      </c>
      <c r="G27" s="11">
        <v>5033</v>
      </c>
      <c r="H27" s="11">
        <v>6857</v>
      </c>
      <c r="I27" s="11">
        <v>5983</v>
      </c>
    </row>
    <row r="28" spans="1:9" x14ac:dyDescent="0.2">
      <c r="A28" s="11" t="s">
        <v>27</v>
      </c>
      <c r="B28" s="10" t="s">
        <v>0</v>
      </c>
      <c r="C28" s="11">
        <v>16</v>
      </c>
      <c r="D28" s="11">
        <v>47</v>
      </c>
      <c r="E28" s="11">
        <v>58</v>
      </c>
      <c r="F28" s="11">
        <v>67</v>
      </c>
      <c r="G28" s="11">
        <v>146</v>
      </c>
      <c r="H28" s="11">
        <v>243</v>
      </c>
      <c r="I28" s="11">
        <v>201</v>
      </c>
    </row>
    <row r="29" spans="1:9" x14ac:dyDescent="0.2">
      <c r="A29" s="11" t="s">
        <v>28</v>
      </c>
      <c r="B29" s="10" t="s">
        <v>0</v>
      </c>
      <c r="C29" s="11">
        <v>2022</v>
      </c>
      <c r="D29" s="11">
        <v>3686</v>
      </c>
      <c r="E29" s="11">
        <v>3454</v>
      </c>
      <c r="F29" s="11">
        <v>3104</v>
      </c>
      <c r="G29" s="11">
        <v>3226</v>
      </c>
      <c r="H29" s="11">
        <v>3962</v>
      </c>
      <c r="I29" s="11">
        <v>4019</v>
      </c>
    </row>
    <row r="30" spans="1:9" x14ac:dyDescent="0.2">
      <c r="A30" s="11" t="s">
        <v>29</v>
      </c>
      <c r="B30" s="10" t="s">
        <v>0</v>
      </c>
      <c r="C30" s="11">
        <v>83</v>
      </c>
      <c r="D30" s="11">
        <v>139</v>
      </c>
      <c r="E30" s="11">
        <v>158</v>
      </c>
      <c r="F30" s="11">
        <v>176</v>
      </c>
      <c r="G30" s="11">
        <v>244</v>
      </c>
      <c r="H30" s="11">
        <v>286</v>
      </c>
      <c r="I30" s="11">
        <v>385</v>
      </c>
    </row>
    <row r="31" spans="1:9" x14ac:dyDescent="0.2">
      <c r="A31" s="11" t="s">
        <v>30</v>
      </c>
      <c r="B31" s="10" t="s">
        <v>0</v>
      </c>
      <c r="C31" s="11">
        <v>301</v>
      </c>
      <c r="D31" s="11">
        <v>670</v>
      </c>
      <c r="E31" s="11">
        <v>822</v>
      </c>
      <c r="F31" s="11">
        <v>943</v>
      </c>
      <c r="G31" s="11">
        <v>1282</v>
      </c>
      <c r="H31" s="11">
        <v>1821</v>
      </c>
      <c r="I31" s="11">
        <v>1534</v>
      </c>
    </row>
    <row r="32" spans="1:9" x14ac:dyDescent="0.2">
      <c r="A32" s="11" t="s">
        <v>31</v>
      </c>
      <c r="B32" s="10" t="s">
        <v>0</v>
      </c>
      <c r="C32" s="11">
        <v>594</v>
      </c>
      <c r="D32" s="11">
        <v>850</v>
      </c>
      <c r="E32" s="11">
        <v>607</v>
      </c>
      <c r="F32" s="11">
        <v>711</v>
      </c>
      <c r="G32" s="11">
        <v>861</v>
      </c>
      <c r="H32" s="11">
        <v>1213</v>
      </c>
      <c r="I32" s="11">
        <v>1176</v>
      </c>
    </row>
    <row r="33" spans="1:9" x14ac:dyDescent="0.2">
      <c r="A33" s="11" t="s">
        <v>32</v>
      </c>
      <c r="B33" s="10" t="s">
        <v>0</v>
      </c>
      <c r="C33" s="11">
        <v>1289</v>
      </c>
      <c r="D33" s="11">
        <v>1819</v>
      </c>
      <c r="E33" s="11">
        <v>1529</v>
      </c>
      <c r="F33" s="11">
        <v>1514</v>
      </c>
      <c r="G33" s="11">
        <v>2076</v>
      </c>
      <c r="H33" s="11">
        <v>3013</v>
      </c>
      <c r="I33" s="11">
        <v>2667</v>
      </c>
    </row>
    <row r="34" spans="1:9" x14ac:dyDescent="0.2">
      <c r="A34" s="11" t="s">
        <v>33</v>
      </c>
      <c r="B34" s="10" t="s">
        <v>0</v>
      </c>
      <c r="C34" s="11">
        <v>348</v>
      </c>
      <c r="D34" s="11">
        <v>623</v>
      </c>
      <c r="E34" s="11">
        <v>663</v>
      </c>
      <c r="F34" s="11">
        <v>662</v>
      </c>
      <c r="G34" s="11">
        <v>793</v>
      </c>
      <c r="H34" s="11">
        <v>1264</v>
      </c>
      <c r="I34" s="11">
        <v>1076</v>
      </c>
    </row>
    <row r="35" spans="1:9" x14ac:dyDescent="0.2">
      <c r="A35" s="11" t="s">
        <v>34</v>
      </c>
      <c r="B35" s="10" t="s">
        <v>0</v>
      </c>
      <c r="C35" s="11">
        <v>138</v>
      </c>
      <c r="D35" s="11">
        <v>243</v>
      </c>
      <c r="E35" s="11">
        <v>298</v>
      </c>
      <c r="F35" s="11">
        <v>321</v>
      </c>
      <c r="G35" s="11">
        <v>408</v>
      </c>
      <c r="H35" s="11">
        <v>600</v>
      </c>
      <c r="I35" s="11">
        <v>529</v>
      </c>
    </row>
    <row r="36" spans="1:9" x14ac:dyDescent="0.2">
      <c r="A36" s="11" t="s">
        <v>35</v>
      </c>
      <c r="B36" s="10" t="s">
        <v>0</v>
      </c>
      <c r="C36" s="11">
        <v>5212</v>
      </c>
      <c r="D36" s="11">
        <v>10582</v>
      </c>
      <c r="E36" s="11">
        <v>11758</v>
      </c>
      <c r="F36" s="11">
        <v>10258</v>
      </c>
      <c r="G36" s="11">
        <v>12572</v>
      </c>
      <c r="H36" s="11">
        <v>14040</v>
      </c>
      <c r="I36" s="11">
        <v>12229</v>
      </c>
    </row>
    <row r="37" spans="1:9" x14ac:dyDescent="0.2">
      <c r="A37" s="11" t="s">
        <v>36</v>
      </c>
      <c r="B37" s="10" t="s">
        <v>0</v>
      </c>
      <c r="C37" s="11">
        <v>9753</v>
      </c>
      <c r="D37" s="11">
        <v>20081</v>
      </c>
      <c r="E37" s="11">
        <v>19643</v>
      </c>
      <c r="F37" s="11">
        <v>15285</v>
      </c>
      <c r="G37" s="11">
        <v>15283</v>
      </c>
      <c r="H37" s="11">
        <v>17456</v>
      </c>
      <c r="I37" s="11">
        <v>15425</v>
      </c>
    </row>
    <row r="38" spans="1:9" x14ac:dyDescent="0.2">
      <c r="A38" s="11" t="s">
        <v>37</v>
      </c>
      <c r="B38" s="10" t="s">
        <v>0</v>
      </c>
      <c r="C38" s="11">
        <v>1154</v>
      </c>
      <c r="D38" s="11">
        <v>2392</v>
      </c>
      <c r="E38" s="11">
        <v>2485</v>
      </c>
      <c r="F38" s="11">
        <v>2467</v>
      </c>
      <c r="G38" s="11">
        <v>3256</v>
      </c>
      <c r="H38" s="11">
        <v>4185</v>
      </c>
      <c r="I38" s="11">
        <v>3738</v>
      </c>
    </row>
    <row r="39" spans="1:9" x14ac:dyDescent="0.2">
      <c r="A39" s="11" t="s">
        <v>38</v>
      </c>
      <c r="B39" s="10" t="s">
        <v>0</v>
      </c>
      <c r="C39" s="11">
        <v>2087</v>
      </c>
      <c r="D39" s="11">
        <v>3729</v>
      </c>
      <c r="E39" s="11">
        <v>4040</v>
      </c>
      <c r="F39" s="11">
        <v>3657</v>
      </c>
      <c r="G39" s="11">
        <v>3848</v>
      </c>
      <c r="H39" s="11">
        <v>4242</v>
      </c>
      <c r="I39" s="11">
        <v>3839</v>
      </c>
    </row>
    <row r="40" spans="1:9" x14ac:dyDescent="0.2">
      <c r="A40" s="11" t="s">
        <v>39</v>
      </c>
      <c r="B40" s="10" t="s">
        <v>0</v>
      </c>
      <c r="C40" s="11">
        <v>9225</v>
      </c>
      <c r="D40" s="11">
        <v>18311</v>
      </c>
      <c r="E40" s="11">
        <v>18672</v>
      </c>
      <c r="F40" s="11">
        <v>16729</v>
      </c>
      <c r="G40" s="11">
        <v>17021</v>
      </c>
      <c r="H40" s="11">
        <v>17446</v>
      </c>
      <c r="I40" s="11">
        <v>14088</v>
      </c>
    </row>
    <row r="41" spans="1:9" x14ac:dyDescent="0.2">
      <c r="A41" s="11" t="s">
        <v>40</v>
      </c>
      <c r="B41" s="10" t="s">
        <v>0</v>
      </c>
      <c r="C41" s="11">
        <v>5986</v>
      </c>
      <c r="D41" s="11">
        <v>12216</v>
      </c>
      <c r="E41" s="11">
        <v>13242</v>
      </c>
      <c r="F41" s="11">
        <v>11954</v>
      </c>
      <c r="G41" s="11">
        <v>13766</v>
      </c>
      <c r="H41" s="11">
        <v>15028</v>
      </c>
      <c r="I41" s="11">
        <v>12881</v>
      </c>
    </row>
    <row r="42" spans="1:9" x14ac:dyDescent="0.2">
      <c r="A42" s="11" t="s">
        <v>41</v>
      </c>
      <c r="B42" s="10" t="s">
        <v>0</v>
      </c>
      <c r="C42" s="11">
        <v>1425</v>
      </c>
      <c r="D42" s="11">
        <v>2900</v>
      </c>
      <c r="E42" s="11">
        <v>2826</v>
      </c>
      <c r="F42" s="11">
        <v>2338</v>
      </c>
      <c r="G42" s="11">
        <v>2591</v>
      </c>
      <c r="H42" s="11">
        <v>3369</v>
      </c>
      <c r="I42" s="11">
        <v>2754</v>
      </c>
    </row>
    <row r="43" spans="1:9" x14ac:dyDescent="0.2">
      <c r="A43" s="11" t="s">
        <v>42</v>
      </c>
      <c r="B43" s="10" t="s">
        <v>0</v>
      </c>
      <c r="C43" s="11">
        <v>356</v>
      </c>
      <c r="D43" s="11">
        <v>730</v>
      </c>
      <c r="E43" s="11">
        <v>693</v>
      </c>
      <c r="F43" s="11">
        <v>647</v>
      </c>
      <c r="G43" s="11">
        <v>780</v>
      </c>
      <c r="H43" s="11">
        <v>1119</v>
      </c>
      <c r="I43" s="11">
        <v>962</v>
      </c>
    </row>
    <row r="44" spans="1:9" x14ac:dyDescent="0.2">
      <c r="A44" s="11" t="s">
        <v>43</v>
      </c>
      <c r="B44" s="10" t="s">
        <v>0</v>
      </c>
      <c r="C44" s="11">
        <v>1382</v>
      </c>
      <c r="D44" s="11">
        <v>2670</v>
      </c>
      <c r="E44" s="11">
        <v>2954</v>
      </c>
      <c r="F44" s="11">
        <v>2761</v>
      </c>
      <c r="G44" s="11">
        <v>3681</v>
      </c>
      <c r="H44" s="11">
        <v>5237</v>
      </c>
      <c r="I44" s="11">
        <v>4428</v>
      </c>
    </row>
    <row r="45" spans="1:9" x14ac:dyDescent="0.2">
      <c r="A45" s="11" t="s">
        <v>44</v>
      </c>
      <c r="B45" s="10" t="s">
        <v>0</v>
      </c>
      <c r="C45" s="11">
        <v>308</v>
      </c>
      <c r="D45" s="11">
        <v>695</v>
      </c>
      <c r="E45" s="11">
        <v>754</v>
      </c>
      <c r="F45" s="11">
        <v>697</v>
      </c>
      <c r="G45" s="11">
        <v>797</v>
      </c>
      <c r="H45" s="11">
        <v>1022</v>
      </c>
      <c r="I45" s="11">
        <v>1099</v>
      </c>
    </row>
    <row r="46" spans="1:9" x14ac:dyDescent="0.2">
      <c r="A46" s="11" t="s">
        <v>45</v>
      </c>
      <c r="B46" s="10" t="s">
        <v>0</v>
      </c>
      <c r="C46" s="11">
        <v>4102</v>
      </c>
      <c r="D46" s="11">
        <v>7344</v>
      </c>
      <c r="E46" s="11">
        <v>6728</v>
      </c>
      <c r="F46" s="11">
        <v>6918</v>
      </c>
      <c r="G46" s="11">
        <v>9104</v>
      </c>
      <c r="H46" s="11">
        <v>8768</v>
      </c>
      <c r="I46" s="11">
        <v>5538</v>
      </c>
    </row>
    <row r="47" spans="1:9" x14ac:dyDescent="0.2">
      <c r="A47" s="11" t="s">
        <v>46</v>
      </c>
      <c r="B47" s="10" t="s">
        <v>0</v>
      </c>
      <c r="C47" s="11">
        <v>26838</v>
      </c>
      <c r="D47" s="11">
        <v>49139</v>
      </c>
      <c r="E47" s="11">
        <v>54006</v>
      </c>
      <c r="F47" s="11">
        <v>45571</v>
      </c>
      <c r="G47" s="11">
        <v>44616</v>
      </c>
      <c r="H47" s="11">
        <v>46410</v>
      </c>
      <c r="I47" s="11">
        <v>38711</v>
      </c>
    </row>
    <row r="48" spans="1:9" x14ac:dyDescent="0.2">
      <c r="A48" s="11" t="s">
        <v>47</v>
      </c>
      <c r="B48" s="10" t="s">
        <v>0</v>
      </c>
      <c r="C48" s="11">
        <v>240</v>
      </c>
      <c r="D48" s="11">
        <v>592</v>
      </c>
      <c r="E48" s="11">
        <v>628</v>
      </c>
      <c r="F48" s="11">
        <v>446</v>
      </c>
      <c r="G48" s="11">
        <v>507</v>
      </c>
      <c r="H48" s="11">
        <v>712</v>
      </c>
      <c r="I48" s="11">
        <v>646</v>
      </c>
    </row>
    <row r="49" spans="1:9" x14ac:dyDescent="0.2">
      <c r="A49" s="11" t="s">
        <v>48</v>
      </c>
      <c r="B49" s="10" t="s">
        <v>0</v>
      </c>
      <c r="C49" s="11">
        <v>9911</v>
      </c>
      <c r="D49" s="11">
        <v>15204</v>
      </c>
      <c r="E49" s="11">
        <v>14365</v>
      </c>
      <c r="F49" s="11">
        <v>12971</v>
      </c>
      <c r="G49" s="11">
        <v>14270</v>
      </c>
      <c r="H49" s="11">
        <v>15785</v>
      </c>
      <c r="I49" s="11">
        <v>13457</v>
      </c>
    </row>
    <row r="50" spans="1:9" x14ac:dyDescent="0.2">
      <c r="A50" s="11" t="s">
        <v>49</v>
      </c>
      <c r="B50" s="10" t="s">
        <v>0</v>
      </c>
      <c r="C50" s="11">
        <v>862</v>
      </c>
      <c r="D50" s="11">
        <v>1907</v>
      </c>
      <c r="E50" s="11">
        <v>2215</v>
      </c>
      <c r="F50" s="11">
        <v>2073</v>
      </c>
      <c r="G50" s="11">
        <v>2368</v>
      </c>
      <c r="H50" s="11">
        <v>3176</v>
      </c>
      <c r="I50" s="11">
        <v>2740</v>
      </c>
    </row>
    <row r="51" spans="1:9" x14ac:dyDescent="0.2">
      <c r="A51" s="11" t="s">
        <v>50</v>
      </c>
      <c r="B51" s="10" t="s">
        <v>0</v>
      </c>
      <c r="C51" s="11">
        <v>472</v>
      </c>
      <c r="D51" s="11">
        <v>819</v>
      </c>
      <c r="E51" s="11">
        <v>897</v>
      </c>
      <c r="F51" s="11">
        <v>835</v>
      </c>
      <c r="G51" s="11">
        <v>954</v>
      </c>
      <c r="H51" s="11">
        <v>1105</v>
      </c>
      <c r="I51" s="11">
        <v>945</v>
      </c>
    </row>
    <row r="52" spans="1:9" x14ac:dyDescent="0.2">
      <c r="A52" s="11" t="s">
        <v>51</v>
      </c>
      <c r="B52" s="10" t="s">
        <v>0</v>
      </c>
      <c r="C52" s="11">
        <v>61111</v>
      </c>
      <c r="D52" s="11">
        <v>177268</v>
      </c>
      <c r="E52" s="11">
        <v>156314</v>
      </c>
      <c r="F52" s="11">
        <v>103011</v>
      </c>
      <c r="G52" s="11">
        <v>108881</v>
      </c>
      <c r="H52" s="11">
        <v>98858</v>
      </c>
      <c r="I52" s="11">
        <v>71774</v>
      </c>
    </row>
    <row r="53" spans="1:9" x14ac:dyDescent="0.2">
      <c r="A53" s="11" t="s">
        <v>52</v>
      </c>
      <c r="B53" s="10" t="s">
        <v>0</v>
      </c>
      <c r="C53" s="11">
        <v>955</v>
      </c>
      <c r="D53" s="11">
        <v>1780</v>
      </c>
      <c r="E53" s="11">
        <v>1715</v>
      </c>
      <c r="F53" s="11">
        <v>1780</v>
      </c>
      <c r="G53" s="11">
        <v>2487</v>
      </c>
      <c r="H53" s="11">
        <v>2814</v>
      </c>
      <c r="I53" s="11">
        <v>2063</v>
      </c>
    </row>
    <row r="54" spans="1:9" x14ac:dyDescent="0.2">
      <c r="A54" s="11" t="s">
        <v>53</v>
      </c>
      <c r="B54" s="10" t="s">
        <v>0</v>
      </c>
      <c r="C54" s="11">
        <v>107</v>
      </c>
      <c r="D54" s="11">
        <v>141</v>
      </c>
      <c r="E54" s="11">
        <v>203</v>
      </c>
      <c r="F54" s="11">
        <v>204</v>
      </c>
      <c r="G54" s="11">
        <v>286</v>
      </c>
      <c r="H54" s="11">
        <v>426</v>
      </c>
      <c r="I54" s="11">
        <v>372</v>
      </c>
    </row>
    <row r="55" spans="1:9" x14ac:dyDescent="0.2">
      <c r="A55" s="11" t="s">
        <v>54</v>
      </c>
      <c r="B55" s="10" t="s">
        <v>0</v>
      </c>
      <c r="C55" s="11">
        <v>1524</v>
      </c>
      <c r="D55" s="11">
        <v>3275</v>
      </c>
      <c r="E55" s="11">
        <v>3658</v>
      </c>
      <c r="F55" s="11">
        <v>3520</v>
      </c>
      <c r="G55" s="11">
        <v>4171</v>
      </c>
      <c r="H55" s="11">
        <v>5072</v>
      </c>
      <c r="I55" s="11">
        <v>4123</v>
      </c>
    </row>
    <row r="56" spans="1:9" x14ac:dyDescent="0.2">
      <c r="A56" s="11" t="s">
        <v>55</v>
      </c>
      <c r="B56" s="10" t="s">
        <v>0</v>
      </c>
      <c r="C56" s="11">
        <v>612</v>
      </c>
      <c r="D56" s="11">
        <v>698</v>
      </c>
      <c r="E56" s="11">
        <v>635</v>
      </c>
      <c r="F56" s="11">
        <v>597</v>
      </c>
      <c r="G56" s="11">
        <v>680</v>
      </c>
      <c r="H56" s="11">
        <v>853</v>
      </c>
      <c r="I56" s="11">
        <v>809</v>
      </c>
    </row>
    <row r="57" spans="1:9" x14ac:dyDescent="0.2">
      <c r="A57" s="11" t="s">
        <v>56</v>
      </c>
      <c r="B57" s="10" t="s">
        <v>0</v>
      </c>
      <c r="C57" s="11">
        <v>484</v>
      </c>
      <c r="D57" s="11">
        <v>1039</v>
      </c>
      <c r="E57" s="11">
        <v>1338</v>
      </c>
      <c r="F57" s="11">
        <v>1252</v>
      </c>
      <c r="G57" s="11">
        <v>1626</v>
      </c>
      <c r="H57" s="11">
        <v>2442</v>
      </c>
      <c r="I57" s="11">
        <v>2319</v>
      </c>
    </row>
    <row r="58" spans="1:9" x14ac:dyDescent="0.2">
      <c r="A58" s="11" t="s">
        <v>57</v>
      </c>
      <c r="B58" s="10" t="s">
        <v>0</v>
      </c>
      <c r="C58" s="11">
        <v>44</v>
      </c>
      <c r="D58" s="11">
        <v>82</v>
      </c>
      <c r="E58" s="11">
        <v>96</v>
      </c>
      <c r="F58" s="11">
        <v>103</v>
      </c>
      <c r="G58" s="11">
        <v>166</v>
      </c>
      <c r="H58" s="11">
        <v>304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354</v>
      </c>
      <c r="D59" s="11">
        <v>717</v>
      </c>
      <c r="E59" s="11">
        <v>778</v>
      </c>
      <c r="F59" s="11">
        <v>749</v>
      </c>
      <c r="G59" s="11">
        <v>1037</v>
      </c>
      <c r="H59" s="11">
        <v>1369</v>
      </c>
      <c r="I59" s="11">
        <v>1227</v>
      </c>
    </row>
    <row r="60" spans="1:9" x14ac:dyDescent="0.2">
      <c r="A60" s="11" t="s">
        <v>59</v>
      </c>
      <c r="B60" s="10" t="s">
        <v>0</v>
      </c>
      <c r="C60" s="11">
        <v>390</v>
      </c>
      <c r="D60" s="11">
        <v>602</v>
      </c>
      <c r="E60" s="11">
        <v>618</v>
      </c>
      <c r="F60" s="11">
        <v>605</v>
      </c>
      <c r="G60" s="11">
        <v>739</v>
      </c>
      <c r="H60" s="11">
        <v>1034</v>
      </c>
      <c r="I60" s="11">
        <v>936</v>
      </c>
    </row>
    <row r="61" spans="1:9" x14ac:dyDescent="0.2">
      <c r="A61" s="11" t="s">
        <v>60</v>
      </c>
      <c r="B61" s="10" t="s">
        <v>0</v>
      </c>
      <c r="C61" s="11">
        <v>1458</v>
      </c>
      <c r="D61" s="11">
        <v>1394</v>
      </c>
      <c r="E61" s="11">
        <v>1027</v>
      </c>
      <c r="F61" s="11">
        <v>865</v>
      </c>
      <c r="G61" s="11">
        <v>890</v>
      </c>
      <c r="H61" s="11">
        <v>1067</v>
      </c>
      <c r="I61" s="11">
        <v>1095</v>
      </c>
    </row>
    <row r="62" spans="1:9" x14ac:dyDescent="0.2">
      <c r="A62" s="11" t="s">
        <v>61</v>
      </c>
      <c r="B62" s="10" t="s">
        <v>0</v>
      </c>
      <c r="C62" s="11">
        <v>492</v>
      </c>
      <c r="D62" s="11">
        <v>879</v>
      </c>
      <c r="E62" s="11">
        <v>1024</v>
      </c>
      <c r="F62" s="11">
        <v>948</v>
      </c>
      <c r="G62" s="11">
        <v>1185</v>
      </c>
      <c r="H62" s="11">
        <v>1926</v>
      </c>
      <c r="I62" s="11">
        <v>1572</v>
      </c>
    </row>
    <row r="63" spans="1:9" x14ac:dyDescent="0.2">
      <c r="A63" s="11" t="s">
        <v>62</v>
      </c>
      <c r="B63" s="10" t="s">
        <v>0</v>
      </c>
      <c r="C63" s="11">
        <v>377</v>
      </c>
      <c r="D63" s="11">
        <v>648</v>
      </c>
      <c r="E63" s="11">
        <v>766</v>
      </c>
      <c r="F63" s="11">
        <v>711</v>
      </c>
      <c r="G63" s="11">
        <v>1055</v>
      </c>
      <c r="H63" s="11">
        <v>1475</v>
      </c>
      <c r="I63" s="11">
        <v>1312</v>
      </c>
    </row>
    <row r="64" spans="1:9" x14ac:dyDescent="0.2">
      <c r="A64" s="11" t="s">
        <v>63</v>
      </c>
      <c r="B64" s="10" t="s">
        <v>0</v>
      </c>
      <c r="C64" s="11">
        <v>3091</v>
      </c>
      <c r="D64" s="11">
        <v>5856</v>
      </c>
      <c r="E64" s="11">
        <v>7066</v>
      </c>
      <c r="F64" s="11">
        <v>6583</v>
      </c>
      <c r="G64" s="11">
        <v>8504</v>
      </c>
      <c r="H64" s="11">
        <v>11442</v>
      </c>
      <c r="I64" s="11">
        <v>10062</v>
      </c>
    </row>
    <row r="65" spans="1:9" x14ac:dyDescent="0.2">
      <c r="A65" s="11" t="s">
        <v>64</v>
      </c>
      <c r="B65" s="10" t="s">
        <v>0</v>
      </c>
      <c r="C65" s="11">
        <v>497</v>
      </c>
      <c r="D65" s="11">
        <v>1025</v>
      </c>
      <c r="E65" s="11">
        <v>1181</v>
      </c>
      <c r="F65" s="11">
        <v>1093</v>
      </c>
      <c r="G65" s="11">
        <v>1427</v>
      </c>
      <c r="H65" s="11">
        <v>1906</v>
      </c>
      <c r="I65" s="11">
        <v>1572</v>
      </c>
    </row>
    <row r="66" spans="1:9" x14ac:dyDescent="0.2">
      <c r="A66" s="11" t="s">
        <v>65</v>
      </c>
      <c r="B66" s="10" t="s">
        <v>0</v>
      </c>
      <c r="C66" s="11">
        <v>5240</v>
      </c>
      <c r="D66" s="11">
        <v>10037</v>
      </c>
      <c r="E66" s="11">
        <v>11258</v>
      </c>
      <c r="F66" s="11">
        <v>10573</v>
      </c>
      <c r="G66" s="11">
        <v>13582</v>
      </c>
      <c r="H66" s="11">
        <v>18843</v>
      </c>
      <c r="I66" s="11">
        <v>17243</v>
      </c>
    </row>
    <row r="67" spans="1:9" x14ac:dyDescent="0.2">
      <c r="A67" s="11" t="s">
        <v>66</v>
      </c>
      <c r="B67" s="10" t="s">
        <v>0</v>
      </c>
      <c r="C67" s="11">
        <v>324</v>
      </c>
      <c r="D67" s="11">
        <v>608</v>
      </c>
      <c r="E67" s="11">
        <v>656</v>
      </c>
      <c r="F67" s="11">
        <v>609</v>
      </c>
      <c r="G67" s="11">
        <v>760</v>
      </c>
      <c r="H67" s="11">
        <v>963</v>
      </c>
      <c r="I67" s="11">
        <v>745</v>
      </c>
    </row>
    <row r="68" spans="1:9" ht="13.5" thickBot="1" x14ac:dyDescent="0.25">
      <c r="A68" s="13" t="s">
        <v>67</v>
      </c>
      <c r="B68" s="12" t="s">
        <v>0</v>
      </c>
      <c r="C68" s="11">
        <v>8119</v>
      </c>
      <c r="D68" s="11">
        <v>15271</v>
      </c>
      <c r="E68" s="11">
        <v>15840</v>
      </c>
      <c r="F68" s="11">
        <v>14175</v>
      </c>
      <c r="G68" s="11">
        <v>14436</v>
      </c>
      <c r="H68" s="11">
        <v>15478</v>
      </c>
      <c r="I68" s="11">
        <v>13179</v>
      </c>
    </row>
    <row r="69" spans="1:9" x14ac:dyDescent="0.2">
      <c r="A69" s="32" t="s">
        <v>68</v>
      </c>
      <c r="C69" s="14">
        <f>SUM(C2:C68)</f>
        <v>315847</v>
      </c>
      <c r="D69" s="14">
        <f>SUM(D2:D68)</f>
        <v>660317</v>
      </c>
      <c r="E69" s="14">
        <f t="shared" ref="E69:I69" si="0">SUM(E2:E68)</f>
        <v>648433</v>
      </c>
      <c r="F69" s="14">
        <f t="shared" si="0"/>
        <v>521853</v>
      </c>
      <c r="G69" s="14">
        <f t="shared" si="0"/>
        <v>565204</v>
      </c>
      <c r="H69" s="14">
        <f t="shared" si="0"/>
        <v>623344</v>
      </c>
      <c r="I69" s="14">
        <f t="shared" si="0"/>
        <v>507842</v>
      </c>
    </row>
    <row r="70" spans="1:9" x14ac:dyDescent="0.2">
      <c r="C70" s="17">
        <f>C69/$C$73</f>
        <v>8.2191035796442213E-2</v>
      </c>
      <c r="D70" s="17">
        <f t="shared" ref="D70:I70" si="1">D69/$C$73</f>
        <v>0.17183046913220432</v>
      </c>
      <c r="E70" s="17">
        <f t="shared" si="1"/>
        <v>0.16873796463032548</v>
      </c>
      <c r="F70" s="17">
        <f t="shared" si="1"/>
        <v>0.13579878423249472</v>
      </c>
      <c r="G70" s="17">
        <f t="shared" si="1"/>
        <v>0.14707976392459743</v>
      </c>
      <c r="H70" s="17">
        <f t="shared" si="1"/>
        <v>0.16220919944624287</v>
      </c>
      <c r="I70" s="17">
        <f t="shared" si="1"/>
        <v>0.13215278283769297</v>
      </c>
    </row>
    <row r="73" spans="1:9" x14ac:dyDescent="0.2">
      <c r="A73" s="32" t="s">
        <v>80</v>
      </c>
      <c r="C73" s="16">
        <f>SUM(C69:I69)</f>
        <v>3842840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L16" sqref="L16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2759</v>
      </c>
      <c r="D2" s="52">
        <v>5206</v>
      </c>
      <c r="E2" s="52">
        <v>6000</v>
      </c>
      <c r="F2" s="52">
        <v>6012</v>
      </c>
      <c r="G2" s="52">
        <v>9161</v>
      </c>
      <c r="H2" s="52">
        <v>8542</v>
      </c>
      <c r="I2" s="52">
        <v>6301</v>
      </c>
      <c r="J2" s="10"/>
    </row>
    <row r="3" spans="1:10" x14ac:dyDescent="0.2">
      <c r="A3" s="11" t="s">
        <v>2</v>
      </c>
      <c r="B3" s="10" t="s">
        <v>70</v>
      </c>
      <c r="C3" s="52">
        <v>18629</v>
      </c>
      <c r="D3" s="52">
        <v>38720</v>
      </c>
      <c r="E3" s="52">
        <v>39042</v>
      </c>
      <c r="F3" s="52">
        <v>36658</v>
      </c>
      <c r="G3" s="52">
        <v>47898</v>
      </c>
      <c r="H3" s="52">
        <v>46628</v>
      </c>
      <c r="I3" s="52">
        <v>35407</v>
      </c>
    </row>
    <row r="4" spans="1:10" x14ac:dyDescent="0.2">
      <c r="A4" s="11" t="s">
        <v>3</v>
      </c>
      <c r="B4" s="10" t="s">
        <v>70</v>
      </c>
      <c r="C4" s="52">
        <v>1979</v>
      </c>
      <c r="D4" s="52">
        <v>3445</v>
      </c>
      <c r="E4" s="52">
        <v>3891</v>
      </c>
      <c r="F4" s="52">
        <v>4207</v>
      </c>
      <c r="G4" s="52">
        <v>5262</v>
      </c>
      <c r="H4" s="52">
        <v>5073</v>
      </c>
      <c r="I4" s="52">
        <v>3791</v>
      </c>
    </row>
    <row r="5" spans="1:10" x14ac:dyDescent="0.2">
      <c r="A5" s="11" t="s">
        <v>4</v>
      </c>
      <c r="B5" s="10" t="s">
        <v>70</v>
      </c>
      <c r="C5" s="52">
        <v>3404</v>
      </c>
      <c r="D5" s="52">
        <v>6733</v>
      </c>
      <c r="E5" s="52">
        <v>7900</v>
      </c>
      <c r="F5" s="52">
        <v>7695</v>
      </c>
      <c r="G5" s="52">
        <v>10009</v>
      </c>
      <c r="H5" s="52">
        <v>9450</v>
      </c>
      <c r="I5" s="52">
        <v>6684</v>
      </c>
    </row>
    <row r="6" spans="1:10" x14ac:dyDescent="0.2">
      <c r="A6" s="11" t="s">
        <v>5</v>
      </c>
      <c r="B6" s="10" t="s">
        <v>70</v>
      </c>
      <c r="C6" s="52">
        <v>1655</v>
      </c>
      <c r="D6" s="52">
        <v>3058</v>
      </c>
      <c r="E6" s="52">
        <v>3263</v>
      </c>
      <c r="F6" s="52">
        <v>3622</v>
      </c>
      <c r="G6" s="52">
        <v>4733</v>
      </c>
      <c r="H6" s="52">
        <v>4756</v>
      </c>
      <c r="I6" s="52">
        <v>3480</v>
      </c>
    </row>
    <row r="7" spans="1:10" x14ac:dyDescent="0.2">
      <c r="A7" s="11" t="s">
        <v>6</v>
      </c>
      <c r="B7" s="10" t="s">
        <v>70</v>
      </c>
      <c r="C7" s="52">
        <v>8096</v>
      </c>
      <c r="D7" s="52">
        <v>14584</v>
      </c>
      <c r="E7" s="52">
        <v>16817</v>
      </c>
      <c r="F7" s="52">
        <v>17449</v>
      </c>
      <c r="G7" s="52">
        <v>23819</v>
      </c>
      <c r="H7" s="52">
        <v>20815</v>
      </c>
      <c r="I7" s="52">
        <v>16362</v>
      </c>
    </row>
    <row r="8" spans="1:10" x14ac:dyDescent="0.2">
      <c r="A8" s="11" t="s">
        <v>7</v>
      </c>
      <c r="B8" s="10" t="s">
        <v>70</v>
      </c>
      <c r="C8" s="52">
        <v>3526</v>
      </c>
      <c r="D8" s="52">
        <v>5862</v>
      </c>
      <c r="E8" s="52">
        <v>6850</v>
      </c>
      <c r="F8" s="52">
        <v>7728</v>
      </c>
      <c r="G8" s="52">
        <v>9449</v>
      </c>
      <c r="H8" s="52">
        <v>9300</v>
      </c>
      <c r="I8" s="52">
        <v>7879</v>
      </c>
    </row>
    <row r="9" spans="1:10" x14ac:dyDescent="0.2">
      <c r="A9" s="11" t="s">
        <v>8</v>
      </c>
      <c r="B9" s="10" t="s">
        <v>70</v>
      </c>
      <c r="C9" s="52">
        <v>1838</v>
      </c>
      <c r="D9" s="52">
        <v>3158</v>
      </c>
      <c r="E9" s="52">
        <v>3617</v>
      </c>
      <c r="F9" s="52">
        <v>3634</v>
      </c>
      <c r="G9" s="52">
        <v>4985</v>
      </c>
      <c r="H9" s="52">
        <v>4621</v>
      </c>
      <c r="I9" s="52">
        <v>3783</v>
      </c>
    </row>
    <row r="10" spans="1:10" x14ac:dyDescent="0.2">
      <c r="A10" s="11" t="s">
        <v>9</v>
      </c>
      <c r="B10" s="10" t="s">
        <v>70</v>
      </c>
      <c r="C10" s="52">
        <v>13914</v>
      </c>
      <c r="D10" s="52">
        <v>24255</v>
      </c>
      <c r="E10" s="52">
        <v>26391</v>
      </c>
      <c r="F10" s="52">
        <v>28588</v>
      </c>
      <c r="G10" s="52">
        <v>41869</v>
      </c>
      <c r="H10" s="52">
        <v>37603</v>
      </c>
      <c r="I10" s="52">
        <v>29269</v>
      </c>
    </row>
    <row r="11" spans="1:10" x14ac:dyDescent="0.2">
      <c r="A11" s="11" t="s">
        <v>10</v>
      </c>
      <c r="B11" s="10" t="s">
        <v>70</v>
      </c>
      <c r="C11" s="52">
        <v>5801</v>
      </c>
      <c r="D11" s="52">
        <v>10932</v>
      </c>
      <c r="E11" s="52">
        <v>12169</v>
      </c>
      <c r="F11" s="52">
        <v>12304</v>
      </c>
      <c r="G11" s="52">
        <v>16331</v>
      </c>
      <c r="H11" s="52">
        <v>14622</v>
      </c>
      <c r="I11" s="52">
        <v>10738</v>
      </c>
    </row>
    <row r="12" spans="1:10" x14ac:dyDescent="0.2">
      <c r="A12" s="11" t="s">
        <v>11</v>
      </c>
      <c r="B12" s="10" t="s">
        <v>70</v>
      </c>
      <c r="C12" s="52">
        <v>3509</v>
      </c>
      <c r="D12" s="52">
        <v>5806</v>
      </c>
      <c r="E12" s="52">
        <v>6350</v>
      </c>
      <c r="F12" s="52">
        <v>7191</v>
      </c>
      <c r="G12" s="52">
        <v>8578</v>
      </c>
      <c r="H12" s="52">
        <v>8550</v>
      </c>
      <c r="I12" s="52">
        <v>6505</v>
      </c>
    </row>
    <row r="13" spans="1:10" x14ac:dyDescent="0.2">
      <c r="A13" s="11" t="s">
        <v>12</v>
      </c>
      <c r="B13" s="10" t="s">
        <v>70</v>
      </c>
      <c r="C13" s="52">
        <v>86</v>
      </c>
      <c r="D13" s="52">
        <v>163</v>
      </c>
      <c r="E13" s="52">
        <v>210</v>
      </c>
      <c r="F13" s="52">
        <v>232</v>
      </c>
      <c r="G13" s="52">
        <v>382</v>
      </c>
      <c r="H13" s="52">
        <v>418</v>
      </c>
      <c r="I13" s="52">
        <v>350</v>
      </c>
    </row>
    <row r="14" spans="1:10" x14ac:dyDescent="0.2">
      <c r="A14" s="11" t="s">
        <v>13</v>
      </c>
      <c r="B14" s="10" t="s">
        <v>70</v>
      </c>
      <c r="C14" s="52">
        <v>1522</v>
      </c>
      <c r="D14" s="52">
        <v>2841</v>
      </c>
      <c r="E14" s="52">
        <v>3308</v>
      </c>
      <c r="F14" s="52">
        <v>3651</v>
      </c>
      <c r="G14" s="52">
        <v>5020</v>
      </c>
      <c r="H14" s="52">
        <v>4455</v>
      </c>
      <c r="I14" s="52">
        <v>3085</v>
      </c>
    </row>
    <row r="15" spans="1:10" x14ac:dyDescent="0.2">
      <c r="A15" s="11" t="s">
        <v>14</v>
      </c>
      <c r="B15" s="10" t="s">
        <v>70</v>
      </c>
      <c r="C15" s="52">
        <v>5424</v>
      </c>
      <c r="D15" s="52">
        <v>5863</v>
      </c>
      <c r="E15" s="52">
        <v>5217</v>
      </c>
      <c r="F15" s="52">
        <v>5288</v>
      </c>
      <c r="G15" s="52">
        <v>7398</v>
      </c>
      <c r="H15" s="52">
        <v>6869</v>
      </c>
      <c r="I15" s="52">
        <v>5730</v>
      </c>
    </row>
    <row r="16" spans="1:10" x14ac:dyDescent="0.2">
      <c r="A16" s="11" t="s">
        <v>15</v>
      </c>
      <c r="B16" s="10" t="s">
        <v>70</v>
      </c>
      <c r="C16" s="52">
        <v>10823</v>
      </c>
      <c r="D16" s="52">
        <v>19053</v>
      </c>
      <c r="E16" s="52">
        <v>19575</v>
      </c>
      <c r="F16" s="52">
        <v>21712</v>
      </c>
      <c r="G16" s="52">
        <v>31184</v>
      </c>
      <c r="H16" s="52">
        <v>27222</v>
      </c>
      <c r="I16" s="52">
        <v>22233</v>
      </c>
    </row>
    <row r="17" spans="1:9" x14ac:dyDescent="0.2">
      <c r="A17" s="11" t="s">
        <v>16</v>
      </c>
      <c r="B17" s="10" t="s">
        <v>70</v>
      </c>
      <c r="C17" s="52">
        <v>1080</v>
      </c>
      <c r="D17" s="52">
        <v>1893</v>
      </c>
      <c r="E17" s="52">
        <v>2132</v>
      </c>
      <c r="F17" s="52">
        <v>2350</v>
      </c>
      <c r="G17" s="52">
        <v>3108</v>
      </c>
      <c r="H17" s="52">
        <v>2788</v>
      </c>
      <c r="I17" s="52">
        <v>2192</v>
      </c>
    </row>
    <row r="18" spans="1:9" x14ac:dyDescent="0.2">
      <c r="A18" s="11" t="s">
        <v>17</v>
      </c>
      <c r="B18" s="10" t="s">
        <v>70</v>
      </c>
      <c r="C18" s="52">
        <v>2027</v>
      </c>
      <c r="D18" s="52">
        <v>3892</v>
      </c>
      <c r="E18" s="52">
        <v>4382</v>
      </c>
      <c r="F18" s="52">
        <v>4932</v>
      </c>
      <c r="G18" s="52">
        <v>6265</v>
      </c>
      <c r="H18" s="52">
        <v>5729</v>
      </c>
      <c r="I18" s="52">
        <v>4199</v>
      </c>
    </row>
    <row r="19" spans="1:9" x14ac:dyDescent="0.2">
      <c r="A19" s="11" t="s">
        <v>18</v>
      </c>
      <c r="B19" s="10" t="s">
        <v>70</v>
      </c>
      <c r="C19" s="52">
        <v>961</v>
      </c>
      <c r="D19" s="52">
        <v>1738</v>
      </c>
      <c r="E19" s="52">
        <v>1848</v>
      </c>
      <c r="F19" s="52">
        <v>2084</v>
      </c>
      <c r="G19" s="52">
        <v>2541</v>
      </c>
      <c r="H19" s="52">
        <v>2332</v>
      </c>
      <c r="I19" s="52">
        <v>1782</v>
      </c>
    </row>
    <row r="20" spans="1:9" x14ac:dyDescent="0.2">
      <c r="A20" s="11" t="s">
        <v>19</v>
      </c>
      <c r="B20" s="10" t="s">
        <v>70</v>
      </c>
      <c r="C20" s="52">
        <v>1702</v>
      </c>
      <c r="D20" s="52">
        <v>2863</v>
      </c>
      <c r="E20" s="52">
        <v>3018</v>
      </c>
      <c r="F20" s="52">
        <v>3343</v>
      </c>
      <c r="G20" s="52">
        <v>4265</v>
      </c>
      <c r="H20" s="52">
        <v>4102</v>
      </c>
      <c r="I20" s="52">
        <v>3189</v>
      </c>
    </row>
    <row r="21" spans="1:9" x14ac:dyDescent="0.2">
      <c r="A21" s="11" t="s">
        <v>20</v>
      </c>
      <c r="B21" s="10" t="s">
        <v>70</v>
      </c>
      <c r="C21" s="52">
        <v>2127</v>
      </c>
      <c r="D21" s="52">
        <v>3755</v>
      </c>
      <c r="E21" s="52">
        <v>4324</v>
      </c>
      <c r="F21" s="52">
        <v>4598</v>
      </c>
      <c r="G21" s="52">
        <v>6174</v>
      </c>
      <c r="H21" s="52">
        <v>5983</v>
      </c>
      <c r="I21" s="52">
        <v>4784</v>
      </c>
    </row>
    <row r="22" spans="1:9" x14ac:dyDescent="0.2">
      <c r="A22" s="11" t="s">
        <v>21</v>
      </c>
      <c r="B22" s="10" t="s">
        <v>70</v>
      </c>
      <c r="C22" s="52">
        <v>5785</v>
      </c>
      <c r="D22" s="52">
        <v>10893</v>
      </c>
      <c r="E22" s="52">
        <v>12427</v>
      </c>
      <c r="F22" s="52">
        <v>12794</v>
      </c>
      <c r="G22" s="52">
        <v>16788</v>
      </c>
      <c r="H22" s="52">
        <v>15711</v>
      </c>
      <c r="I22" s="52">
        <v>13830</v>
      </c>
    </row>
    <row r="23" spans="1:9" x14ac:dyDescent="0.2">
      <c r="A23" s="11" t="s">
        <v>22</v>
      </c>
      <c r="B23" s="10" t="s">
        <v>70</v>
      </c>
      <c r="C23" s="52">
        <v>4814</v>
      </c>
      <c r="D23" s="52">
        <v>9767</v>
      </c>
      <c r="E23" s="52">
        <v>10858</v>
      </c>
      <c r="F23" s="52">
        <v>11000</v>
      </c>
      <c r="G23" s="52">
        <v>14772</v>
      </c>
      <c r="H23" s="52">
        <v>14021</v>
      </c>
      <c r="I23" s="52">
        <v>10763</v>
      </c>
    </row>
    <row r="24" spans="1:9" x14ac:dyDescent="0.2">
      <c r="A24" s="11" t="s">
        <v>23</v>
      </c>
      <c r="B24" s="10" t="s">
        <v>70</v>
      </c>
      <c r="C24" s="52">
        <v>9500</v>
      </c>
      <c r="D24" s="52">
        <v>17585</v>
      </c>
      <c r="E24" s="52">
        <v>19785</v>
      </c>
      <c r="F24" s="52">
        <v>19637</v>
      </c>
      <c r="G24" s="52">
        <v>27943</v>
      </c>
      <c r="H24" s="52">
        <v>27064</v>
      </c>
      <c r="I24" s="52">
        <v>21279</v>
      </c>
    </row>
    <row r="25" spans="1:9" x14ac:dyDescent="0.2">
      <c r="A25" s="11" t="s">
        <v>24</v>
      </c>
      <c r="B25" s="10" t="s">
        <v>70</v>
      </c>
      <c r="C25" s="52">
        <v>825</v>
      </c>
      <c r="D25" s="52">
        <v>1480</v>
      </c>
      <c r="E25" s="52">
        <v>1646</v>
      </c>
      <c r="F25" s="52">
        <v>1750</v>
      </c>
      <c r="G25" s="52">
        <v>2520</v>
      </c>
      <c r="H25" s="52">
        <v>2299</v>
      </c>
      <c r="I25" s="52">
        <v>1599</v>
      </c>
    </row>
    <row r="26" spans="1:9" x14ac:dyDescent="0.2">
      <c r="A26" s="11" t="s">
        <v>25</v>
      </c>
      <c r="B26" s="10" t="s">
        <v>70</v>
      </c>
      <c r="C26" s="52">
        <v>5343</v>
      </c>
      <c r="D26" s="52">
        <v>9441</v>
      </c>
      <c r="E26" s="52">
        <v>10263</v>
      </c>
      <c r="F26" s="52">
        <v>10804</v>
      </c>
      <c r="G26" s="52">
        <v>13725</v>
      </c>
      <c r="H26" s="52">
        <v>12096</v>
      </c>
      <c r="I26" s="52">
        <v>9147</v>
      </c>
    </row>
    <row r="27" spans="1:9" x14ac:dyDescent="0.2">
      <c r="A27" s="11" t="s">
        <v>26</v>
      </c>
      <c r="B27" s="10" t="s">
        <v>70</v>
      </c>
      <c r="C27" s="52">
        <v>2778</v>
      </c>
      <c r="D27" s="52">
        <v>5820</v>
      </c>
      <c r="E27" s="52">
        <v>6217</v>
      </c>
      <c r="F27" s="52">
        <v>6765</v>
      </c>
      <c r="G27" s="52">
        <v>7929</v>
      </c>
      <c r="H27" s="52">
        <v>6942</v>
      </c>
      <c r="I27" s="52">
        <v>4842</v>
      </c>
    </row>
    <row r="28" spans="1:9" x14ac:dyDescent="0.2">
      <c r="A28" s="11" t="s">
        <v>27</v>
      </c>
      <c r="B28" s="10" t="s">
        <v>70</v>
      </c>
      <c r="C28" s="52">
        <v>105</v>
      </c>
      <c r="D28" s="52">
        <v>141</v>
      </c>
      <c r="E28" s="52">
        <v>193</v>
      </c>
      <c r="F28" s="52">
        <v>276</v>
      </c>
      <c r="G28" s="52">
        <v>442</v>
      </c>
      <c r="H28" s="52">
        <v>495</v>
      </c>
      <c r="I28" s="52">
        <v>392</v>
      </c>
    </row>
    <row r="29" spans="1:9" x14ac:dyDescent="0.2">
      <c r="A29" s="11" t="s">
        <v>28</v>
      </c>
      <c r="B29" s="10" t="s">
        <v>70</v>
      </c>
      <c r="C29" s="52">
        <v>4225</v>
      </c>
      <c r="D29" s="52">
        <v>8058</v>
      </c>
      <c r="E29" s="52">
        <v>9109</v>
      </c>
      <c r="F29" s="52">
        <v>9762</v>
      </c>
      <c r="G29" s="52">
        <v>12494</v>
      </c>
      <c r="H29" s="52">
        <v>11195</v>
      </c>
      <c r="I29" s="52">
        <v>9500</v>
      </c>
    </row>
    <row r="30" spans="1:9" x14ac:dyDescent="0.2">
      <c r="A30" s="11" t="s">
        <v>29</v>
      </c>
      <c r="B30" s="10" t="s">
        <v>70</v>
      </c>
      <c r="C30" s="52">
        <v>527</v>
      </c>
      <c r="D30" s="52">
        <v>995</v>
      </c>
      <c r="E30" s="52">
        <v>1005</v>
      </c>
      <c r="F30" s="52">
        <v>1153</v>
      </c>
      <c r="G30" s="52">
        <v>1460</v>
      </c>
      <c r="H30" s="52">
        <v>1341</v>
      </c>
      <c r="I30" s="52">
        <v>982</v>
      </c>
    </row>
    <row r="31" spans="1:9" x14ac:dyDescent="0.2">
      <c r="A31" s="11" t="s">
        <v>30</v>
      </c>
      <c r="B31" s="10" t="s">
        <v>70</v>
      </c>
      <c r="C31" s="52">
        <v>978</v>
      </c>
      <c r="D31" s="52">
        <v>1767</v>
      </c>
      <c r="E31" s="52">
        <v>1771</v>
      </c>
      <c r="F31" s="52">
        <v>2072</v>
      </c>
      <c r="G31" s="52">
        <v>2243</v>
      </c>
      <c r="H31" s="52">
        <v>1945</v>
      </c>
      <c r="I31" s="52">
        <v>1379</v>
      </c>
    </row>
    <row r="32" spans="1:9" x14ac:dyDescent="0.2">
      <c r="A32" s="11" t="s">
        <v>31</v>
      </c>
      <c r="B32" s="10" t="s">
        <v>70</v>
      </c>
      <c r="C32" s="52">
        <v>1368</v>
      </c>
      <c r="D32" s="52">
        <v>2292</v>
      </c>
      <c r="E32" s="52">
        <v>2470</v>
      </c>
      <c r="F32" s="52">
        <v>2772</v>
      </c>
      <c r="G32" s="52">
        <v>3679</v>
      </c>
      <c r="H32" s="52">
        <v>3501</v>
      </c>
      <c r="I32" s="52">
        <v>2819</v>
      </c>
    </row>
    <row r="33" spans="1:9" x14ac:dyDescent="0.2">
      <c r="A33" s="11" t="s">
        <v>32</v>
      </c>
      <c r="B33" s="10" t="s">
        <v>70</v>
      </c>
      <c r="C33" s="52">
        <v>2414</v>
      </c>
      <c r="D33" s="52">
        <v>3558</v>
      </c>
      <c r="E33" s="52">
        <v>3980</v>
      </c>
      <c r="F33" s="52">
        <v>4412</v>
      </c>
      <c r="G33" s="52">
        <v>5371</v>
      </c>
      <c r="H33" s="52">
        <v>5215</v>
      </c>
      <c r="I33" s="52">
        <v>3945</v>
      </c>
    </row>
    <row r="34" spans="1:9" x14ac:dyDescent="0.2">
      <c r="A34" s="11" t="s">
        <v>33</v>
      </c>
      <c r="B34" s="10" t="s">
        <v>70</v>
      </c>
      <c r="C34" s="52">
        <v>1346</v>
      </c>
      <c r="D34" s="52">
        <v>2361</v>
      </c>
      <c r="E34" s="52">
        <v>2826</v>
      </c>
      <c r="F34" s="52">
        <v>2856</v>
      </c>
      <c r="G34" s="52">
        <v>3686</v>
      </c>
      <c r="H34" s="52">
        <v>3632</v>
      </c>
      <c r="I34" s="52">
        <v>2718</v>
      </c>
    </row>
    <row r="35" spans="1:9" x14ac:dyDescent="0.2">
      <c r="A35" s="11" t="s">
        <v>34</v>
      </c>
      <c r="B35" s="10" t="s">
        <v>70</v>
      </c>
      <c r="C35" s="52">
        <v>660</v>
      </c>
      <c r="D35" s="52">
        <v>1278</v>
      </c>
      <c r="E35" s="52">
        <v>1369</v>
      </c>
      <c r="F35" s="52">
        <v>1509</v>
      </c>
      <c r="G35" s="52">
        <v>1969</v>
      </c>
      <c r="H35" s="52">
        <v>1800</v>
      </c>
      <c r="I35" s="52">
        <v>1434</v>
      </c>
    </row>
    <row r="36" spans="1:9" x14ac:dyDescent="0.2">
      <c r="A36" s="11" t="s">
        <v>35</v>
      </c>
      <c r="B36" s="10" t="s">
        <v>70</v>
      </c>
      <c r="C36" s="52">
        <v>4198</v>
      </c>
      <c r="D36" s="52">
        <v>7260</v>
      </c>
      <c r="E36" s="52">
        <v>7851</v>
      </c>
      <c r="F36" s="52">
        <v>8189</v>
      </c>
      <c r="G36" s="52">
        <v>10026</v>
      </c>
      <c r="H36" s="52">
        <v>8285</v>
      </c>
      <c r="I36" s="52">
        <v>6503</v>
      </c>
    </row>
    <row r="37" spans="1:9" x14ac:dyDescent="0.2">
      <c r="A37" s="11" t="s">
        <v>36</v>
      </c>
      <c r="B37" s="10" t="s">
        <v>70</v>
      </c>
      <c r="C37" s="52">
        <v>12940</v>
      </c>
      <c r="D37" s="52">
        <v>24427</v>
      </c>
      <c r="E37" s="52">
        <v>26243</v>
      </c>
      <c r="F37" s="52">
        <v>25270</v>
      </c>
      <c r="G37" s="52">
        <v>32818</v>
      </c>
      <c r="H37" s="52">
        <v>32765</v>
      </c>
      <c r="I37" s="52">
        <v>29292</v>
      </c>
    </row>
    <row r="38" spans="1:9" x14ac:dyDescent="0.2">
      <c r="A38" s="11" t="s">
        <v>37</v>
      </c>
      <c r="B38" s="10" t="s">
        <v>70</v>
      </c>
      <c r="C38" s="52">
        <v>2350</v>
      </c>
      <c r="D38" s="52">
        <v>3845</v>
      </c>
      <c r="E38" s="52">
        <v>4271</v>
      </c>
      <c r="F38" s="52">
        <v>4599</v>
      </c>
      <c r="G38" s="52">
        <v>5546</v>
      </c>
      <c r="H38" s="52">
        <v>5367</v>
      </c>
      <c r="I38" s="52">
        <v>4153</v>
      </c>
    </row>
    <row r="39" spans="1:9" x14ac:dyDescent="0.2">
      <c r="A39" s="11" t="s">
        <v>38</v>
      </c>
      <c r="B39" s="10" t="s">
        <v>70</v>
      </c>
      <c r="C39" s="52">
        <v>3388</v>
      </c>
      <c r="D39" s="52">
        <v>6237</v>
      </c>
      <c r="E39" s="52">
        <v>7127</v>
      </c>
      <c r="F39" s="52">
        <v>7757</v>
      </c>
      <c r="G39" s="52">
        <v>9847</v>
      </c>
      <c r="H39" s="52">
        <v>9728</v>
      </c>
      <c r="I39" s="52">
        <v>8526</v>
      </c>
    </row>
    <row r="40" spans="1:9" x14ac:dyDescent="0.2">
      <c r="A40" s="11" t="s">
        <v>39</v>
      </c>
      <c r="B40" s="10" t="s">
        <v>70</v>
      </c>
      <c r="C40" s="52">
        <v>5875</v>
      </c>
      <c r="D40" s="52">
        <v>11508</v>
      </c>
      <c r="E40" s="52">
        <v>12610</v>
      </c>
      <c r="F40" s="52">
        <v>13173</v>
      </c>
      <c r="G40" s="52">
        <v>17345</v>
      </c>
      <c r="H40" s="52">
        <v>15982</v>
      </c>
      <c r="I40" s="52">
        <v>12968</v>
      </c>
    </row>
    <row r="41" spans="1:9" x14ac:dyDescent="0.2">
      <c r="A41" s="11" t="s">
        <v>40</v>
      </c>
      <c r="B41" s="10" t="s">
        <v>70</v>
      </c>
      <c r="C41" s="52">
        <v>5850</v>
      </c>
      <c r="D41" s="52">
        <v>11218</v>
      </c>
      <c r="E41" s="52">
        <v>13154</v>
      </c>
      <c r="F41" s="52">
        <v>13862</v>
      </c>
      <c r="G41" s="52">
        <v>18363</v>
      </c>
      <c r="H41" s="52">
        <v>15659</v>
      </c>
      <c r="I41" s="52">
        <v>12810</v>
      </c>
    </row>
    <row r="42" spans="1:9" x14ac:dyDescent="0.2">
      <c r="A42" s="11" t="s">
        <v>41</v>
      </c>
      <c r="B42" s="10" t="s">
        <v>70</v>
      </c>
      <c r="C42" s="52">
        <v>2835</v>
      </c>
      <c r="D42" s="52">
        <v>4952</v>
      </c>
      <c r="E42" s="52">
        <v>6288</v>
      </c>
      <c r="F42" s="52">
        <v>6362</v>
      </c>
      <c r="G42" s="52">
        <v>8199</v>
      </c>
      <c r="H42" s="52">
        <v>8483</v>
      </c>
      <c r="I42" s="52">
        <v>6634</v>
      </c>
    </row>
    <row r="43" spans="1:9" x14ac:dyDescent="0.2">
      <c r="A43" s="11" t="s">
        <v>42</v>
      </c>
      <c r="B43" s="10" t="s">
        <v>70</v>
      </c>
      <c r="C43" s="52">
        <v>1030</v>
      </c>
      <c r="D43" s="52">
        <v>1844</v>
      </c>
      <c r="E43" s="52">
        <v>2193</v>
      </c>
      <c r="F43" s="52">
        <v>2415</v>
      </c>
      <c r="G43" s="52">
        <v>3206</v>
      </c>
      <c r="H43" s="52">
        <v>3099</v>
      </c>
      <c r="I43" s="52">
        <v>2381</v>
      </c>
    </row>
    <row r="44" spans="1:9" x14ac:dyDescent="0.2">
      <c r="A44" s="11" t="s">
        <v>43</v>
      </c>
      <c r="B44" s="10" t="s">
        <v>70</v>
      </c>
      <c r="C44" s="52">
        <v>2927</v>
      </c>
      <c r="D44" s="52">
        <v>4973</v>
      </c>
      <c r="E44" s="52">
        <v>5014</v>
      </c>
      <c r="F44" s="52">
        <v>5502</v>
      </c>
      <c r="G44" s="52">
        <v>7202</v>
      </c>
      <c r="H44" s="52">
        <v>6984</v>
      </c>
      <c r="I44" s="52">
        <v>5689</v>
      </c>
    </row>
    <row r="45" spans="1:9" x14ac:dyDescent="0.2">
      <c r="A45" s="11" t="s">
        <v>44</v>
      </c>
      <c r="B45" s="10" t="s">
        <v>70</v>
      </c>
      <c r="C45" s="52">
        <v>1130</v>
      </c>
      <c r="D45" s="52">
        <v>2339</v>
      </c>
      <c r="E45" s="52">
        <v>2490</v>
      </c>
      <c r="F45" s="52">
        <v>2684</v>
      </c>
      <c r="G45" s="52">
        <v>3722</v>
      </c>
      <c r="H45" s="52">
        <v>3400</v>
      </c>
      <c r="I45" s="52">
        <v>2858</v>
      </c>
    </row>
    <row r="46" spans="1:9" x14ac:dyDescent="0.2">
      <c r="A46" s="11" t="s">
        <v>45</v>
      </c>
      <c r="B46" s="10" t="s">
        <v>70</v>
      </c>
      <c r="C46" s="52">
        <v>2519</v>
      </c>
      <c r="D46" s="52">
        <v>5195</v>
      </c>
      <c r="E46" s="52">
        <v>6163</v>
      </c>
      <c r="F46" s="52">
        <v>6488</v>
      </c>
      <c r="G46" s="52">
        <v>9341</v>
      </c>
      <c r="H46" s="52">
        <v>8388</v>
      </c>
      <c r="I46" s="52">
        <v>5192</v>
      </c>
    </row>
    <row r="47" spans="1:9" x14ac:dyDescent="0.2">
      <c r="A47" s="11" t="s">
        <v>46</v>
      </c>
      <c r="B47" s="10" t="s">
        <v>70</v>
      </c>
      <c r="C47" s="52">
        <v>14027</v>
      </c>
      <c r="D47" s="52">
        <v>26054</v>
      </c>
      <c r="E47" s="52">
        <v>28119</v>
      </c>
      <c r="F47" s="52">
        <v>29152</v>
      </c>
      <c r="G47" s="52">
        <v>41128</v>
      </c>
      <c r="H47" s="52">
        <v>37717</v>
      </c>
      <c r="I47" s="52">
        <v>31551</v>
      </c>
    </row>
    <row r="48" spans="1:9" x14ac:dyDescent="0.2">
      <c r="A48" s="11" t="s">
        <v>47</v>
      </c>
      <c r="B48" s="10" t="s">
        <v>70</v>
      </c>
      <c r="C48" s="52">
        <v>398</v>
      </c>
      <c r="D48" s="52">
        <v>818</v>
      </c>
      <c r="E48" s="52">
        <v>934</v>
      </c>
      <c r="F48" s="52">
        <v>877</v>
      </c>
      <c r="G48" s="52">
        <v>1213</v>
      </c>
      <c r="H48" s="52">
        <v>1241</v>
      </c>
      <c r="I48" s="52">
        <v>1070</v>
      </c>
    </row>
    <row r="49" spans="1:9" x14ac:dyDescent="0.2">
      <c r="A49" s="11" t="s">
        <v>48</v>
      </c>
      <c r="B49" s="10" t="s">
        <v>70</v>
      </c>
      <c r="C49" s="52">
        <v>6102</v>
      </c>
      <c r="D49" s="52">
        <v>11238</v>
      </c>
      <c r="E49" s="52">
        <v>11872</v>
      </c>
      <c r="F49" s="52">
        <v>12475</v>
      </c>
      <c r="G49" s="52">
        <v>17413</v>
      </c>
      <c r="H49" s="52">
        <v>15464</v>
      </c>
      <c r="I49" s="52">
        <v>12263</v>
      </c>
    </row>
    <row r="50" spans="1:9" x14ac:dyDescent="0.2">
      <c r="A50" s="11" t="s">
        <v>49</v>
      </c>
      <c r="B50" s="10" t="s">
        <v>70</v>
      </c>
      <c r="C50" s="52">
        <v>2007</v>
      </c>
      <c r="D50" s="52">
        <v>3652</v>
      </c>
      <c r="E50" s="52">
        <v>4593</v>
      </c>
      <c r="F50" s="52">
        <v>4821</v>
      </c>
      <c r="G50" s="52">
        <v>6193</v>
      </c>
      <c r="H50" s="52">
        <v>5963</v>
      </c>
      <c r="I50" s="52">
        <v>4689</v>
      </c>
    </row>
    <row r="51" spans="1:9" x14ac:dyDescent="0.2">
      <c r="A51" s="11" t="s">
        <v>50</v>
      </c>
      <c r="B51" s="10" t="s">
        <v>70</v>
      </c>
      <c r="C51" s="52">
        <v>1421</v>
      </c>
      <c r="D51" s="52">
        <v>2635</v>
      </c>
      <c r="E51" s="52">
        <v>3051</v>
      </c>
      <c r="F51" s="52">
        <v>3203</v>
      </c>
      <c r="G51" s="52">
        <v>4257</v>
      </c>
      <c r="H51" s="52">
        <v>3801</v>
      </c>
      <c r="I51" s="52">
        <v>2577</v>
      </c>
    </row>
    <row r="52" spans="1:9" x14ac:dyDescent="0.2">
      <c r="A52" s="11" t="s">
        <v>51</v>
      </c>
      <c r="B52" s="10" t="s">
        <v>70</v>
      </c>
      <c r="C52" s="52">
        <v>9890</v>
      </c>
      <c r="D52" s="52">
        <v>25739</v>
      </c>
      <c r="E52" s="52">
        <v>23630</v>
      </c>
      <c r="F52" s="52">
        <v>18682</v>
      </c>
      <c r="G52" s="52">
        <v>20756</v>
      </c>
      <c r="H52" s="52">
        <v>18109</v>
      </c>
      <c r="I52" s="52">
        <v>14316</v>
      </c>
    </row>
    <row r="53" spans="1:9" x14ac:dyDescent="0.2">
      <c r="A53" s="11" t="s">
        <v>52</v>
      </c>
      <c r="B53" s="10" t="s">
        <v>70</v>
      </c>
      <c r="C53" s="52">
        <v>1234</v>
      </c>
      <c r="D53" s="52">
        <v>2426</v>
      </c>
      <c r="E53" s="52">
        <v>2975</v>
      </c>
      <c r="F53" s="52">
        <v>3243</v>
      </c>
      <c r="G53" s="52">
        <v>5209</v>
      </c>
      <c r="H53" s="52">
        <v>4713</v>
      </c>
      <c r="I53" s="52">
        <v>3255</v>
      </c>
    </row>
    <row r="54" spans="1:9" x14ac:dyDescent="0.2">
      <c r="A54" s="11" t="s">
        <v>53</v>
      </c>
      <c r="B54" s="10" t="s">
        <v>70</v>
      </c>
      <c r="C54" s="52">
        <v>502</v>
      </c>
      <c r="D54" s="52">
        <v>911</v>
      </c>
      <c r="E54" s="52">
        <v>1055</v>
      </c>
      <c r="F54" s="52">
        <v>1066</v>
      </c>
      <c r="G54" s="52">
        <v>1560</v>
      </c>
      <c r="H54" s="52">
        <v>1617</v>
      </c>
      <c r="I54" s="52">
        <v>1294</v>
      </c>
    </row>
    <row r="55" spans="1:9" x14ac:dyDescent="0.2">
      <c r="A55" s="11" t="s">
        <v>54</v>
      </c>
      <c r="B55" s="10" t="s">
        <v>70</v>
      </c>
      <c r="C55" s="52">
        <v>3661</v>
      </c>
      <c r="D55" s="52">
        <v>6304</v>
      </c>
      <c r="E55" s="52">
        <v>7362</v>
      </c>
      <c r="F55" s="52">
        <v>8349</v>
      </c>
      <c r="G55" s="52">
        <v>10521</v>
      </c>
      <c r="H55" s="52">
        <v>9644</v>
      </c>
      <c r="I55" s="52">
        <v>7318</v>
      </c>
    </row>
    <row r="56" spans="1:9" x14ac:dyDescent="0.2">
      <c r="A56" s="11" t="s">
        <v>55</v>
      </c>
      <c r="B56" s="10" t="s">
        <v>70</v>
      </c>
      <c r="C56" s="52">
        <v>1227</v>
      </c>
      <c r="D56" s="52">
        <v>1864</v>
      </c>
      <c r="E56" s="52">
        <v>2240</v>
      </c>
      <c r="F56" s="52">
        <v>2362</v>
      </c>
      <c r="G56" s="52">
        <v>3048</v>
      </c>
      <c r="H56" s="52">
        <v>2817</v>
      </c>
      <c r="I56" s="52">
        <v>2392</v>
      </c>
    </row>
    <row r="57" spans="1:9" x14ac:dyDescent="0.2">
      <c r="A57" s="11" t="s">
        <v>56</v>
      </c>
      <c r="B57" s="10" t="s">
        <v>70</v>
      </c>
      <c r="C57" s="52">
        <v>2254</v>
      </c>
      <c r="D57" s="52">
        <v>3948</v>
      </c>
      <c r="E57" s="52">
        <v>4377</v>
      </c>
      <c r="F57" s="52">
        <v>4915</v>
      </c>
      <c r="G57" s="52">
        <v>6255</v>
      </c>
      <c r="H57" s="52">
        <v>6339</v>
      </c>
      <c r="I57" s="52">
        <v>4770</v>
      </c>
    </row>
    <row r="58" spans="1:9" x14ac:dyDescent="0.2">
      <c r="A58" s="11" t="s">
        <v>57</v>
      </c>
      <c r="B58" s="10" t="s">
        <v>70</v>
      </c>
      <c r="C58" s="52">
        <v>160</v>
      </c>
      <c r="D58" s="52">
        <v>259</v>
      </c>
      <c r="E58" s="52">
        <v>353</v>
      </c>
      <c r="F58" s="52">
        <v>375</v>
      </c>
      <c r="G58" s="52">
        <v>562</v>
      </c>
      <c r="H58" s="52">
        <v>667</v>
      </c>
      <c r="I58" s="52">
        <v>470</v>
      </c>
    </row>
    <row r="59" spans="1:9" x14ac:dyDescent="0.2">
      <c r="A59" s="11" t="s">
        <v>58</v>
      </c>
      <c r="B59" s="10" t="s">
        <v>70</v>
      </c>
      <c r="C59" s="52">
        <v>1132</v>
      </c>
      <c r="D59" s="52">
        <v>2150</v>
      </c>
      <c r="E59" s="52">
        <v>2397</v>
      </c>
      <c r="F59" s="52">
        <v>2377</v>
      </c>
      <c r="G59" s="52">
        <v>3439</v>
      </c>
      <c r="H59" s="52">
        <v>3346</v>
      </c>
      <c r="I59" s="52">
        <v>2610</v>
      </c>
    </row>
    <row r="60" spans="1:9" x14ac:dyDescent="0.2">
      <c r="A60" s="11" t="s">
        <v>59</v>
      </c>
      <c r="B60" s="10" t="s">
        <v>70</v>
      </c>
      <c r="C60" s="52">
        <v>1082</v>
      </c>
      <c r="D60" s="52">
        <v>1984</v>
      </c>
      <c r="E60" s="52">
        <v>2473</v>
      </c>
      <c r="F60" s="52">
        <v>2552</v>
      </c>
      <c r="G60" s="52">
        <v>3472</v>
      </c>
      <c r="H60" s="52">
        <v>3581</v>
      </c>
      <c r="I60" s="52">
        <v>2960</v>
      </c>
    </row>
    <row r="61" spans="1:9" x14ac:dyDescent="0.2">
      <c r="A61" s="11" t="s">
        <v>60</v>
      </c>
      <c r="B61" s="10" t="s">
        <v>70</v>
      </c>
      <c r="C61" s="52">
        <v>1343</v>
      </c>
      <c r="D61" s="52">
        <v>1772</v>
      </c>
      <c r="E61" s="52">
        <v>1916</v>
      </c>
      <c r="F61" s="52">
        <v>1960</v>
      </c>
      <c r="G61" s="52">
        <v>2631</v>
      </c>
      <c r="H61" s="52">
        <v>2413</v>
      </c>
      <c r="I61" s="52">
        <v>2370</v>
      </c>
    </row>
    <row r="62" spans="1:9" x14ac:dyDescent="0.2">
      <c r="A62" s="11" t="s">
        <v>61</v>
      </c>
      <c r="B62" s="10" t="s">
        <v>70</v>
      </c>
      <c r="C62" s="52">
        <v>1231</v>
      </c>
      <c r="D62" s="52">
        <v>2216</v>
      </c>
      <c r="E62" s="52">
        <v>2709</v>
      </c>
      <c r="F62" s="52">
        <v>3040</v>
      </c>
      <c r="G62" s="52">
        <v>3866</v>
      </c>
      <c r="H62" s="52">
        <v>4042</v>
      </c>
      <c r="I62" s="52">
        <v>3029</v>
      </c>
    </row>
    <row r="63" spans="1:9" x14ac:dyDescent="0.2">
      <c r="A63" s="11" t="s">
        <v>62</v>
      </c>
      <c r="B63" s="10" t="s">
        <v>70</v>
      </c>
      <c r="C63" s="52">
        <v>971</v>
      </c>
      <c r="D63" s="52">
        <v>1726</v>
      </c>
      <c r="E63" s="52">
        <v>2069</v>
      </c>
      <c r="F63" s="52">
        <v>2163</v>
      </c>
      <c r="G63" s="52">
        <v>3078</v>
      </c>
      <c r="H63" s="52">
        <v>3029</v>
      </c>
      <c r="I63" s="52">
        <v>2198</v>
      </c>
    </row>
    <row r="64" spans="1:9" x14ac:dyDescent="0.2">
      <c r="A64" s="11" t="s">
        <v>63</v>
      </c>
      <c r="B64" s="10" t="s">
        <v>70</v>
      </c>
      <c r="C64" s="52">
        <v>5251</v>
      </c>
      <c r="D64" s="52">
        <v>9669</v>
      </c>
      <c r="E64" s="52">
        <v>11092</v>
      </c>
      <c r="F64" s="52">
        <v>11464</v>
      </c>
      <c r="G64" s="52">
        <v>13836</v>
      </c>
      <c r="H64" s="52">
        <v>12560</v>
      </c>
      <c r="I64" s="52">
        <v>8779</v>
      </c>
    </row>
    <row r="65" spans="1:9" x14ac:dyDescent="0.2">
      <c r="A65" s="11" t="s">
        <v>64</v>
      </c>
      <c r="B65" s="10" t="s">
        <v>70</v>
      </c>
      <c r="C65" s="52">
        <v>1263</v>
      </c>
      <c r="D65" s="52">
        <v>2507</v>
      </c>
      <c r="E65" s="52">
        <v>2782</v>
      </c>
      <c r="F65" s="52">
        <v>2890</v>
      </c>
      <c r="G65" s="52">
        <v>4512</v>
      </c>
      <c r="H65" s="52">
        <v>4418</v>
      </c>
      <c r="I65" s="52">
        <v>3350</v>
      </c>
    </row>
    <row r="66" spans="1:9" x14ac:dyDescent="0.2">
      <c r="A66" s="11" t="s">
        <v>65</v>
      </c>
      <c r="B66" s="10" t="s">
        <v>70</v>
      </c>
      <c r="C66" s="52">
        <v>8807</v>
      </c>
      <c r="D66" s="52">
        <v>16510</v>
      </c>
      <c r="E66" s="52">
        <v>18362</v>
      </c>
      <c r="F66" s="52">
        <v>19198</v>
      </c>
      <c r="G66" s="52">
        <v>25890</v>
      </c>
      <c r="H66" s="52">
        <v>23841</v>
      </c>
      <c r="I66" s="52">
        <v>18216</v>
      </c>
    </row>
    <row r="67" spans="1:9" x14ac:dyDescent="0.2">
      <c r="A67" s="11" t="s">
        <v>66</v>
      </c>
      <c r="B67" s="10" t="s">
        <v>70</v>
      </c>
      <c r="C67" s="52">
        <v>728</v>
      </c>
      <c r="D67" s="52">
        <v>1373</v>
      </c>
      <c r="E67" s="52">
        <v>1530</v>
      </c>
      <c r="F67" s="52">
        <v>1741</v>
      </c>
      <c r="G67" s="52">
        <v>2144</v>
      </c>
      <c r="H67" s="52">
        <v>2073</v>
      </c>
      <c r="I67" s="52">
        <v>1733</v>
      </c>
    </row>
    <row r="68" spans="1:9" ht="13.5" thickBot="1" x14ac:dyDescent="0.25">
      <c r="A68" s="13" t="s">
        <v>67</v>
      </c>
      <c r="B68" s="12" t="s">
        <v>70</v>
      </c>
      <c r="C68" s="52">
        <v>11065</v>
      </c>
      <c r="D68" s="52">
        <v>21535</v>
      </c>
      <c r="E68" s="52">
        <v>25221</v>
      </c>
      <c r="F68" s="52">
        <v>25409</v>
      </c>
      <c r="G68" s="52">
        <v>34304</v>
      </c>
      <c r="H68" s="52">
        <v>29043</v>
      </c>
      <c r="I68" s="52">
        <v>21677</v>
      </c>
    </row>
    <row r="69" spans="1:9" x14ac:dyDescent="0.2">
      <c r="A69" s="32" t="s">
        <v>68</v>
      </c>
      <c r="C69" s="14">
        <f>SUM(C2:C68)</f>
        <v>252328</v>
      </c>
      <c r="D69" s="14">
        <f t="shared" ref="D69:I69" si="0">SUM(D2:D68)</f>
        <v>470344</v>
      </c>
      <c r="E69" s="14">
        <f t="shared" si="0"/>
        <v>514739</v>
      </c>
      <c r="F69" s="14">
        <f t="shared" si="0"/>
        <v>529455</v>
      </c>
      <c r="G69" s="14">
        <f t="shared" si="0"/>
        <v>704354</v>
      </c>
      <c r="H69" s="14">
        <f t="shared" si="0"/>
        <v>651693</v>
      </c>
      <c r="I69" s="14">
        <f t="shared" si="0"/>
        <v>512265</v>
      </c>
    </row>
    <row r="70" spans="1:9" x14ac:dyDescent="0.2">
      <c r="C70" s="17">
        <f>C69/$C$72</f>
        <v>6.9412832053891177E-2</v>
      </c>
      <c r="D70" s="17">
        <f t="shared" ref="D70:I70" si="1">D69/$C$72</f>
        <v>0.12938678656175845</v>
      </c>
      <c r="E70" s="17">
        <f t="shared" si="1"/>
        <v>0.14159939348224487</v>
      </c>
      <c r="F70" s="17">
        <f t="shared" si="1"/>
        <v>0.14564761340435048</v>
      </c>
      <c r="G70" s="17">
        <f t="shared" si="1"/>
        <v>0.1937605256193782</v>
      </c>
      <c r="H70" s="17">
        <f t="shared" si="1"/>
        <v>0.17927402729660005</v>
      </c>
      <c r="I70" s="17">
        <f t="shared" si="1"/>
        <v>0.14091882158177674</v>
      </c>
    </row>
    <row r="72" spans="1:9" x14ac:dyDescent="0.2">
      <c r="A72" s="32" t="s">
        <v>80</v>
      </c>
      <c r="C72" s="16">
        <f>SUM(C69:I69)</f>
        <v>3635178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42" activePane="bottomLeft" state="frozen"/>
      <selection activeCell="O67" sqref="O67"/>
      <selection pane="bottomLeft" activeCell="K15" sqref="K15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17074</v>
      </c>
      <c r="C3" s="70">
        <v>2092</v>
      </c>
      <c r="D3" s="69">
        <v>40883</v>
      </c>
      <c r="E3" s="70">
        <v>3098</v>
      </c>
      <c r="F3" s="72">
        <v>11549</v>
      </c>
      <c r="G3" s="74">
        <v>1892</v>
      </c>
    </row>
    <row r="4" spans="1:7" x14ac:dyDescent="0.2">
      <c r="A4" s="11" t="s">
        <v>2</v>
      </c>
      <c r="B4" s="69">
        <v>446919</v>
      </c>
      <c r="C4" s="70">
        <v>56076</v>
      </c>
      <c r="D4" s="69">
        <v>241601</v>
      </c>
      <c r="E4" s="70">
        <v>21381</v>
      </c>
      <c r="F4" s="72">
        <v>127188</v>
      </c>
      <c r="G4" s="75">
        <v>23368</v>
      </c>
    </row>
    <row r="5" spans="1:7" x14ac:dyDescent="0.2">
      <c r="A5" s="11" t="s">
        <v>3</v>
      </c>
      <c r="B5" s="69">
        <v>9874</v>
      </c>
      <c r="C5" s="70">
        <v>778</v>
      </c>
      <c r="D5" s="69">
        <v>26264</v>
      </c>
      <c r="E5" s="70">
        <v>1384</v>
      </c>
      <c r="F5" s="72">
        <v>4769</v>
      </c>
      <c r="G5" s="75">
        <v>532</v>
      </c>
    </row>
    <row r="6" spans="1:7" x14ac:dyDescent="0.2">
      <c r="A6" s="11" t="s">
        <v>4</v>
      </c>
      <c r="B6" s="69">
        <v>42134</v>
      </c>
      <c r="C6" s="70">
        <v>3585</v>
      </c>
      <c r="D6" s="69">
        <v>48905</v>
      </c>
      <c r="E6" s="70">
        <v>2970</v>
      </c>
      <c r="F6" s="72">
        <v>14513</v>
      </c>
      <c r="G6" s="75">
        <v>1981</v>
      </c>
    </row>
    <row r="7" spans="1:7" x14ac:dyDescent="0.2">
      <c r="A7" s="11" t="s">
        <v>5</v>
      </c>
      <c r="B7" s="69">
        <v>4874</v>
      </c>
      <c r="C7" s="70">
        <v>391</v>
      </c>
      <c r="D7" s="69">
        <v>23488</v>
      </c>
      <c r="E7" s="70">
        <v>1079</v>
      </c>
      <c r="F7" s="72">
        <v>2857</v>
      </c>
      <c r="G7" s="75">
        <v>337</v>
      </c>
    </row>
    <row r="8" spans="1:7" x14ac:dyDescent="0.2">
      <c r="A8" s="11" t="s">
        <v>6</v>
      </c>
      <c r="B8" s="69">
        <v>93640</v>
      </c>
      <c r="C8" s="70">
        <v>10617</v>
      </c>
      <c r="D8" s="69">
        <v>111031</v>
      </c>
      <c r="E8" s="70">
        <v>6911</v>
      </c>
      <c r="F8" s="72">
        <v>45600</v>
      </c>
      <c r="G8" s="75">
        <v>6271</v>
      </c>
    </row>
    <row r="9" spans="1:7" x14ac:dyDescent="0.2">
      <c r="A9" s="11" t="s">
        <v>7</v>
      </c>
      <c r="B9" s="69">
        <v>17598</v>
      </c>
      <c r="C9" s="70">
        <v>2192</v>
      </c>
      <c r="D9" s="69">
        <v>47159</v>
      </c>
      <c r="E9" s="70">
        <v>3435</v>
      </c>
      <c r="F9" s="72">
        <v>9491</v>
      </c>
      <c r="G9" s="75">
        <v>1687</v>
      </c>
    </row>
    <row r="10" spans="1:7" x14ac:dyDescent="0.2">
      <c r="A10" s="11" t="s">
        <v>8</v>
      </c>
      <c r="B10" s="69">
        <v>7034</v>
      </c>
      <c r="C10" s="70">
        <v>782</v>
      </c>
      <c r="D10" s="69">
        <v>23933</v>
      </c>
      <c r="E10" s="70">
        <v>1703</v>
      </c>
      <c r="F10" s="72">
        <v>4736</v>
      </c>
      <c r="G10" s="75">
        <v>675</v>
      </c>
    </row>
    <row r="11" spans="1:7" x14ac:dyDescent="0.2">
      <c r="A11" s="11" t="s">
        <v>9</v>
      </c>
      <c r="B11" s="69">
        <v>178196</v>
      </c>
      <c r="C11" s="70">
        <v>15704</v>
      </c>
      <c r="D11" s="69">
        <v>190083</v>
      </c>
      <c r="E11" s="70">
        <v>11806</v>
      </c>
      <c r="F11" s="72">
        <v>79637</v>
      </c>
      <c r="G11" s="75">
        <v>8891</v>
      </c>
    </row>
    <row r="12" spans="1:7" x14ac:dyDescent="0.2">
      <c r="A12" s="11" t="s">
        <v>10</v>
      </c>
      <c r="B12" s="69">
        <v>36148</v>
      </c>
      <c r="C12" s="70">
        <v>3039</v>
      </c>
      <c r="D12" s="69">
        <v>78144</v>
      </c>
      <c r="E12" s="70">
        <v>4753</v>
      </c>
      <c r="F12" s="72">
        <v>19013</v>
      </c>
      <c r="G12" s="75">
        <v>2446</v>
      </c>
    </row>
    <row r="13" spans="1:7" x14ac:dyDescent="0.2">
      <c r="A13" s="11" t="s">
        <v>11</v>
      </c>
      <c r="B13" s="69">
        <v>27072</v>
      </c>
      <c r="C13" s="70">
        <v>2319</v>
      </c>
      <c r="D13" s="69">
        <v>44225</v>
      </c>
      <c r="E13" s="70">
        <v>2264</v>
      </c>
      <c r="F13" s="72">
        <v>8803</v>
      </c>
      <c r="G13" s="75">
        <v>1180</v>
      </c>
    </row>
    <row r="14" spans="1:7" x14ac:dyDescent="0.2">
      <c r="A14" s="11" t="s">
        <v>12</v>
      </c>
      <c r="B14" s="69">
        <v>606</v>
      </c>
      <c r="C14" s="70">
        <v>59</v>
      </c>
      <c r="D14" s="69">
        <v>1725</v>
      </c>
      <c r="E14" s="70">
        <v>116</v>
      </c>
      <c r="F14" s="72">
        <v>338</v>
      </c>
      <c r="G14" s="75">
        <v>40</v>
      </c>
    </row>
    <row r="15" spans="1:7" x14ac:dyDescent="0.2">
      <c r="A15" s="11" t="s">
        <v>13</v>
      </c>
      <c r="B15" s="69">
        <v>12714</v>
      </c>
      <c r="C15" s="70">
        <v>1366</v>
      </c>
      <c r="D15" s="69">
        <v>22204</v>
      </c>
      <c r="E15" s="70">
        <v>1678</v>
      </c>
      <c r="F15" s="72">
        <v>6706</v>
      </c>
      <c r="G15" s="75">
        <v>1049</v>
      </c>
    </row>
    <row r="16" spans="1:7" x14ac:dyDescent="0.2">
      <c r="A16" s="11" t="s">
        <v>14</v>
      </c>
      <c r="B16" s="69">
        <v>34000</v>
      </c>
      <c r="C16" s="70">
        <v>7377</v>
      </c>
      <c r="D16" s="69">
        <v>37521</v>
      </c>
      <c r="E16" s="70">
        <v>4268</v>
      </c>
      <c r="F16" s="72">
        <v>14860</v>
      </c>
      <c r="G16" s="75">
        <v>3905</v>
      </c>
    </row>
    <row r="17" spans="1:7" x14ac:dyDescent="0.2">
      <c r="A17" s="11" t="s">
        <v>15</v>
      </c>
      <c r="B17" s="69">
        <v>146541</v>
      </c>
      <c r="C17" s="70">
        <v>14254</v>
      </c>
      <c r="D17" s="69">
        <v>141276</v>
      </c>
      <c r="E17" s="70">
        <v>10526</v>
      </c>
      <c r="F17" s="72">
        <v>68086</v>
      </c>
      <c r="G17" s="75">
        <v>8432</v>
      </c>
    </row>
    <row r="18" spans="1:7" x14ac:dyDescent="0.2">
      <c r="A18" s="11" t="s">
        <v>16</v>
      </c>
      <c r="B18" s="69">
        <v>4644</v>
      </c>
      <c r="C18" s="70">
        <v>405</v>
      </c>
      <c r="D18" s="69">
        <v>14760</v>
      </c>
      <c r="E18" s="70">
        <v>783</v>
      </c>
      <c r="F18" s="72">
        <v>2432</v>
      </c>
      <c r="G18" s="75">
        <v>291</v>
      </c>
    </row>
    <row r="19" spans="1:7" x14ac:dyDescent="0.2">
      <c r="A19" s="11" t="s">
        <v>17</v>
      </c>
      <c r="B19" s="69">
        <v>10792</v>
      </c>
      <c r="C19" s="70">
        <v>1220</v>
      </c>
      <c r="D19" s="69">
        <v>29233</v>
      </c>
      <c r="E19" s="70">
        <v>2193</v>
      </c>
      <c r="F19" s="72">
        <v>5204</v>
      </c>
      <c r="G19" s="75">
        <v>888</v>
      </c>
    </row>
    <row r="20" spans="1:7" x14ac:dyDescent="0.2">
      <c r="A20" s="11" t="s">
        <v>18</v>
      </c>
      <c r="B20" s="69">
        <v>5592</v>
      </c>
      <c r="C20" s="70">
        <v>474</v>
      </c>
      <c r="D20" s="69">
        <v>12536</v>
      </c>
      <c r="E20" s="70">
        <v>750</v>
      </c>
      <c r="F20" s="72">
        <v>2792</v>
      </c>
      <c r="G20" s="75">
        <v>366</v>
      </c>
    </row>
    <row r="21" spans="1:7" x14ac:dyDescent="0.2">
      <c r="A21" s="11" t="s">
        <v>19</v>
      </c>
      <c r="B21" s="69">
        <v>10543</v>
      </c>
      <c r="C21" s="70">
        <v>1226</v>
      </c>
      <c r="D21" s="69">
        <v>21054</v>
      </c>
      <c r="E21" s="70">
        <v>1428</v>
      </c>
      <c r="F21" s="72">
        <v>5496</v>
      </c>
      <c r="G21" s="75">
        <v>876</v>
      </c>
    </row>
    <row r="22" spans="1:7" x14ac:dyDescent="0.2">
      <c r="A22" s="11" t="s">
        <v>20</v>
      </c>
      <c r="B22" s="69">
        <v>12763</v>
      </c>
      <c r="C22" s="70">
        <v>1629</v>
      </c>
      <c r="D22" s="69">
        <v>29689</v>
      </c>
      <c r="E22" s="70">
        <v>2056</v>
      </c>
      <c r="F22" s="72">
        <v>5818</v>
      </c>
      <c r="G22" s="75">
        <v>948</v>
      </c>
    </row>
    <row r="23" spans="1:7" x14ac:dyDescent="0.2">
      <c r="A23" s="11" t="s">
        <v>21</v>
      </c>
      <c r="B23" s="69">
        <v>56428</v>
      </c>
      <c r="C23" s="70">
        <v>5179</v>
      </c>
      <c r="D23" s="69">
        <v>82922</v>
      </c>
      <c r="E23" s="70">
        <v>5306</v>
      </c>
      <c r="F23" s="72">
        <v>29933</v>
      </c>
      <c r="G23" s="75">
        <v>3710</v>
      </c>
    </row>
    <row r="24" spans="1:7" x14ac:dyDescent="0.2">
      <c r="A24" s="11" t="s">
        <v>22</v>
      </c>
      <c r="B24" s="69">
        <v>77089</v>
      </c>
      <c r="C24" s="70">
        <v>9394</v>
      </c>
      <c r="D24" s="69">
        <v>70610</v>
      </c>
      <c r="E24" s="70">
        <v>5385</v>
      </c>
      <c r="F24" s="72">
        <v>33041</v>
      </c>
      <c r="G24" s="75">
        <v>5357</v>
      </c>
    </row>
    <row r="25" spans="1:7" x14ac:dyDescent="0.2">
      <c r="A25" s="11" t="s">
        <v>23</v>
      </c>
      <c r="B25" s="69">
        <v>179311</v>
      </c>
      <c r="C25" s="70">
        <v>23364</v>
      </c>
      <c r="D25" s="69">
        <v>131514</v>
      </c>
      <c r="E25" s="70">
        <v>11279</v>
      </c>
      <c r="F25" s="72">
        <v>55772</v>
      </c>
      <c r="G25" s="75">
        <v>9107</v>
      </c>
    </row>
    <row r="26" spans="1:7" x14ac:dyDescent="0.2">
      <c r="A26" s="11" t="s">
        <v>24</v>
      </c>
      <c r="B26" s="69">
        <v>5383</v>
      </c>
      <c r="C26" s="70">
        <v>399</v>
      </c>
      <c r="D26" s="69">
        <v>11565</v>
      </c>
      <c r="E26" s="70">
        <v>554</v>
      </c>
      <c r="F26" s="72">
        <v>2250</v>
      </c>
      <c r="G26" s="75">
        <v>303</v>
      </c>
    </row>
    <row r="27" spans="1:7" x14ac:dyDescent="0.2">
      <c r="A27" s="11" t="s">
        <v>25</v>
      </c>
      <c r="B27" s="69">
        <v>68823</v>
      </c>
      <c r="C27" s="70">
        <v>7643</v>
      </c>
      <c r="D27" s="69">
        <v>65414</v>
      </c>
      <c r="E27" s="70">
        <v>5405</v>
      </c>
      <c r="F27" s="72">
        <v>23215</v>
      </c>
      <c r="G27" s="75">
        <v>4258</v>
      </c>
    </row>
    <row r="28" spans="1:7" x14ac:dyDescent="0.2">
      <c r="A28" s="11" t="s">
        <v>26</v>
      </c>
      <c r="B28" s="69">
        <v>26613</v>
      </c>
      <c r="C28" s="70">
        <v>2855</v>
      </c>
      <c r="D28" s="69">
        <v>38689</v>
      </c>
      <c r="E28" s="70">
        <v>2604</v>
      </c>
      <c r="F28" s="72">
        <v>7541</v>
      </c>
      <c r="G28" s="75">
        <v>1210</v>
      </c>
    </row>
    <row r="29" spans="1:7" x14ac:dyDescent="0.2">
      <c r="A29" s="11" t="s">
        <v>27</v>
      </c>
      <c r="B29" s="69">
        <v>697</v>
      </c>
      <c r="C29" s="70">
        <v>81</v>
      </c>
      <c r="D29" s="69">
        <v>1902</v>
      </c>
      <c r="E29" s="70">
        <v>142</v>
      </c>
      <c r="F29" s="72">
        <v>344</v>
      </c>
      <c r="G29" s="75">
        <v>54</v>
      </c>
    </row>
    <row r="30" spans="1:7" x14ac:dyDescent="0.2">
      <c r="A30" s="11" t="s">
        <v>28</v>
      </c>
      <c r="B30" s="69">
        <v>21260</v>
      </c>
      <c r="C30" s="70">
        <v>2213</v>
      </c>
      <c r="D30" s="69">
        <v>60843</v>
      </c>
      <c r="E30" s="70">
        <v>3500</v>
      </c>
      <c r="F30" s="72">
        <v>15603</v>
      </c>
      <c r="G30" s="75">
        <v>1892</v>
      </c>
    </row>
    <row r="31" spans="1:7" x14ac:dyDescent="0.2">
      <c r="A31" s="11" t="s">
        <v>29</v>
      </c>
      <c r="B31" s="69">
        <v>1295</v>
      </c>
      <c r="C31" s="70">
        <v>176</v>
      </c>
      <c r="D31" s="69">
        <v>6954</v>
      </c>
      <c r="E31" s="70">
        <v>509</v>
      </c>
      <c r="F31" s="72">
        <v>970</v>
      </c>
      <c r="G31" s="75">
        <v>200</v>
      </c>
    </row>
    <row r="32" spans="1:7" x14ac:dyDescent="0.2">
      <c r="A32" s="11" t="s">
        <v>30</v>
      </c>
      <c r="B32" s="69">
        <v>6663</v>
      </c>
      <c r="C32" s="70">
        <v>710</v>
      </c>
      <c r="D32" s="69">
        <v>11302</v>
      </c>
      <c r="E32" s="70">
        <v>853</v>
      </c>
      <c r="F32" s="72">
        <v>1873</v>
      </c>
      <c r="G32" s="75">
        <v>371</v>
      </c>
    </row>
    <row r="33" spans="1:7" x14ac:dyDescent="0.2">
      <c r="A33" s="11" t="s">
        <v>31</v>
      </c>
      <c r="B33" s="69">
        <v>5157</v>
      </c>
      <c r="C33" s="70">
        <v>855</v>
      </c>
      <c r="D33" s="69">
        <v>17666</v>
      </c>
      <c r="E33" s="70">
        <v>1235</v>
      </c>
      <c r="F33" s="72">
        <v>2509</v>
      </c>
      <c r="G33" s="75">
        <v>461</v>
      </c>
    </row>
    <row r="34" spans="1:7" x14ac:dyDescent="0.2">
      <c r="A34" s="11" t="s">
        <v>32</v>
      </c>
      <c r="B34" s="69">
        <v>12954</v>
      </c>
      <c r="C34" s="70">
        <v>953</v>
      </c>
      <c r="D34" s="69">
        <v>27768</v>
      </c>
      <c r="E34" s="70">
        <v>1127</v>
      </c>
      <c r="F34" s="72">
        <v>5852</v>
      </c>
      <c r="G34" s="75">
        <v>502</v>
      </c>
    </row>
    <row r="35" spans="1:7" x14ac:dyDescent="0.2">
      <c r="A35" s="11" t="s">
        <v>33</v>
      </c>
      <c r="B35" s="69">
        <v>4935</v>
      </c>
      <c r="C35" s="70">
        <v>494</v>
      </c>
      <c r="D35" s="69">
        <v>18132</v>
      </c>
      <c r="E35" s="70">
        <v>1293</v>
      </c>
      <c r="F35" s="72">
        <v>2844</v>
      </c>
      <c r="G35" s="75">
        <v>372</v>
      </c>
    </row>
    <row r="36" spans="1:7" x14ac:dyDescent="0.2">
      <c r="A36" s="11" t="s">
        <v>34</v>
      </c>
      <c r="B36" s="69">
        <v>2315</v>
      </c>
      <c r="C36" s="70">
        <v>222</v>
      </c>
      <c r="D36" s="69">
        <v>9561</v>
      </c>
      <c r="E36" s="70">
        <v>458</v>
      </c>
      <c r="F36" s="72">
        <v>1345</v>
      </c>
      <c r="G36" s="75">
        <v>163</v>
      </c>
    </row>
    <row r="37" spans="1:7" x14ac:dyDescent="0.2">
      <c r="A37" s="11" t="s">
        <v>35</v>
      </c>
      <c r="B37" s="69">
        <v>70241</v>
      </c>
      <c r="C37" s="70">
        <v>6410</v>
      </c>
      <c r="D37" s="69">
        <v>48123</v>
      </c>
      <c r="E37" s="70">
        <v>4189</v>
      </c>
      <c r="F37" s="72">
        <v>17809</v>
      </c>
      <c r="G37" s="75">
        <v>3007</v>
      </c>
    </row>
    <row r="38" spans="1:7" x14ac:dyDescent="0.2">
      <c r="A38" s="11" t="s">
        <v>36</v>
      </c>
      <c r="B38" s="69">
        <v>101551</v>
      </c>
      <c r="C38" s="70">
        <v>11375</v>
      </c>
      <c r="D38" s="69">
        <v>171450</v>
      </c>
      <c r="E38" s="70">
        <v>12305</v>
      </c>
      <c r="F38" s="72">
        <v>59174</v>
      </c>
      <c r="G38" s="75">
        <v>8392</v>
      </c>
    </row>
    <row r="39" spans="1:7" x14ac:dyDescent="0.2">
      <c r="A39" s="11" t="s">
        <v>37</v>
      </c>
      <c r="B39" s="69">
        <v>17937</v>
      </c>
      <c r="C39" s="70">
        <v>1740</v>
      </c>
      <c r="D39" s="69">
        <v>28404</v>
      </c>
      <c r="E39" s="70">
        <v>1727</v>
      </c>
      <c r="F39" s="72">
        <v>6569</v>
      </c>
      <c r="G39" s="75">
        <v>956</v>
      </c>
    </row>
    <row r="40" spans="1:7" x14ac:dyDescent="0.2">
      <c r="A40" s="11" t="s">
        <v>38</v>
      </c>
      <c r="B40" s="69">
        <v>22645</v>
      </c>
      <c r="C40" s="70">
        <v>2797</v>
      </c>
      <c r="D40" s="69">
        <v>49376</v>
      </c>
      <c r="E40" s="70">
        <v>3234</v>
      </c>
      <c r="F40" s="72">
        <v>13780</v>
      </c>
      <c r="G40" s="75">
        <v>2187</v>
      </c>
    </row>
    <row r="41" spans="1:7" x14ac:dyDescent="0.2">
      <c r="A41" s="11" t="s">
        <v>39</v>
      </c>
      <c r="B41" s="69">
        <v>98270</v>
      </c>
      <c r="C41" s="70">
        <v>13222</v>
      </c>
      <c r="D41" s="69">
        <v>82657</v>
      </c>
      <c r="E41" s="70">
        <v>6804</v>
      </c>
      <c r="F41" s="72">
        <v>45095</v>
      </c>
      <c r="G41" s="75">
        <v>7876</v>
      </c>
    </row>
    <row r="42" spans="1:7" x14ac:dyDescent="0.2">
      <c r="A42" s="11" t="s">
        <v>40</v>
      </c>
      <c r="B42" s="69">
        <v>76066</v>
      </c>
      <c r="C42" s="70">
        <v>9007</v>
      </c>
      <c r="D42" s="69">
        <v>84090</v>
      </c>
      <c r="E42" s="70">
        <v>6827</v>
      </c>
      <c r="F42" s="72">
        <v>26649</v>
      </c>
      <c r="G42" s="75">
        <v>4790</v>
      </c>
    </row>
    <row r="43" spans="1:7" x14ac:dyDescent="0.2">
      <c r="A43" s="11" t="s">
        <v>41</v>
      </c>
      <c r="B43" s="69">
        <v>16500</v>
      </c>
      <c r="C43" s="70">
        <v>1703</v>
      </c>
      <c r="D43" s="69">
        <v>41599</v>
      </c>
      <c r="E43" s="70">
        <v>2154</v>
      </c>
      <c r="F43" s="72">
        <v>9464</v>
      </c>
      <c r="G43" s="75">
        <v>1223</v>
      </c>
    </row>
    <row r="44" spans="1:7" x14ac:dyDescent="0.2">
      <c r="A44" s="11" t="s">
        <v>42</v>
      </c>
      <c r="B44" s="69">
        <v>4654</v>
      </c>
      <c r="C44" s="70">
        <v>633</v>
      </c>
      <c r="D44" s="69">
        <v>14829</v>
      </c>
      <c r="E44" s="70">
        <v>1339</v>
      </c>
      <c r="F44" s="72">
        <v>3116</v>
      </c>
      <c r="G44" s="75">
        <v>613</v>
      </c>
    </row>
    <row r="45" spans="1:7" x14ac:dyDescent="0.2">
      <c r="A45" s="11" t="s">
        <v>43</v>
      </c>
      <c r="B45" s="69">
        <v>20923</v>
      </c>
      <c r="C45" s="70">
        <v>2190</v>
      </c>
      <c r="D45" s="69">
        <v>35784</v>
      </c>
      <c r="E45" s="70">
        <v>2507</v>
      </c>
      <c r="F45" s="72">
        <v>9066</v>
      </c>
      <c r="G45" s="75">
        <v>1385</v>
      </c>
    </row>
    <row r="46" spans="1:7" x14ac:dyDescent="0.2">
      <c r="A46" s="11" t="s">
        <v>44</v>
      </c>
      <c r="B46" s="69">
        <v>4824</v>
      </c>
      <c r="C46" s="70">
        <v>548</v>
      </c>
      <c r="D46" s="69">
        <v>17456</v>
      </c>
      <c r="E46" s="70">
        <v>1167</v>
      </c>
      <c r="F46" s="72">
        <v>2701</v>
      </c>
      <c r="G46" s="75">
        <v>433</v>
      </c>
    </row>
    <row r="47" spans="1:7" x14ac:dyDescent="0.2">
      <c r="A47" s="11" t="s">
        <v>45</v>
      </c>
      <c r="B47" s="69">
        <v>42058</v>
      </c>
      <c r="C47" s="70">
        <v>6444</v>
      </c>
      <c r="D47" s="69">
        <v>39453</v>
      </c>
      <c r="E47" s="70">
        <v>3833</v>
      </c>
      <c r="F47" s="72">
        <v>22018</v>
      </c>
      <c r="G47" s="75">
        <v>3608</v>
      </c>
    </row>
    <row r="48" spans="1:7" x14ac:dyDescent="0.2">
      <c r="A48" s="11" t="s">
        <v>46</v>
      </c>
      <c r="B48" s="69">
        <v>282950</v>
      </c>
      <c r="C48" s="70">
        <v>22341</v>
      </c>
      <c r="D48" s="69">
        <v>195637</v>
      </c>
      <c r="E48" s="70">
        <v>12111</v>
      </c>
      <c r="F48" s="72">
        <v>99697</v>
      </c>
      <c r="G48" s="75">
        <v>10726</v>
      </c>
    </row>
    <row r="49" spans="1:7" x14ac:dyDescent="0.2">
      <c r="A49" s="11" t="s">
        <v>47</v>
      </c>
      <c r="B49" s="69">
        <v>3410</v>
      </c>
      <c r="C49" s="70">
        <v>361</v>
      </c>
      <c r="D49" s="69">
        <v>6094</v>
      </c>
      <c r="E49" s="70">
        <v>457</v>
      </c>
      <c r="F49" s="72">
        <v>1760</v>
      </c>
      <c r="G49" s="75">
        <v>267</v>
      </c>
    </row>
    <row r="50" spans="1:7" x14ac:dyDescent="0.2">
      <c r="A50" s="11" t="s">
        <v>48</v>
      </c>
      <c r="B50" s="69">
        <v>84963</v>
      </c>
      <c r="C50" s="70">
        <v>11000</v>
      </c>
      <c r="D50" s="69">
        <v>80172</v>
      </c>
      <c r="E50" s="70">
        <v>6655</v>
      </c>
      <c r="F50" s="72">
        <v>42435</v>
      </c>
      <c r="G50" s="75">
        <v>6866</v>
      </c>
    </row>
    <row r="51" spans="1:7" x14ac:dyDescent="0.2">
      <c r="A51" s="11" t="s">
        <v>49</v>
      </c>
      <c r="B51" s="69">
        <v>12103</v>
      </c>
      <c r="C51" s="70">
        <v>3238</v>
      </c>
      <c r="D51" s="69">
        <v>27059</v>
      </c>
      <c r="E51" s="70">
        <v>4861</v>
      </c>
      <c r="F51" s="72">
        <v>4974</v>
      </c>
      <c r="G51" s="75">
        <v>3088</v>
      </c>
    </row>
    <row r="52" spans="1:7" x14ac:dyDescent="0.2">
      <c r="A52" s="11" t="s">
        <v>50</v>
      </c>
      <c r="B52" s="69">
        <v>5623</v>
      </c>
      <c r="C52" s="70">
        <v>404</v>
      </c>
      <c r="D52" s="69">
        <v>19879</v>
      </c>
      <c r="E52" s="70">
        <v>1066</v>
      </c>
      <c r="F52" s="72">
        <v>3820</v>
      </c>
      <c r="G52" s="75">
        <v>462</v>
      </c>
    </row>
    <row r="53" spans="1:7" x14ac:dyDescent="0.2">
      <c r="A53" s="11" t="s">
        <v>51</v>
      </c>
      <c r="B53" s="69">
        <v>646586</v>
      </c>
      <c r="C53" s="70">
        <v>130631</v>
      </c>
      <c r="D53" s="69">
        <v>110445</v>
      </c>
      <c r="E53" s="70">
        <v>20677</v>
      </c>
      <c r="F53" s="72">
        <v>142829</v>
      </c>
      <c r="G53" s="75">
        <v>35266</v>
      </c>
    </row>
    <row r="54" spans="1:7" x14ac:dyDescent="0.2">
      <c r="A54" s="11" t="s">
        <v>52</v>
      </c>
      <c r="B54" s="69">
        <v>11735</v>
      </c>
      <c r="C54" s="70">
        <v>1859</v>
      </c>
      <c r="D54" s="69">
        <v>20814</v>
      </c>
      <c r="E54" s="70">
        <v>2241</v>
      </c>
      <c r="F54" s="72">
        <v>9077</v>
      </c>
      <c r="G54" s="75">
        <v>1559</v>
      </c>
    </row>
    <row r="55" spans="1:7" x14ac:dyDescent="0.2">
      <c r="A55" s="11" t="s">
        <v>53</v>
      </c>
      <c r="B55" s="69">
        <v>1599</v>
      </c>
      <c r="C55" s="70">
        <v>140</v>
      </c>
      <c r="D55" s="69">
        <v>7474</v>
      </c>
      <c r="E55" s="70">
        <v>531</v>
      </c>
      <c r="F55" s="72">
        <v>1092</v>
      </c>
      <c r="G55" s="75">
        <v>174</v>
      </c>
    </row>
    <row r="56" spans="1:7" x14ac:dyDescent="0.2">
      <c r="A56" s="11" t="s">
        <v>54</v>
      </c>
      <c r="B56" s="69">
        <v>23308</v>
      </c>
      <c r="C56" s="70">
        <v>2035</v>
      </c>
      <c r="D56" s="69">
        <v>50565</v>
      </c>
      <c r="E56" s="70">
        <v>2594</v>
      </c>
      <c r="F56" s="72">
        <v>12418</v>
      </c>
      <c r="G56" s="75">
        <v>1463</v>
      </c>
    </row>
    <row r="57" spans="1:7" x14ac:dyDescent="0.2">
      <c r="A57" s="11" t="s">
        <v>55</v>
      </c>
      <c r="B57" s="69">
        <v>4366</v>
      </c>
      <c r="C57" s="70">
        <v>518</v>
      </c>
      <c r="D57" s="69">
        <v>15041</v>
      </c>
      <c r="E57" s="70">
        <v>909</v>
      </c>
      <c r="F57" s="72">
        <v>2560</v>
      </c>
      <c r="G57" s="75">
        <v>458</v>
      </c>
    </row>
    <row r="58" spans="1:7" x14ac:dyDescent="0.2">
      <c r="A58" s="11" t="s">
        <v>56</v>
      </c>
      <c r="B58" s="69">
        <v>9677</v>
      </c>
      <c r="C58" s="70">
        <v>823</v>
      </c>
      <c r="D58" s="69">
        <v>31164</v>
      </c>
      <c r="E58" s="70">
        <v>1694</v>
      </c>
      <c r="F58" s="72">
        <v>4559</v>
      </c>
      <c r="G58" s="75">
        <v>604</v>
      </c>
    </row>
    <row r="59" spans="1:7" x14ac:dyDescent="0.2">
      <c r="A59" s="11" t="s">
        <v>57</v>
      </c>
      <c r="B59" s="69">
        <v>986</v>
      </c>
      <c r="C59" s="70">
        <v>77</v>
      </c>
      <c r="D59" s="69">
        <v>2698</v>
      </c>
      <c r="E59" s="70">
        <v>148</v>
      </c>
      <c r="F59" s="72">
        <v>486</v>
      </c>
      <c r="G59" s="75">
        <v>54</v>
      </c>
    </row>
    <row r="60" spans="1:7" x14ac:dyDescent="0.2">
      <c r="A60" s="11" t="s">
        <v>58</v>
      </c>
      <c r="B60" s="69">
        <v>5403</v>
      </c>
      <c r="C60" s="70">
        <v>828</v>
      </c>
      <c r="D60" s="69">
        <v>15933</v>
      </c>
      <c r="E60" s="70">
        <v>1518</v>
      </c>
      <c r="F60" s="72">
        <v>3396</v>
      </c>
      <c r="G60" s="75">
        <v>681</v>
      </c>
    </row>
    <row r="61" spans="1:7" x14ac:dyDescent="0.2">
      <c r="A61" s="11" t="s">
        <v>59</v>
      </c>
      <c r="B61" s="69">
        <v>4540</v>
      </c>
      <c r="C61" s="70">
        <v>384</v>
      </c>
      <c r="D61" s="69">
        <v>17030</v>
      </c>
      <c r="E61" s="70">
        <v>1074</v>
      </c>
      <c r="F61" s="72">
        <v>3294</v>
      </c>
      <c r="G61" s="75">
        <v>464</v>
      </c>
    </row>
    <row r="62" spans="1:7" x14ac:dyDescent="0.2">
      <c r="A62" s="11" t="s">
        <v>60</v>
      </c>
      <c r="B62" s="69">
        <v>6504</v>
      </c>
      <c r="C62" s="70">
        <v>1292</v>
      </c>
      <c r="D62" s="69">
        <v>13192</v>
      </c>
      <c r="E62" s="70">
        <v>1213</v>
      </c>
      <c r="F62" s="72">
        <v>3376</v>
      </c>
      <c r="G62" s="75">
        <v>844</v>
      </c>
    </row>
    <row r="63" spans="1:7" x14ac:dyDescent="0.2">
      <c r="A63" s="11" t="s">
        <v>61</v>
      </c>
      <c r="B63" s="69">
        <v>7346</v>
      </c>
      <c r="C63" s="70">
        <v>680</v>
      </c>
      <c r="D63" s="69">
        <v>18936</v>
      </c>
      <c r="E63" s="70">
        <v>1197</v>
      </c>
      <c r="F63" s="72">
        <v>4098</v>
      </c>
      <c r="G63" s="75">
        <v>542</v>
      </c>
    </row>
    <row r="64" spans="1:7" x14ac:dyDescent="0.2">
      <c r="A64" s="11" t="s">
        <v>62</v>
      </c>
      <c r="B64" s="69">
        <v>5890</v>
      </c>
      <c r="C64" s="70">
        <v>454</v>
      </c>
      <c r="D64" s="69">
        <v>14350</v>
      </c>
      <c r="E64" s="70">
        <v>884</v>
      </c>
      <c r="F64" s="72">
        <v>3457</v>
      </c>
      <c r="G64" s="75">
        <v>381</v>
      </c>
    </row>
    <row r="65" spans="1:7" x14ac:dyDescent="0.2">
      <c r="A65" s="11" t="s">
        <v>63</v>
      </c>
      <c r="B65" s="69">
        <v>48779</v>
      </c>
      <c r="C65" s="70">
        <v>3825</v>
      </c>
      <c r="D65" s="69">
        <v>68919</v>
      </c>
      <c r="E65" s="70">
        <v>3732</v>
      </c>
      <c r="F65" s="72">
        <v>17518</v>
      </c>
      <c r="G65" s="75">
        <v>2156</v>
      </c>
    </row>
    <row r="66" spans="1:7" x14ac:dyDescent="0.2">
      <c r="A66" s="11" t="s">
        <v>64</v>
      </c>
      <c r="B66" s="69">
        <v>7863</v>
      </c>
      <c r="C66" s="70">
        <v>838</v>
      </c>
      <c r="D66" s="69">
        <v>20312</v>
      </c>
      <c r="E66" s="70">
        <v>1410</v>
      </c>
      <c r="F66" s="72">
        <v>5456</v>
      </c>
      <c r="G66" s="75">
        <v>764</v>
      </c>
    </row>
    <row r="67" spans="1:7" x14ac:dyDescent="0.2">
      <c r="A67" s="11" t="s">
        <v>65</v>
      </c>
      <c r="B67" s="69">
        <v>80105</v>
      </c>
      <c r="C67" s="70">
        <v>6671</v>
      </c>
      <c r="D67" s="69">
        <v>123402</v>
      </c>
      <c r="E67" s="70">
        <v>7422</v>
      </c>
      <c r="F67" s="72">
        <v>29310</v>
      </c>
      <c r="G67" s="75">
        <v>3803</v>
      </c>
    </row>
    <row r="68" spans="1:7" x14ac:dyDescent="0.2">
      <c r="A68" s="11" t="s">
        <v>66</v>
      </c>
      <c r="B68" s="69">
        <v>4287</v>
      </c>
      <c r="C68" s="70">
        <v>378</v>
      </c>
      <c r="D68" s="69">
        <v>10674</v>
      </c>
      <c r="E68" s="70">
        <v>648</v>
      </c>
      <c r="F68" s="72">
        <v>2172</v>
      </c>
      <c r="G68" s="75">
        <v>301</v>
      </c>
    </row>
    <row r="69" spans="1:7" x14ac:dyDescent="0.2">
      <c r="A69" s="19" t="s">
        <v>67</v>
      </c>
      <c r="B69" s="68">
        <v>85540</v>
      </c>
      <c r="C69" s="71">
        <v>10958</v>
      </c>
      <c r="D69" s="68">
        <v>155770</v>
      </c>
      <c r="E69" s="71">
        <v>12484</v>
      </c>
      <c r="F69" s="73">
        <v>54387</v>
      </c>
      <c r="G69" s="76">
        <v>8347</v>
      </c>
    </row>
    <row r="70" spans="1:7" x14ac:dyDescent="0.2">
      <c r="A70" s="32" t="s">
        <v>68</v>
      </c>
      <c r="B70" s="14">
        <f>SUM(B3:B69)</f>
        <v>3406913</v>
      </c>
      <c r="C70" s="14">
        <f t="shared" ref="C70:G70" si="0">SUM(C3:C69)</f>
        <v>435927</v>
      </c>
      <c r="D70" s="14">
        <f t="shared" si="0"/>
        <v>3379337</v>
      </c>
      <c r="E70" s="14">
        <f t="shared" si="0"/>
        <v>255844</v>
      </c>
      <c r="F70" s="14">
        <f t="shared" si="0"/>
        <v>1290592</v>
      </c>
      <c r="G70" s="14">
        <f t="shared" si="0"/>
        <v>207755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8976368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Scinta, Natalie</cp:lastModifiedBy>
  <cp:lastPrinted>2013-07-08T13:20:55Z</cp:lastPrinted>
  <dcterms:created xsi:type="dcterms:W3CDTF">2008-03-11T20:46:20Z</dcterms:created>
  <dcterms:modified xsi:type="dcterms:W3CDTF">2026-08-10T12:46:26Z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