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d190a6f058bf17/Documents/a.python/registration-stats/getdata/input/PA/reg/"/>
    </mc:Choice>
  </mc:AlternateContent>
  <xr:revisionPtr revIDLastSave="0" documentId="8_{E8B6B371-E950-4D1F-9AB8-C5D8B4D777B4}" xr6:coauthVersionLast="47" xr6:coauthVersionMax="47" xr10:uidLastSave="{00000000-0000-0000-0000-000000000000}"/>
  <bookViews>
    <workbookView xWindow="-108" yWindow="-108" windowWidth="23256" windowHeight="13896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<sst xmlns="http://schemas.openxmlformats.org/spreadsheetml/2006/main" count="1139" uniqueCount="131">
  <si>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</si>
  <si>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</si>
  <si>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</si>
  <si>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</si>
  <si>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</si>
  <si>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</si>
  <si>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</si>
  <si>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</si>
  <si>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</si>
  <si>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</si>
  <si>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</si>
  <si>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</si>
  <si>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</si>
  <si>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</si>
  <si>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</si>
  <si>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</si>
  <si>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</si>
  <si>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</si>
  <si>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</si>
  <si>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</si>
  <si>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</si>
  <si>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</si>
  <si>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</si>
  <si>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</si>
  <si>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</si>
  <si>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</si>
  <si>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</si>
  <si>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</si>
  <si>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</si>
  <si>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</si>
  <si>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</si>
  <si>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</si>
  <si>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</si>
  <si>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</si>
  <si>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</si>
  <si>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</si>
  <si>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</si>
  <si>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</si>
  <si>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</si>
  <si>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</si>
  <si>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</si>
  <si>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</si>
  <si>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</si>
  <si>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</si>
  <si>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</si>
  <si>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</si>
  <si>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</si>
  <si>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</si>
  <si>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</si>
  <si>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</si>
  <si>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</si>
  <si>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</si>
  <si>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</si>
  <si>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</si>
  <si>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</si>
  <si>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</si>
  <si>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</si>
  <si>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</si>
  <si>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</si>
  <si>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</si>
  <si>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</si>
  <si>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</si>
  <si>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</si>
  <si>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</si>
  <si>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</si>
  <si>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</si>
  <si>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</si>
  <si>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</si>
  <si>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</si>
  <si>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</si>
  <si>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</si>
  <si>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</si>
  <si>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</si>
  <si>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</si>
  <si>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</si>
  <si>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</si>
  <si>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</si>
  <si>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</si>
  <si>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</si>
  <si>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</si>
  <si>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</si>
  <si>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</si>
  <si>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</si>
  <si>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</si>
  <si>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</si>
  <si>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</si>
  <si>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</si>
  <si>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</si>
  <si>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</si>
  <si>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</si>
  <si>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</si>
  <si>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</si>
  <si>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</si>
  <si>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</si>
  <si>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</si>
  <si>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</si>
  <si>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</si>
  <si>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</si>
  <si>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</si>
  <si>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</si>
  <si>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</si>
  <si>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</si>
  <si>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</si>
  <si>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</si>
  <si>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</si>
  <si>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</si>
  <si>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</si>
  <si>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</si>
  <si>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</si>
  <si>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</si>
  <si>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</si>
  <si>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</si>
  <si>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</si>
  <si>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</si>
  <si>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</si>
  <si>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</si>
  <si>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</si>
  <si>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</si>
  <si>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</si>
  <si>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</si>
  <si>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</si>
  <si>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</si>
  <si>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</si>
  <si>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</si>
  <si>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</si>
  <si>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</si>
  <si>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</si>
  <si>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</si>
  <si>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</si>
  <si>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09/28/2026</t>
  </si>
  <si>
    <t>Week Of 09-21-2026 to 09-28-2026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</si>
</sst>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19239</v>
      </c>
      <c r="D3"/>
      <c r="E3">
        <v>44057</v>
      </c>
      <c r="F3"/>
      <c r="G3">
        <v>10810</v>
      </c>
      <c r="H3"/>
      <c r="I3">
        <v>2771</v>
      </c>
      <c r="K3" s="10">
        <f t="shared" ref="K3:K34" si="0">SUM(C3+E3+G3+I3)</f>
        <v>76877</v>
      </c>
    </row>
    <row r="4" spans="1:12" x14ac:dyDescent="0.25">
      <c r="A4" t="s">
        <v>2</v>
      </c>
      <c r="B4" s="1">
        <v>2291</v>
      </c>
      <c r="C4">
        <v>505147</v>
      </c>
      <c r="D4"/>
      <c r="E4">
        <v>263044</v>
      </c>
      <c r="F4"/>
      <c r="G4">
        <v>115675</v>
      </c>
      <c r="H4"/>
      <c r="I4">
        <v>36608</v>
      </c>
      <c r="K4" s="10">
        <f t="shared" si="0"/>
        <v>920474</v>
      </c>
    </row>
    <row r="5" spans="1:12" x14ac:dyDescent="0.25">
      <c r="A5" t="s">
        <v>3</v>
      </c>
      <c r="B5" s="1">
        <v>2292</v>
      </c>
      <c r="C5">
        <v>10633</v>
      </c>
      <c r="D5"/>
      <c r="E5">
        <v>27687</v>
      </c>
      <c r="F5"/>
      <c r="G5">
        <v>3742</v>
      </c>
      <c r="H5"/>
      <c r="I5">
        <v>1587</v>
      </c>
      <c r="K5" s="10">
        <f t="shared" si="0"/>
        <v>43649</v>
      </c>
    </row>
    <row r="6" spans="1:12" x14ac:dyDescent="0.25">
      <c r="A6" t="s">
        <v>4</v>
      </c>
      <c r="B6" s="1">
        <v>2293</v>
      </c>
      <c r="C6">
        <v>45755</v>
      </c>
      <c r="D6"/>
      <c r="E6">
        <v>51886</v>
      </c>
      <c r="F6"/>
      <c r="G6">
        <v>11877</v>
      </c>
      <c r="H6"/>
      <c r="I6">
        <v>4712</v>
      </c>
      <c r="K6" s="10">
        <f t="shared" si="0"/>
        <v>114230</v>
      </c>
    </row>
    <row r="7" spans="1:12" x14ac:dyDescent="0.25">
      <c r="A7" t="s">
        <v>5</v>
      </c>
      <c r="B7" s="1">
        <v>2294</v>
      </c>
      <c r="C7">
        <v>5255</v>
      </c>
      <c r="D7"/>
      <c r="E7">
        <v>24591</v>
      </c>
      <c r="F7"/>
      <c r="G7">
        <v>2328</v>
      </c>
      <c r="H7"/>
      <c r="I7">
        <v>891</v>
      </c>
      <c r="K7" s="10">
        <f t="shared" si="0"/>
        <v>33065</v>
      </c>
    </row>
    <row r="8" spans="1:12" x14ac:dyDescent="0.25">
      <c r="A8" t="s">
        <v>6</v>
      </c>
      <c r="B8" s="1">
        <v>2295</v>
      </c>
      <c r="C8">
        <v>104411</v>
      </c>
      <c r="D8"/>
      <c r="E8">
        <v>117995</v>
      </c>
      <c r="F8"/>
      <c r="G8">
        <v>41999</v>
      </c>
      <c r="H8"/>
      <c r="I8">
        <v>10344</v>
      </c>
      <c r="K8" s="10">
        <f t="shared" si="0"/>
        <v>274749</v>
      </c>
    </row>
    <row r="9" spans="1:12" x14ac:dyDescent="0.25">
      <c r="A9" t="s">
        <v>7</v>
      </c>
      <c r="B9" s="1">
        <v>2296</v>
      </c>
      <c r="C9">
        <v>19829</v>
      </c>
      <c r="D9"/>
      <c r="E9">
        <v>50567</v>
      </c>
      <c r="F9"/>
      <c r="G9">
        <v>8520</v>
      </c>
      <c r="H9"/>
      <c r="I9">
        <v>2700</v>
      </c>
      <c r="K9" s="10">
        <f t="shared" si="0"/>
        <v>81616</v>
      </c>
    </row>
    <row r="10" spans="1:12" x14ac:dyDescent="0.25">
      <c r="A10" t="s">
        <v>8</v>
      </c>
      <c r="B10" s="1">
        <v>2297</v>
      </c>
      <c r="C10">
        <v>7833</v>
      </c>
      <c r="D10"/>
      <c r="E10">
        <v>25655</v>
      </c>
      <c r="F10"/>
      <c r="G10">
        <v>3931</v>
      </c>
      <c r="H10"/>
      <c r="I10">
        <v>1531</v>
      </c>
      <c r="K10" s="10">
        <f t="shared" si="0"/>
        <v>38950</v>
      </c>
    </row>
    <row r="11" spans="1:12" x14ac:dyDescent="0.25">
      <c r="A11" t="s">
        <v>9</v>
      </c>
      <c r="B11" s="1">
        <v>2298</v>
      </c>
      <c r="C11">
        <v>194510</v>
      </c>
      <c r="D11"/>
      <c r="E11">
        <v>201725</v>
      </c>
      <c r="F11"/>
      <c r="G11">
        <v>71137</v>
      </c>
      <c r="H11"/>
      <c r="I11">
        <v>18228</v>
      </c>
      <c r="K11" s="10">
        <f t="shared" si="0"/>
        <v>485600</v>
      </c>
    </row>
    <row r="12" spans="1:12" x14ac:dyDescent="0.25">
      <c r="A12" t="s">
        <v>10</v>
      </c>
      <c r="B12" s="1">
        <v>2299</v>
      </c>
      <c r="C12">
        <v>39368</v>
      </c>
      <c r="D12"/>
      <c r="E12">
        <v>83007</v>
      </c>
      <c r="F12"/>
      <c r="G12">
        <v>16473</v>
      </c>
      <c r="H12"/>
      <c r="I12">
        <v>5138</v>
      </c>
      <c r="K12" s="10">
        <f t="shared" si="0"/>
        <v>143986</v>
      </c>
    </row>
    <row r="13" spans="1:12" x14ac:dyDescent="0.25">
      <c r="A13" t="s">
        <v>11</v>
      </c>
      <c r="B13" s="1">
        <v>2300</v>
      </c>
      <c r="C13">
        <v>29380</v>
      </c>
      <c r="D13"/>
      <c r="E13">
        <v>46505</v>
      </c>
      <c r="F13"/>
      <c r="G13">
        <v>7952</v>
      </c>
      <c r="H13"/>
      <c r="I13">
        <v>2131</v>
      </c>
      <c r="K13" s="10">
        <f t="shared" si="0"/>
        <v>85968</v>
      </c>
    </row>
    <row r="14" spans="1:12" x14ac:dyDescent="0.25">
      <c r="A14" t="s">
        <v>12</v>
      </c>
      <c r="B14" s="1">
        <v>2301</v>
      </c>
      <c r="C14">
        <v>661</v>
      </c>
      <c r="D14"/>
      <c r="E14">
        <v>1841</v>
      </c>
      <c r="F14"/>
      <c r="G14">
        <v>256</v>
      </c>
      <c r="H14"/>
      <c r="I14">
        <v>123</v>
      </c>
      <c r="K14" s="10">
        <f t="shared" si="0"/>
        <v>2881</v>
      </c>
    </row>
    <row r="15" spans="1:12" x14ac:dyDescent="0.25">
      <c r="A15" t="s">
        <v>13</v>
      </c>
      <c r="B15" s="1">
        <v>2302</v>
      </c>
      <c r="C15">
        <v>14081</v>
      </c>
      <c r="D15"/>
      <c r="E15">
        <v>23942</v>
      </c>
      <c r="F15"/>
      <c r="G15">
        <v>5904</v>
      </c>
      <c r="H15"/>
      <c r="I15">
        <v>1885</v>
      </c>
      <c r="K15" s="10">
        <f t="shared" si="0"/>
        <v>45812</v>
      </c>
    </row>
    <row r="16" spans="1:12" x14ac:dyDescent="0.25">
      <c r="A16" t="s">
        <v>14</v>
      </c>
      <c r="B16" s="1">
        <v>2303</v>
      </c>
      <c r="C16">
        <v>41578</v>
      </c>
      <c r="D16"/>
      <c r="E16">
        <v>41784</v>
      </c>
      <c r="F16"/>
      <c r="G16">
        <v>16206</v>
      </c>
      <c r="H16"/>
      <c r="I16">
        <v>2692</v>
      </c>
      <c r="K16" s="10">
        <f t="shared" si="0"/>
        <v>102260</v>
      </c>
    </row>
    <row r="17" spans="1:11" x14ac:dyDescent="0.25">
      <c r="A17" t="s">
        <v>15</v>
      </c>
      <c r="B17" s="1">
        <v>2304</v>
      </c>
      <c r="C17">
        <v>161861</v>
      </c>
      <c r="D17"/>
      <c r="E17">
        <v>151802</v>
      </c>
      <c r="F17"/>
      <c r="G17">
        <v>59368</v>
      </c>
      <c r="H17"/>
      <c r="I17">
        <v>17813</v>
      </c>
      <c r="K17" s="10">
        <f t="shared" si="0"/>
        <v>390844</v>
      </c>
    </row>
    <row r="18" spans="1:11" x14ac:dyDescent="0.25">
      <c r="A18" t="s">
        <v>16</v>
      </c>
      <c r="B18" s="1">
        <v>2305</v>
      </c>
      <c r="C18">
        <v>5044</v>
      </c>
      <c r="D18"/>
      <c r="E18">
        <v>15508</v>
      </c>
      <c r="F18"/>
      <c r="G18">
        <v>2085</v>
      </c>
      <c r="H18"/>
      <c r="I18">
        <v>641</v>
      </c>
      <c r="K18" s="10">
        <f t="shared" si="0"/>
        <v>23278</v>
      </c>
    </row>
    <row r="19" spans="1:11" x14ac:dyDescent="0.25">
      <c r="A19" t="s">
        <v>17</v>
      </c>
      <c r="B19" s="1">
        <v>2306</v>
      </c>
      <c r="C19">
        <v>12035</v>
      </c>
      <c r="D19"/>
      <c r="E19">
        <v>31432</v>
      </c>
      <c r="F19"/>
      <c r="G19">
        <v>4331</v>
      </c>
      <c r="H19"/>
      <c r="I19">
        <v>1789</v>
      </c>
      <c r="K19" s="10">
        <f t="shared" si="0"/>
        <v>49587</v>
      </c>
    </row>
    <row r="20" spans="1:11" x14ac:dyDescent="0.25">
      <c r="A20" t="s">
        <v>18</v>
      </c>
      <c r="B20" s="1">
        <v>2307</v>
      </c>
      <c r="C20">
        <v>6090</v>
      </c>
      <c r="D20"/>
      <c r="E20">
        <v>13270</v>
      </c>
      <c r="F20"/>
      <c r="G20">
        <v>2451</v>
      </c>
      <c r="H20"/>
      <c r="I20">
        <v>744</v>
      </c>
      <c r="K20" s="10">
        <f t="shared" si="0"/>
        <v>22555</v>
      </c>
    </row>
    <row r="21" spans="1:11" x14ac:dyDescent="0.25">
      <c r="A21" t="s">
        <v>19</v>
      </c>
      <c r="B21" s="1">
        <v>2308</v>
      </c>
      <c r="C21">
        <v>11809</v>
      </c>
      <c r="D21"/>
      <c r="E21">
        <v>22445</v>
      </c>
      <c r="F21"/>
      <c r="G21">
        <v>4894</v>
      </c>
      <c r="H21"/>
      <c r="I21">
        <v>1491</v>
      </c>
      <c r="K21" s="10">
        <f t="shared" si="0"/>
        <v>40639</v>
      </c>
    </row>
    <row r="22" spans="1:11" x14ac:dyDescent="0.25">
      <c r="A22" t="s">
        <v>20</v>
      </c>
      <c r="B22" s="1">
        <v>2309</v>
      </c>
      <c r="C22">
        <v>14420</v>
      </c>
      <c r="D22"/>
      <c r="E22">
        <v>31791</v>
      </c>
      <c r="F22"/>
      <c r="G22">
        <v>4971</v>
      </c>
      <c r="H22"/>
      <c r="I22">
        <v>1834</v>
      </c>
      <c r="K22" s="10">
        <f t="shared" si="0"/>
        <v>53016</v>
      </c>
    </row>
    <row r="23" spans="1:11" x14ac:dyDescent="0.25">
      <c r="A23" t="s">
        <v>21</v>
      </c>
      <c r="B23" s="1">
        <v>2310</v>
      </c>
      <c r="C23">
        <v>62027</v>
      </c>
      <c r="D23"/>
      <c r="E23">
        <v>88209</v>
      </c>
      <c r="F23"/>
      <c r="G23">
        <v>27574</v>
      </c>
      <c r="H23"/>
      <c r="I23">
        <v>6511</v>
      </c>
      <c r="K23" s="10">
        <f t="shared" si="0"/>
        <v>184321</v>
      </c>
    </row>
    <row r="24" spans="1:11" x14ac:dyDescent="0.25">
      <c r="A24" t="s">
        <v>22</v>
      </c>
      <c r="B24" s="1">
        <v>2311</v>
      </c>
      <c r="C24">
        <v>87008</v>
      </c>
      <c r="D24"/>
      <c r="E24">
        <v>75909</v>
      </c>
      <c r="F24"/>
      <c r="G24">
        <v>31729</v>
      </c>
      <c r="H24"/>
      <c r="I24">
        <v>7235</v>
      </c>
      <c r="K24" s="10">
        <f t="shared" si="0"/>
        <v>201881</v>
      </c>
    </row>
    <row r="25" spans="1:11" x14ac:dyDescent="0.25">
      <c r="A25" t="s">
        <v>23</v>
      </c>
      <c r="B25" s="1">
        <v>2312</v>
      </c>
      <c r="C25">
        <v>203683</v>
      </c>
      <c r="D25"/>
      <c r="E25">
        <v>142582</v>
      </c>
      <c r="F25"/>
      <c r="G25">
        <v>49998</v>
      </c>
      <c r="H25"/>
      <c r="I25">
        <v>15632</v>
      </c>
      <c r="K25" s="10">
        <f t="shared" si="0"/>
        <v>411895</v>
      </c>
    </row>
    <row r="26" spans="1:11" x14ac:dyDescent="0.25">
      <c r="A26" t="s">
        <v>24</v>
      </c>
      <c r="B26" s="1">
        <v>2313</v>
      </c>
      <c r="C26">
        <v>5762</v>
      </c>
      <c r="D26"/>
      <c r="E26">
        <v>12122</v>
      </c>
      <c r="F26"/>
      <c r="G26">
        <v>1783</v>
      </c>
      <c r="H26"/>
      <c r="I26">
        <v>776</v>
      </c>
      <c r="K26" s="10">
        <f t="shared" si="0"/>
        <v>20443</v>
      </c>
    </row>
    <row r="27" spans="1:11" x14ac:dyDescent="0.25">
      <c r="A27" t="s">
        <v>25</v>
      </c>
      <c r="B27" s="1">
        <v>2314</v>
      </c>
      <c r="C27">
        <v>76534</v>
      </c>
      <c r="D27"/>
      <c r="E27">
        <v>70798</v>
      </c>
      <c r="F27"/>
      <c r="G27">
        <v>20932</v>
      </c>
      <c r="H27"/>
      <c r="I27">
        <v>6652</v>
      </c>
      <c r="K27" s="10">
        <f t="shared" si="0"/>
        <v>174916</v>
      </c>
    </row>
    <row r="28" spans="1:11" x14ac:dyDescent="0.25">
      <c r="A28" t="s">
        <v>26</v>
      </c>
      <c r="B28" s="1">
        <v>2315</v>
      </c>
      <c r="C28">
        <v>29439</v>
      </c>
      <c r="D28"/>
      <c r="E28">
        <v>41322</v>
      </c>
      <c r="F28"/>
      <c r="G28">
        <v>6746</v>
      </c>
      <c r="H28"/>
      <c r="I28">
        <v>2064</v>
      </c>
      <c r="K28" s="10">
        <f t="shared" si="0"/>
        <v>79571</v>
      </c>
    </row>
    <row r="29" spans="1:11" x14ac:dyDescent="0.25">
      <c r="A29" t="s">
        <v>27</v>
      </c>
      <c r="B29" s="1">
        <v>2316</v>
      </c>
      <c r="C29">
        <v>789</v>
      </c>
      <c r="D29"/>
      <c r="E29">
        <v>2066</v>
      </c>
      <c r="F29"/>
      <c r="G29">
        <v>282</v>
      </c>
      <c r="H29"/>
      <c r="I29">
        <v>126</v>
      </c>
      <c r="K29" s="10">
        <f t="shared" si="0"/>
        <v>3263</v>
      </c>
    </row>
    <row r="30" spans="1:11" x14ac:dyDescent="0.25">
      <c r="A30" t="s">
        <v>28</v>
      </c>
      <c r="B30" s="1">
        <v>2317</v>
      </c>
      <c r="C30">
        <v>23591</v>
      </c>
      <c r="D30"/>
      <c r="E30">
        <v>64312</v>
      </c>
      <c r="F30"/>
      <c r="G30">
        <v>14260</v>
      </c>
      <c r="H30"/>
      <c r="I30">
        <v>3422</v>
      </c>
      <c r="K30" s="10">
        <f t="shared" si="0"/>
        <v>105585</v>
      </c>
    </row>
    <row r="31" spans="1:11" x14ac:dyDescent="0.25">
      <c r="A31" t="s">
        <v>29</v>
      </c>
      <c r="B31" s="1">
        <v>2318</v>
      </c>
      <c r="C31">
        <v>1471</v>
      </c>
      <c r="D31"/>
      <c r="E31">
        <v>7475</v>
      </c>
      <c r="F31"/>
      <c r="G31">
        <v>920</v>
      </c>
      <c r="H31"/>
      <c r="I31">
        <v>264</v>
      </c>
      <c r="K31" s="10">
        <f t="shared" si="0"/>
        <v>10130</v>
      </c>
    </row>
    <row r="32" spans="1:11" x14ac:dyDescent="0.25">
      <c r="A32" t="s">
        <v>30</v>
      </c>
      <c r="B32" s="1">
        <v>2319</v>
      </c>
      <c r="C32">
        <v>7334</v>
      </c>
      <c r="D32"/>
      <c r="E32">
        <v>12197</v>
      </c>
      <c r="F32"/>
      <c r="G32">
        <v>1673</v>
      </c>
      <c r="H32"/>
      <c r="I32">
        <v>605</v>
      </c>
      <c r="K32" s="10">
        <f t="shared" si="0"/>
        <v>21809</v>
      </c>
    </row>
    <row r="33" spans="1:11" x14ac:dyDescent="0.25">
      <c r="A33" t="s">
        <v>31</v>
      </c>
      <c r="B33" s="1">
        <v>2320</v>
      </c>
      <c r="C33">
        <v>6022</v>
      </c>
      <c r="D33"/>
      <c r="E33">
        <v>18884</v>
      </c>
      <c r="F33"/>
      <c r="G33">
        <v>2391</v>
      </c>
      <c r="H33"/>
      <c r="I33">
        <v>600</v>
      </c>
      <c r="K33" s="10">
        <f t="shared" si="0"/>
        <v>27897</v>
      </c>
    </row>
    <row r="34" spans="1:11" x14ac:dyDescent="0.25">
      <c r="A34" t="s">
        <v>32</v>
      </c>
      <c r="B34" s="1">
        <v>2321</v>
      </c>
      <c r="C34">
        <v>13870</v>
      </c>
      <c r="D34"/>
      <c r="E34">
        <v>28866</v>
      </c>
      <c r="F34"/>
      <c r="G34">
        <v>4713</v>
      </c>
      <c r="H34"/>
      <c r="I34">
        <v>1688</v>
      </c>
      <c r="K34" s="10">
        <f t="shared" si="0"/>
        <v>49137</v>
      </c>
    </row>
    <row r="35" spans="1:11" x14ac:dyDescent="0.25">
      <c r="A35" t="s">
        <v>33</v>
      </c>
      <c r="B35" s="1">
        <v>2322</v>
      </c>
      <c r="C35">
        <v>5451</v>
      </c>
      <c r="D35"/>
      <c r="E35">
        <v>19466</v>
      </c>
      <c r="F35"/>
      <c r="G35">
        <v>2316</v>
      </c>
      <c r="H35"/>
      <c r="I35">
        <v>936</v>
      </c>
      <c r="K35" s="10">
        <f t="shared" ref="K35:K69" si="1">SUM(C35+E35+G35+I35)</f>
        <v>28169</v>
      </c>
    </row>
    <row r="36" spans="1:11" x14ac:dyDescent="0.25">
      <c r="A36" t="s">
        <v>34</v>
      </c>
      <c r="B36" s="1">
        <v>2323</v>
      </c>
      <c r="C36">
        <v>2542</v>
      </c>
      <c r="D36"/>
      <c r="E36">
        <v>10024</v>
      </c>
      <c r="F36"/>
      <c r="G36">
        <v>1182</v>
      </c>
      <c r="H36"/>
      <c r="I36">
        <v>333</v>
      </c>
      <c r="K36" s="10">
        <f t="shared" si="1"/>
        <v>14081</v>
      </c>
    </row>
    <row r="37" spans="1:11" x14ac:dyDescent="0.25">
      <c r="A37" t="s">
        <v>35</v>
      </c>
      <c r="B37" s="1">
        <v>2324</v>
      </c>
      <c r="C37">
        <v>76952</v>
      </c>
      <c r="D37"/>
      <c r="E37">
        <v>52297</v>
      </c>
      <c r="F37"/>
      <c r="G37">
        <v>17428</v>
      </c>
      <c r="H37"/>
      <c r="I37">
        <v>3510</v>
      </c>
      <c r="K37" s="10">
        <f t="shared" si="1"/>
        <v>150187</v>
      </c>
    </row>
    <row r="38" spans="1:11" x14ac:dyDescent="0.25">
      <c r="A38" t="s">
        <v>36</v>
      </c>
      <c r="B38" s="1">
        <v>2325</v>
      </c>
      <c r="C38">
        <v>113639</v>
      </c>
      <c r="D38"/>
      <c r="E38">
        <v>183739</v>
      </c>
      <c r="F38"/>
      <c r="G38">
        <v>51995</v>
      </c>
      <c r="H38"/>
      <c r="I38">
        <v>16050</v>
      </c>
      <c r="K38" s="10">
        <f t="shared" si="1"/>
        <v>365423</v>
      </c>
    </row>
    <row r="39" spans="1:11" x14ac:dyDescent="0.25">
      <c r="A39" t="s">
        <v>37</v>
      </c>
      <c r="B39" s="1">
        <v>2326</v>
      </c>
      <c r="C39">
        <v>19664</v>
      </c>
      <c r="D39"/>
      <c r="E39">
        <v>30112</v>
      </c>
      <c r="F39"/>
      <c r="G39">
        <v>5676</v>
      </c>
      <c r="H39"/>
      <c r="I39">
        <v>1885</v>
      </c>
      <c r="K39" s="10">
        <f t="shared" si="1"/>
        <v>57337</v>
      </c>
    </row>
    <row r="40" spans="1:11" x14ac:dyDescent="0.25">
      <c r="A40" t="s">
        <v>38</v>
      </c>
      <c r="B40" s="1">
        <v>2327</v>
      </c>
      <c r="C40">
        <v>25573</v>
      </c>
      <c r="D40"/>
      <c r="E40">
        <v>52678</v>
      </c>
      <c r="F40"/>
      <c r="G40">
        <v>12452</v>
      </c>
      <c r="H40"/>
      <c r="I40">
        <v>3687</v>
      </c>
      <c r="K40" s="10">
        <f t="shared" si="1"/>
        <v>94390</v>
      </c>
    </row>
    <row r="41" spans="1:11" x14ac:dyDescent="0.25">
      <c r="A41" t="s">
        <v>39</v>
      </c>
      <c r="B41" s="1">
        <v>2328</v>
      </c>
      <c r="C41">
        <v>112182</v>
      </c>
      <c r="D41"/>
      <c r="E41">
        <v>89478</v>
      </c>
      <c r="F41"/>
      <c r="G41">
        <v>45953</v>
      </c>
      <c r="H41"/>
      <c r="I41">
        <v>7339</v>
      </c>
      <c r="K41" s="10">
        <f t="shared" si="1"/>
        <v>254952</v>
      </c>
    </row>
    <row r="42" spans="1:11" x14ac:dyDescent="0.25">
      <c r="A42" t="s">
        <v>40</v>
      </c>
      <c r="B42" s="1">
        <v>2329</v>
      </c>
      <c r="C42">
        <v>85846</v>
      </c>
      <c r="D42"/>
      <c r="E42">
        <v>90796</v>
      </c>
      <c r="F42"/>
      <c r="G42">
        <v>25999</v>
      </c>
      <c r="H42"/>
      <c r="I42">
        <v>5703</v>
      </c>
      <c r="K42" s="10">
        <f t="shared" si="1"/>
        <v>208344</v>
      </c>
    </row>
    <row r="43" spans="1:11" x14ac:dyDescent="0.25">
      <c r="A43" t="s">
        <v>41</v>
      </c>
      <c r="B43" s="1">
        <v>2330</v>
      </c>
      <c r="C43">
        <v>18251</v>
      </c>
      <c r="D43"/>
      <c r="E43">
        <v>43737</v>
      </c>
      <c r="F43"/>
      <c r="G43">
        <v>8067</v>
      </c>
      <c r="H43"/>
      <c r="I43">
        <v>2710</v>
      </c>
      <c r="K43" s="10">
        <f t="shared" si="1"/>
        <v>72765</v>
      </c>
    </row>
    <row r="44" spans="1:11" x14ac:dyDescent="0.25">
      <c r="A44" t="s">
        <v>91</v>
      </c>
      <c r="B44" s="1">
        <v>2331</v>
      </c>
      <c r="C44">
        <v>5315</v>
      </c>
      <c r="D44"/>
      <c r="E44">
        <v>16212</v>
      </c>
      <c r="F44"/>
      <c r="G44">
        <v>2757</v>
      </c>
      <c r="H44"/>
      <c r="I44">
        <v>1027</v>
      </c>
      <c r="K44" s="10">
        <f t="shared" si="1"/>
        <v>25311</v>
      </c>
    </row>
    <row r="45" spans="1:11" x14ac:dyDescent="0.25">
      <c r="A45" t="s">
        <v>43</v>
      </c>
      <c r="B45" s="1">
        <v>2332</v>
      </c>
      <c r="C45">
        <v>23166</v>
      </c>
      <c r="D45"/>
      <c r="E45">
        <v>38310</v>
      </c>
      <c r="F45"/>
      <c r="G45">
        <v>8468</v>
      </c>
      <c r="H45"/>
      <c r="I45">
        <v>2030</v>
      </c>
      <c r="K45" s="10">
        <f t="shared" si="1"/>
        <v>71974</v>
      </c>
    </row>
    <row r="46" spans="1:11" x14ac:dyDescent="0.25">
      <c r="A46" t="s">
        <v>44</v>
      </c>
      <c r="B46" s="1">
        <v>2333</v>
      </c>
      <c r="C46">
        <v>5389</v>
      </c>
      <c r="D46"/>
      <c r="E46">
        <v>18636</v>
      </c>
      <c r="F46"/>
      <c r="G46">
        <v>2518</v>
      </c>
      <c r="H46"/>
      <c r="I46">
        <v>620</v>
      </c>
      <c r="K46" s="10">
        <f t="shared" si="1"/>
        <v>27163</v>
      </c>
    </row>
    <row r="47" spans="1:11" x14ac:dyDescent="0.25">
      <c r="A47" t="s">
        <v>45</v>
      </c>
      <c r="B47" s="1">
        <v>2334</v>
      </c>
      <c r="C47">
        <v>48823</v>
      </c>
      <c r="D47"/>
      <c r="E47">
        <v>43398</v>
      </c>
      <c r="F47"/>
      <c r="G47">
        <v>20881</v>
      </c>
      <c r="H47"/>
      <c r="I47">
        <v>4978</v>
      </c>
      <c r="K47" s="10">
        <f t="shared" si="1"/>
        <v>118080</v>
      </c>
    </row>
    <row r="48" spans="1:11" x14ac:dyDescent="0.25">
      <c r="A48" t="s">
        <v>46</v>
      </c>
      <c r="B48" s="1">
        <v>2335</v>
      </c>
      <c r="C48">
        <v>306389</v>
      </c>
      <c r="D48"/>
      <c r="E48">
        <v>207561</v>
      </c>
      <c r="F48"/>
      <c r="G48">
        <v>85554</v>
      </c>
      <c r="H48"/>
      <c r="I48">
        <v>25806</v>
      </c>
      <c r="K48" s="10">
        <f t="shared" si="1"/>
        <v>625310</v>
      </c>
    </row>
    <row r="49" spans="1:11" x14ac:dyDescent="0.25">
      <c r="A49" t="s">
        <v>47</v>
      </c>
      <c r="B49" s="1">
        <v>2336</v>
      </c>
      <c r="C49">
        <v>3778</v>
      </c>
      <c r="D49"/>
      <c r="E49">
        <v>6567</v>
      </c>
      <c r="F49"/>
      <c r="G49">
        <v>1627</v>
      </c>
      <c r="H49"/>
      <c r="I49">
        <v>413</v>
      </c>
      <c r="K49" s="10">
        <f t="shared" si="1"/>
        <v>12385</v>
      </c>
    </row>
    <row r="50" spans="1:11" x14ac:dyDescent="0.25">
      <c r="A50" t="s">
        <v>48</v>
      </c>
      <c r="B50" s="1">
        <v>2337</v>
      </c>
      <c r="C50">
        <v>96596</v>
      </c>
      <c r="D50"/>
      <c r="E50">
        <v>86979</v>
      </c>
      <c r="F50"/>
      <c r="G50">
        <v>40109</v>
      </c>
      <c r="H50"/>
      <c r="I50">
        <v>9535</v>
      </c>
      <c r="K50" s="10">
        <f t="shared" si="1"/>
        <v>233219</v>
      </c>
    </row>
    <row r="51" spans="1:11" x14ac:dyDescent="0.25">
      <c r="A51" t="s">
        <v>49</v>
      </c>
      <c r="B51" s="1">
        <v>2338</v>
      </c>
      <c r="C51">
        <v>15351</v>
      </c>
      <c r="D51"/>
      <c r="E51">
        <v>31955</v>
      </c>
      <c r="F51"/>
      <c r="G51">
        <v>5873</v>
      </c>
      <c r="H51"/>
      <c r="I51">
        <v>2240</v>
      </c>
      <c r="K51" s="10">
        <f t="shared" si="1"/>
        <v>55419</v>
      </c>
    </row>
    <row r="52" spans="1:11" x14ac:dyDescent="0.25">
      <c r="A52" t="s">
        <v>50</v>
      </c>
      <c r="B52" s="1">
        <v>2339</v>
      </c>
      <c r="C52">
        <v>6028</v>
      </c>
      <c r="D52"/>
      <c r="E52">
        <v>20939</v>
      </c>
      <c r="F52"/>
      <c r="G52">
        <v>3468</v>
      </c>
      <c r="H52"/>
      <c r="I52">
        <v>859</v>
      </c>
      <c r="K52" s="10">
        <f t="shared" si="1"/>
        <v>31294</v>
      </c>
    </row>
    <row r="53" spans="1:11" x14ac:dyDescent="0.25">
      <c r="A53" t="s">
        <v>51</v>
      </c>
      <c r="B53" s="1">
        <v>2340</v>
      </c>
      <c r="C53">
        <v>782259</v>
      </c>
      <c r="D53"/>
      <c r="E53">
        <v>131330</v>
      </c>
      <c r="F53"/>
      <c r="G53">
        <v>155874</v>
      </c>
      <c r="H53"/>
      <c r="I53">
        <v>26429</v>
      </c>
      <c r="K53" s="10">
        <f t="shared" si="1"/>
        <v>1095892</v>
      </c>
    </row>
    <row r="54" spans="1:11" x14ac:dyDescent="0.25">
      <c r="A54" t="s">
        <v>52</v>
      </c>
      <c r="B54" s="1">
        <v>2341</v>
      </c>
      <c r="C54">
        <v>13661</v>
      </c>
      <c r="D54"/>
      <c r="E54">
        <v>23136</v>
      </c>
      <c r="F54"/>
      <c r="G54">
        <v>8555</v>
      </c>
      <c r="H54"/>
      <c r="I54">
        <v>2140</v>
      </c>
      <c r="K54" s="10">
        <f t="shared" si="1"/>
        <v>47492</v>
      </c>
    </row>
    <row r="55" spans="1:11" x14ac:dyDescent="0.25">
      <c r="A55" t="s">
        <v>53</v>
      </c>
      <c r="B55" s="1">
        <v>2342</v>
      </c>
      <c r="C55">
        <v>1740</v>
      </c>
      <c r="D55"/>
      <c r="E55">
        <v>7986</v>
      </c>
      <c r="F55"/>
      <c r="G55">
        <v>999</v>
      </c>
      <c r="H55"/>
      <c r="I55">
        <v>271</v>
      </c>
      <c r="K55" s="10">
        <f t="shared" si="1"/>
        <v>10996</v>
      </c>
    </row>
    <row r="56" spans="1:11" x14ac:dyDescent="0.25">
      <c r="A56" t="s">
        <v>54</v>
      </c>
      <c r="B56" s="1">
        <v>2343</v>
      </c>
      <c r="C56">
        <v>25413</v>
      </c>
      <c r="D56"/>
      <c r="E56">
        <v>53187</v>
      </c>
      <c r="F56"/>
      <c r="G56">
        <v>10260</v>
      </c>
      <c r="H56"/>
      <c r="I56">
        <v>3753</v>
      </c>
      <c r="K56" s="10">
        <f t="shared" si="1"/>
        <v>92613</v>
      </c>
    </row>
    <row r="57" spans="1:11" x14ac:dyDescent="0.25">
      <c r="A57" t="s">
        <v>55</v>
      </c>
      <c r="B57" s="1">
        <v>2344</v>
      </c>
      <c r="C57">
        <v>4928</v>
      </c>
      <c r="D57"/>
      <c r="E57">
        <v>15957</v>
      </c>
      <c r="F57"/>
      <c r="G57">
        <v>2386</v>
      </c>
      <c r="H57"/>
      <c r="I57">
        <v>674</v>
      </c>
      <c r="K57" s="10">
        <f t="shared" si="1"/>
        <v>23945</v>
      </c>
    </row>
    <row r="58" spans="1:11" x14ac:dyDescent="0.25">
      <c r="A58" t="s">
        <v>56</v>
      </c>
      <c r="B58" s="1">
        <v>2345</v>
      </c>
      <c r="C58">
        <v>10495</v>
      </c>
      <c r="D58"/>
      <c r="E58">
        <v>32808</v>
      </c>
      <c r="F58"/>
      <c r="G58">
        <v>4443</v>
      </c>
      <c r="H58"/>
      <c r="I58">
        <v>775</v>
      </c>
      <c r="K58" s="10">
        <f t="shared" si="1"/>
        <v>48521</v>
      </c>
    </row>
    <row r="59" spans="1:11" x14ac:dyDescent="0.25">
      <c r="A59" t="s">
        <v>57</v>
      </c>
      <c r="B59" s="1">
        <v>2346</v>
      </c>
      <c r="C59">
        <v>1069</v>
      </c>
      <c r="D59"/>
      <c r="E59">
        <v>2857</v>
      </c>
      <c r="F59"/>
      <c r="G59">
        <v>382</v>
      </c>
      <c r="H59"/>
      <c r="I59">
        <v>158</v>
      </c>
      <c r="K59" s="10">
        <f t="shared" si="1"/>
        <v>4466</v>
      </c>
    </row>
    <row r="60" spans="1:11" x14ac:dyDescent="0.25">
      <c r="A60" t="s">
        <v>58</v>
      </c>
      <c r="B60" s="1">
        <v>2347</v>
      </c>
      <c r="C60">
        <v>6142</v>
      </c>
      <c r="D60"/>
      <c r="E60">
        <v>17286</v>
      </c>
      <c r="F60"/>
      <c r="G60">
        <v>2898</v>
      </c>
      <c r="H60"/>
      <c r="I60">
        <v>1123</v>
      </c>
      <c r="K60" s="10">
        <f t="shared" si="1"/>
        <v>27449</v>
      </c>
    </row>
    <row r="61" spans="1:11" x14ac:dyDescent="0.25">
      <c r="A61" t="s">
        <v>59</v>
      </c>
      <c r="B61" s="1">
        <v>2348</v>
      </c>
      <c r="C61">
        <v>4939</v>
      </c>
      <c r="D61"/>
      <c r="E61">
        <v>18108</v>
      </c>
      <c r="F61"/>
      <c r="G61">
        <v>2992</v>
      </c>
      <c r="H61"/>
      <c r="I61">
        <v>795</v>
      </c>
      <c r="K61" s="10">
        <f t="shared" si="1"/>
        <v>26834</v>
      </c>
    </row>
    <row r="62" spans="1:11" x14ac:dyDescent="0.25">
      <c r="A62" t="s">
        <v>60</v>
      </c>
      <c r="B62" s="1">
        <v>2349</v>
      </c>
      <c r="C62">
        <v>7896</v>
      </c>
      <c r="D62"/>
      <c r="E62">
        <v>14368</v>
      </c>
      <c r="F62"/>
      <c r="G62">
        <v>3277</v>
      </c>
      <c r="H62"/>
      <c r="I62">
        <v>979</v>
      </c>
      <c r="K62" s="10">
        <f t="shared" si="1"/>
        <v>26520</v>
      </c>
    </row>
    <row r="63" spans="1:11" x14ac:dyDescent="0.25">
      <c r="A63" t="s">
        <v>61</v>
      </c>
      <c r="B63" s="1">
        <v>2350</v>
      </c>
      <c r="C63">
        <v>8031</v>
      </c>
      <c r="D63"/>
      <c r="E63">
        <v>20143</v>
      </c>
      <c r="F63"/>
      <c r="G63">
        <v>3467</v>
      </c>
      <c r="H63"/>
      <c r="I63">
        <v>1218</v>
      </c>
      <c r="K63" s="10">
        <f t="shared" si="1"/>
        <v>32859</v>
      </c>
    </row>
    <row r="64" spans="1:11" x14ac:dyDescent="0.25">
      <c r="A64" t="s">
        <v>62</v>
      </c>
      <c r="B64" s="1">
        <v>2351</v>
      </c>
      <c r="C64">
        <v>6352</v>
      </c>
      <c r="D64"/>
      <c r="E64">
        <v>15225</v>
      </c>
      <c r="F64"/>
      <c r="G64">
        <v>2610</v>
      </c>
      <c r="H64"/>
      <c r="I64">
        <v>1247</v>
      </c>
      <c r="K64" s="10">
        <f t="shared" si="1"/>
        <v>25434</v>
      </c>
    </row>
    <row r="65" spans="1:11" x14ac:dyDescent="0.25">
      <c r="A65" t="s">
        <v>63</v>
      </c>
      <c r="B65" s="1">
        <v>2352</v>
      </c>
      <c r="C65">
        <v>52641</v>
      </c>
      <c r="D65"/>
      <c r="E65">
        <v>72763</v>
      </c>
      <c r="F65"/>
      <c r="G65">
        <v>16053</v>
      </c>
      <c r="H65"/>
      <c r="I65">
        <v>3774</v>
      </c>
      <c r="K65" s="10">
        <f t="shared" si="1"/>
        <v>145231</v>
      </c>
    </row>
    <row r="66" spans="1:11" x14ac:dyDescent="0.25">
      <c r="A66" t="s">
        <v>64</v>
      </c>
      <c r="B66" s="1">
        <v>2353</v>
      </c>
      <c r="C66">
        <v>8727</v>
      </c>
      <c r="D66"/>
      <c r="E66">
        <v>21749</v>
      </c>
      <c r="F66"/>
      <c r="G66">
        <v>5226</v>
      </c>
      <c r="H66"/>
      <c r="I66">
        <v>1057</v>
      </c>
      <c r="K66" s="10">
        <f t="shared" si="1"/>
        <v>36759</v>
      </c>
    </row>
    <row r="67" spans="1:11" x14ac:dyDescent="0.25">
      <c r="A67" t="s">
        <v>65</v>
      </c>
      <c r="B67" s="1">
        <v>2354</v>
      </c>
      <c r="C67">
        <v>86841</v>
      </c>
      <c r="D67"/>
      <c r="E67">
        <v>130799</v>
      </c>
      <c r="F67"/>
      <c r="G67">
        <v>24108</v>
      </c>
      <c r="H67"/>
      <c r="I67">
        <v>9183</v>
      </c>
      <c r="K67" s="10">
        <f t="shared" si="1"/>
        <v>250931</v>
      </c>
    </row>
    <row r="68" spans="1:11" x14ac:dyDescent="0.25">
      <c r="A68" t="s">
        <v>66</v>
      </c>
      <c r="B68" s="1">
        <v>2355</v>
      </c>
      <c r="C68">
        <v>4726</v>
      </c>
      <c r="D68"/>
      <c r="E68">
        <v>11305</v>
      </c>
      <c r="F68"/>
      <c r="G68">
        <v>1836</v>
      </c>
      <c r="H68"/>
      <c r="I68">
        <v>658</v>
      </c>
      <c r="K68" s="10">
        <f t="shared" si="1"/>
        <v>18525</v>
      </c>
    </row>
    <row r="69" spans="1:11" ht="13.8" thickBot="1" x14ac:dyDescent="0.3">
      <c r="A69" s="2" t="s">
        <v>67</v>
      </c>
      <c r="B69" s="5">
        <v>2356</v>
      </c>
      <c r="C69">
        <v>96964</v>
      </c>
      <c r="D69"/>
      <c r="E69">
        <v>168386</v>
      </c>
      <c r="F69"/>
      <c r="G69">
        <v>54484</v>
      </c>
      <c r="H69"/>
      <c r="I69">
        <v>8916</v>
      </c>
      <c r="J69" s="13"/>
      <c r="K69" s="10">
        <f t="shared" si="1"/>
        <v>328750</v>
      </c>
    </row>
    <row r="70" spans="1:11" ht="21.75" customHeight="1" x14ac:dyDescent="0.25">
      <c r="A70" s="6" t="s">
        <v>68</v>
      </c>
      <c r="C70" s="14">
        <f>SUM(C3:C69)</f>
        <v>3860228</v>
      </c>
      <c r="D70" s="14"/>
      <c r="E70" s="14">
        <f>SUM(E3:E69)</f>
        <v>3635553</v>
      </c>
      <c r="F70" s="14"/>
      <c r="G70" s="14">
        <f>SUM(G3:G69)</f>
        <v>1200084</v>
      </c>
      <c r="H70" s="14"/>
      <c r="I70" s="14">
        <f>SUM(I3:I69)</f>
        <v>314039</v>
      </c>
      <c r="J70" s="14"/>
      <c r="K70" s="44">
        <f>SUM(K3:K69)</f>
        <v>9009904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20" sqref="L20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4</v>
      </c>
      <c r="C4" s="42">
        <v>2</v>
      </c>
      <c r="D4" s="42">
        <v>5</v>
      </c>
      <c r="E4" s="42">
        <v>2</v>
      </c>
      <c r="F4" s="42">
        <v>138</v>
      </c>
      <c r="G4" s="42">
        <v>173</v>
      </c>
      <c r="H4" s="42">
        <v>138</v>
      </c>
      <c r="I4" s="42">
        <v>182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92</v>
      </c>
      <c r="C5" s="42">
        <v>319</v>
      </c>
      <c r="D5" s="42">
        <v>101</v>
      </c>
      <c r="E5" s="42">
        <v>39</v>
      </c>
      <c r="F5" s="42">
        <v>1634</v>
      </c>
      <c r="G5" s="42">
        <v>3265</v>
      </c>
      <c r="H5" s="42">
        <v>1689</v>
      </c>
      <c r="I5" s="42">
        <v>815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2</v>
      </c>
      <c r="C6" s="42">
        <v>0</v>
      </c>
      <c r="D6" s="42">
        <v>1</v>
      </c>
      <c r="E6" s="42">
        <v>1</v>
      </c>
      <c r="F6" s="42">
        <v>45</v>
      </c>
      <c r="G6" s="42">
        <v>41</v>
      </c>
      <c r="H6" s="42">
        <v>127</v>
      </c>
      <c r="I6" s="42">
        <v>49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11</v>
      </c>
      <c r="C7" s="42">
        <v>8</v>
      </c>
      <c r="D7" s="42">
        <v>5</v>
      </c>
      <c r="E7" s="42">
        <v>6</v>
      </c>
      <c r="F7" s="42">
        <v>169</v>
      </c>
      <c r="G7" s="42">
        <v>208</v>
      </c>
      <c r="H7" s="42">
        <v>287</v>
      </c>
      <c r="I7" s="42">
        <v>127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2</v>
      </c>
      <c r="C8" s="42">
        <v>0</v>
      </c>
      <c r="D8" s="42">
        <v>2</v>
      </c>
      <c r="E8" s="42">
        <v>0</v>
      </c>
      <c r="F8" s="42">
        <v>24</v>
      </c>
      <c r="G8" s="42">
        <v>19</v>
      </c>
      <c r="H8" s="42">
        <v>36</v>
      </c>
      <c r="I8" s="42">
        <v>32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15</v>
      </c>
      <c r="C9" s="42">
        <v>32</v>
      </c>
      <c r="D9" s="42">
        <v>31</v>
      </c>
      <c r="E9" s="42">
        <v>24</v>
      </c>
      <c r="F9" s="42">
        <v>623</v>
      </c>
      <c r="G9" s="42">
        <v>967</v>
      </c>
      <c r="H9" s="42">
        <v>789</v>
      </c>
      <c r="I9" s="42">
        <v>613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3</v>
      </c>
      <c r="C10" s="42">
        <v>6</v>
      </c>
      <c r="D10" s="42">
        <v>1</v>
      </c>
      <c r="E10" s="42">
        <v>2</v>
      </c>
      <c r="F10" s="42">
        <v>133</v>
      </c>
      <c r="G10" s="42">
        <v>146</v>
      </c>
      <c r="H10" s="42">
        <v>130</v>
      </c>
      <c r="I10" s="42">
        <v>110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2</v>
      </c>
      <c r="C11" s="42">
        <v>3</v>
      </c>
      <c r="D11" s="42">
        <v>3</v>
      </c>
      <c r="E11" s="42">
        <v>3</v>
      </c>
      <c r="F11" s="42">
        <v>61</v>
      </c>
      <c r="G11" s="42">
        <v>56</v>
      </c>
      <c r="H11" s="42">
        <v>73</v>
      </c>
      <c r="I11" s="42">
        <v>79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48</v>
      </c>
      <c r="C12" s="42">
        <v>49</v>
      </c>
      <c r="D12" s="42">
        <v>34</v>
      </c>
      <c r="E12" s="42">
        <v>29</v>
      </c>
      <c r="F12" s="42">
        <v>1217</v>
      </c>
      <c r="G12" s="42">
        <v>1873</v>
      </c>
      <c r="H12" s="42">
        <v>1024</v>
      </c>
      <c r="I12" s="42">
        <v>1028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11</v>
      </c>
      <c r="C13" s="42">
        <v>11</v>
      </c>
      <c r="D13" s="42">
        <v>10</v>
      </c>
      <c r="E13" s="42">
        <v>5</v>
      </c>
      <c r="F13" s="42">
        <v>257</v>
      </c>
      <c r="G13" s="42">
        <v>291</v>
      </c>
      <c r="H13" s="42">
        <v>223</v>
      </c>
      <c r="I13" s="42">
        <v>215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5</v>
      </c>
      <c r="C14" s="42">
        <v>6</v>
      </c>
      <c r="D14" s="42">
        <v>3</v>
      </c>
      <c r="E14" s="42">
        <v>4</v>
      </c>
      <c r="F14" s="42">
        <v>127</v>
      </c>
      <c r="G14" s="42">
        <v>110</v>
      </c>
      <c r="H14" s="42">
        <v>273</v>
      </c>
      <c r="I14" s="42">
        <v>103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1</v>
      </c>
      <c r="F15" s="42">
        <v>3</v>
      </c>
      <c r="G15" s="42">
        <v>2</v>
      </c>
      <c r="H15" s="42">
        <v>12</v>
      </c>
      <c r="I15" s="42">
        <v>1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2</v>
      </c>
      <c r="C16" s="42">
        <v>3</v>
      </c>
      <c r="D16" s="42">
        <v>1</v>
      </c>
      <c r="E16" s="42">
        <v>0</v>
      </c>
      <c r="F16" s="42">
        <v>78</v>
      </c>
      <c r="G16" s="42">
        <v>119</v>
      </c>
      <c r="H16" s="42">
        <v>127</v>
      </c>
      <c r="I16" s="42">
        <v>90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5</v>
      </c>
      <c r="C17" s="42">
        <v>6</v>
      </c>
      <c r="D17" s="42">
        <v>5</v>
      </c>
      <c r="E17" s="42">
        <v>2</v>
      </c>
      <c r="F17" s="42">
        <v>166</v>
      </c>
      <c r="G17" s="42">
        <v>232</v>
      </c>
      <c r="H17" s="42">
        <v>88</v>
      </c>
      <c r="I17" s="42">
        <v>115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66</v>
      </c>
      <c r="C18" s="42">
        <v>111</v>
      </c>
      <c r="D18" s="42">
        <v>30</v>
      </c>
      <c r="E18" s="42">
        <v>52</v>
      </c>
      <c r="F18" s="42">
        <v>944</v>
      </c>
      <c r="G18" s="42">
        <v>1548</v>
      </c>
      <c r="H18" s="42">
        <v>512</v>
      </c>
      <c r="I18" s="42">
        <v>727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4</v>
      </c>
      <c r="C19" s="42">
        <v>2</v>
      </c>
      <c r="D19" s="42">
        <v>2</v>
      </c>
      <c r="E19" s="42">
        <v>6</v>
      </c>
      <c r="F19" s="42">
        <v>29</v>
      </c>
      <c r="G19" s="42">
        <v>26</v>
      </c>
      <c r="H19" s="42">
        <v>44</v>
      </c>
      <c r="I19" s="42">
        <v>23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2</v>
      </c>
      <c r="C20" s="42">
        <v>0</v>
      </c>
      <c r="D20" s="42">
        <v>1</v>
      </c>
      <c r="E20" s="42">
        <v>1</v>
      </c>
      <c r="F20" s="42">
        <v>46</v>
      </c>
      <c r="G20" s="42">
        <v>56</v>
      </c>
      <c r="H20" s="42">
        <v>122</v>
      </c>
      <c r="I20" s="42">
        <v>81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3</v>
      </c>
      <c r="C21" s="42">
        <v>3</v>
      </c>
      <c r="D21" s="42">
        <v>0</v>
      </c>
      <c r="E21" s="42">
        <v>1</v>
      </c>
      <c r="F21" s="42">
        <v>39</v>
      </c>
      <c r="G21" s="42">
        <v>47</v>
      </c>
      <c r="H21" s="42">
        <v>42</v>
      </c>
      <c r="I21" s="42">
        <v>39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3</v>
      </c>
      <c r="C22" s="42">
        <v>3</v>
      </c>
      <c r="D22" s="42">
        <v>5</v>
      </c>
      <c r="E22" s="42">
        <v>1</v>
      </c>
      <c r="F22" s="42">
        <v>61</v>
      </c>
      <c r="G22" s="42">
        <v>72</v>
      </c>
      <c r="H22" s="42">
        <v>78</v>
      </c>
      <c r="I22" s="42">
        <v>49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2</v>
      </c>
      <c r="C23" s="42">
        <v>3</v>
      </c>
      <c r="D23" s="42">
        <v>3</v>
      </c>
      <c r="E23" s="42">
        <v>3</v>
      </c>
      <c r="F23" s="42">
        <v>83</v>
      </c>
      <c r="G23" s="42">
        <v>62</v>
      </c>
      <c r="H23" s="42">
        <v>81</v>
      </c>
      <c r="I23" s="42">
        <v>60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12</v>
      </c>
      <c r="C24" s="42">
        <v>18</v>
      </c>
      <c r="D24" s="42">
        <v>11</v>
      </c>
      <c r="E24" s="42">
        <v>13</v>
      </c>
      <c r="F24" s="42">
        <v>515</v>
      </c>
      <c r="G24" s="42">
        <v>735</v>
      </c>
      <c r="H24" s="42">
        <v>336</v>
      </c>
      <c r="I24" s="42">
        <v>455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16</v>
      </c>
      <c r="C25" s="42">
        <v>26</v>
      </c>
      <c r="D25" s="42">
        <v>15</v>
      </c>
      <c r="E25" s="42">
        <v>9</v>
      </c>
      <c r="F25" s="42">
        <v>794</v>
      </c>
      <c r="G25" s="42">
        <v>1507</v>
      </c>
      <c r="H25" s="42">
        <v>463</v>
      </c>
      <c r="I25" s="42">
        <v>412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43</v>
      </c>
      <c r="C26" s="42">
        <v>66</v>
      </c>
      <c r="D26" s="42">
        <v>17</v>
      </c>
      <c r="E26" s="42">
        <v>8</v>
      </c>
      <c r="F26" s="42">
        <v>958</v>
      </c>
      <c r="G26" s="42">
        <v>1258</v>
      </c>
      <c r="H26" s="42">
        <v>587</v>
      </c>
      <c r="I26" s="42">
        <v>337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2</v>
      </c>
      <c r="C27" s="42">
        <v>0</v>
      </c>
      <c r="D27" s="42">
        <v>2</v>
      </c>
      <c r="E27" s="42">
        <v>0</v>
      </c>
      <c r="F27" s="42">
        <v>23</v>
      </c>
      <c r="G27" s="42">
        <v>17</v>
      </c>
      <c r="H27" s="42">
        <v>55</v>
      </c>
      <c r="I27" s="42">
        <v>18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14</v>
      </c>
      <c r="C28" s="42">
        <v>12</v>
      </c>
      <c r="D28" s="42">
        <v>17</v>
      </c>
      <c r="E28" s="42">
        <v>1</v>
      </c>
      <c r="F28" s="42">
        <v>356</v>
      </c>
      <c r="G28" s="42">
        <v>375</v>
      </c>
      <c r="H28" s="42">
        <v>363</v>
      </c>
      <c r="I28" s="42">
        <v>173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5</v>
      </c>
      <c r="C29" s="42">
        <v>5</v>
      </c>
      <c r="D29" s="42">
        <v>2</v>
      </c>
      <c r="E29" s="42">
        <v>0</v>
      </c>
      <c r="F29" s="42">
        <v>127</v>
      </c>
      <c r="G29" s="42">
        <v>100</v>
      </c>
      <c r="H29" s="42">
        <v>300</v>
      </c>
      <c r="I29" s="42">
        <v>99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4</v>
      </c>
      <c r="G30" s="42">
        <v>0</v>
      </c>
      <c r="H30" s="42">
        <v>5</v>
      </c>
      <c r="I30" s="42">
        <v>3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4</v>
      </c>
      <c r="C31" s="42">
        <v>15</v>
      </c>
      <c r="D31" s="42">
        <v>4</v>
      </c>
      <c r="E31" s="42">
        <v>7</v>
      </c>
      <c r="F31" s="42">
        <v>218</v>
      </c>
      <c r="G31" s="42">
        <v>262</v>
      </c>
      <c r="H31" s="42">
        <v>169</v>
      </c>
      <c r="I31" s="42">
        <v>242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2</v>
      </c>
      <c r="E32" s="42">
        <v>0</v>
      </c>
      <c r="F32" s="42">
        <v>7</v>
      </c>
      <c r="G32" s="42">
        <v>4</v>
      </c>
      <c r="H32" s="42">
        <v>21</v>
      </c>
      <c r="I32" s="42">
        <v>17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2</v>
      </c>
      <c r="E33" s="42">
        <v>1</v>
      </c>
      <c r="F33" s="42">
        <v>26</v>
      </c>
      <c r="G33" s="42">
        <v>14</v>
      </c>
      <c r="H33" s="42">
        <v>111</v>
      </c>
      <c r="I33" s="42">
        <v>48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2</v>
      </c>
      <c r="C34" s="42">
        <v>3</v>
      </c>
      <c r="D34" s="42">
        <v>1</v>
      </c>
      <c r="E34" s="42">
        <v>0</v>
      </c>
      <c r="F34" s="42">
        <v>28</v>
      </c>
      <c r="G34" s="42">
        <v>33</v>
      </c>
      <c r="H34" s="42">
        <v>45</v>
      </c>
      <c r="I34" s="42">
        <v>23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0</v>
      </c>
      <c r="C35" s="42">
        <v>4</v>
      </c>
      <c r="D35" s="42">
        <v>2</v>
      </c>
      <c r="E35" s="42">
        <v>0</v>
      </c>
      <c r="F35" s="42">
        <v>46</v>
      </c>
      <c r="G35" s="42">
        <v>57</v>
      </c>
      <c r="H35" s="42">
        <v>93</v>
      </c>
      <c r="I35" s="42">
        <v>67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1</v>
      </c>
      <c r="C36" s="42">
        <v>1</v>
      </c>
      <c r="D36" s="42">
        <v>6</v>
      </c>
      <c r="E36" s="42">
        <v>0</v>
      </c>
      <c r="F36" s="42">
        <v>22</v>
      </c>
      <c r="G36" s="42">
        <v>31</v>
      </c>
      <c r="H36" s="42">
        <v>25</v>
      </c>
      <c r="I36" s="42">
        <v>27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1</v>
      </c>
      <c r="D37" s="42">
        <v>1</v>
      </c>
      <c r="E37" s="42">
        <v>0</v>
      </c>
      <c r="F37" s="42">
        <v>15</v>
      </c>
      <c r="G37" s="42">
        <v>12</v>
      </c>
      <c r="H37" s="42">
        <v>17</v>
      </c>
      <c r="I37" s="42">
        <v>16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8</v>
      </c>
      <c r="C38" s="42">
        <v>22</v>
      </c>
      <c r="D38" s="42">
        <v>8</v>
      </c>
      <c r="E38" s="42">
        <v>5</v>
      </c>
      <c r="F38" s="42">
        <v>508</v>
      </c>
      <c r="G38" s="42">
        <v>521</v>
      </c>
      <c r="H38" s="42">
        <v>483</v>
      </c>
      <c r="I38" s="42">
        <v>180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34</v>
      </c>
      <c r="C39" s="42">
        <v>38</v>
      </c>
      <c r="D39" s="42">
        <v>19</v>
      </c>
      <c r="E39" s="42">
        <v>24</v>
      </c>
      <c r="F39" s="42">
        <v>923</v>
      </c>
      <c r="G39" s="42">
        <v>1408</v>
      </c>
      <c r="H39" s="42">
        <v>677</v>
      </c>
      <c r="I39" s="42">
        <v>937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2</v>
      </c>
      <c r="C40" s="42">
        <v>3</v>
      </c>
      <c r="D40" s="42">
        <v>3</v>
      </c>
      <c r="E40" s="42">
        <v>3</v>
      </c>
      <c r="F40" s="42">
        <v>77</v>
      </c>
      <c r="G40" s="42">
        <v>75</v>
      </c>
      <c r="H40" s="42">
        <v>134</v>
      </c>
      <c r="I40" s="42">
        <v>80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7</v>
      </c>
      <c r="C41" s="42">
        <v>9</v>
      </c>
      <c r="D41" s="42">
        <v>4</v>
      </c>
      <c r="E41" s="42">
        <v>4</v>
      </c>
      <c r="F41" s="42">
        <v>223</v>
      </c>
      <c r="G41" s="42">
        <v>215</v>
      </c>
      <c r="H41" s="42">
        <v>198</v>
      </c>
      <c r="I41" s="42">
        <v>206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16</v>
      </c>
      <c r="C42" s="42">
        <v>44</v>
      </c>
      <c r="D42" s="42">
        <v>20</v>
      </c>
      <c r="E42" s="42">
        <v>16</v>
      </c>
      <c r="F42" s="42">
        <v>782</v>
      </c>
      <c r="G42" s="42">
        <v>1299</v>
      </c>
      <c r="H42" s="42">
        <v>559</v>
      </c>
      <c r="I42" s="42">
        <v>404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41</v>
      </c>
      <c r="C43" s="42">
        <v>45</v>
      </c>
      <c r="D43" s="42">
        <v>26</v>
      </c>
      <c r="E43" s="42">
        <v>7</v>
      </c>
      <c r="F43" s="42">
        <v>642</v>
      </c>
      <c r="G43" s="42">
        <v>883</v>
      </c>
      <c r="H43" s="42">
        <v>684</v>
      </c>
      <c r="I43" s="42">
        <v>299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3</v>
      </c>
      <c r="C44" s="42">
        <v>2</v>
      </c>
      <c r="D44" s="42">
        <v>3</v>
      </c>
      <c r="E44" s="42">
        <v>2</v>
      </c>
      <c r="F44" s="42">
        <v>142</v>
      </c>
      <c r="G44" s="42">
        <v>140</v>
      </c>
      <c r="H44" s="42">
        <v>126</v>
      </c>
      <c r="I44" s="42">
        <v>158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1</v>
      </c>
      <c r="E45" s="42">
        <v>0</v>
      </c>
      <c r="F45" s="42">
        <v>21</v>
      </c>
      <c r="G45" s="42">
        <v>16</v>
      </c>
      <c r="H45" s="42">
        <v>11</v>
      </c>
      <c r="I45" s="42">
        <v>12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6</v>
      </c>
      <c r="C46" s="42">
        <v>5</v>
      </c>
      <c r="D46" s="42">
        <v>9</v>
      </c>
      <c r="E46" s="42">
        <v>1</v>
      </c>
      <c r="F46" s="42">
        <v>97</v>
      </c>
      <c r="G46" s="42">
        <v>131</v>
      </c>
      <c r="H46" s="42">
        <v>144</v>
      </c>
      <c r="I46" s="42">
        <v>86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0</v>
      </c>
      <c r="C47" s="42">
        <v>1</v>
      </c>
      <c r="D47" s="42">
        <v>2</v>
      </c>
      <c r="E47" s="42">
        <v>0</v>
      </c>
      <c r="F47" s="42">
        <v>39</v>
      </c>
      <c r="G47" s="42">
        <v>35</v>
      </c>
      <c r="H47" s="42">
        <v>43</v>
      </c>
      <c r="I47" s="42">
        <v>30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11</v>
      </c>
      <c r="C48" s="42">
        <v>16</v>
      </c>
      <c r="D48" s="42">
        <v>6</v>
      </c>
      <c r="E48" s="42">
        <v>6</v>
      </c>
      <c r="F48" s="42">
        <v>203</v>
      </c>
      <c r="G48" s="42">
        <v>386</v>
      </c>
      <c r="H48" s="42">
        <v>233</v>
      </c>
      <c r="I48" s="42">
        <v>260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55</v>
      </c>
      <c r="C49" s="42">
        <v>68</v>
      </c>
      <c r="D49" s="42">
        <v>36</v>
      </c>
      <c r="E49" s="42">
        <v>27</v>
      </c>
      <c r="F49" s="42">
        <v>1563</v>
      </c>
      <c r="G49" s="42">
        <v>2176</v>
      </c>
      <c r="H49" s="42">
        <v>1146</v>
      </c>
      <c r="I49" s="42">
        <v>950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1</v>
      </c>
      <c r="D50" s="42">
        <v>1</v>
      </c>
      <c r="E50" s="42">
        <v>0</v>
      </c>
      <c r="F50" s="42">
        <v>16</v>
      </c>
      <c r="G50" s="42">
        <v>12</v>
      </c>
      <c r="H50" s="42">
        <v>11</v>
      </c>
      <c r="I50" s="42">
        <v>7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8</v>
      </c>
      <c r="C51" s="42">
        <v>25</v>
      </c>
      <c r="D51" s="42">
        <v>14</v>
      </c>
      <c r="E51" s="42">
        <v>17</v>
      </c>
      <c r="F51" s="42">
        <v>541</v>
      </c>
      <c r="G51" s="42">
        <v>977</v>
      </c>
      <c r="H51" s="42">
        <v>557</v>
      </c>
      <c r="I51" s="42">
        <v>521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5</v>
      </c>
      <c r="C52" s="42">
        <v>3</v>
      </c>
      <c r="D52" s="42">
        <v>2</v>
      </c>
      <c r="E52" s="42">
        <v>8</v>
      </c>
      <c r="F52" s="42">
        <v>86</v>
      </c>
      <c r="G52" s="42">
        <v>84</v>
      </c>
      <c r="H52" s="42">
        <v>102</v>
      </c>
      <c r="I52" s="42">
        <v>67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2</v>
      </c>
      <c r="C53" s="42">
        <v>0</v>
      </c>
      <c r="D53" s="42">
        <v>1</v>
      </c>
      <c r="E53" s="42">
        <v>0</v>
      </c>
      <c r="F53" s="42">
        <v>52</v>
      </c>
      <c r="G53" s="42">
        <v>71</v>
      </c>
      <c r="H53" s="42">
        <v>59</v>
      </c>
      <c r="I53" s="42">
        <v>56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90</v>
      </c>
      <c r="C54" s="42">
        <v>370</v>
      </c>
      <c r="D54" s="42">
        <v>111</v>
      </c>
      <c r="E54" s="42">
        <v>42</v>
      </c>
      <c r="F54" s="42">
        <v>2694</v>
      </c>
      <c r="G54" s="42">
        <v>8349</v>
      </c>
      <c r="H54" s="42">
        <v>2803</v>
      </c>
      <c r="I54" s="42">
        <v>1265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6</v>
      </c>
      <c r="C55" s="42">
        <v>6</v>
      </c>
      <c r="D55" s="42">
        <v>1</v>
      </c>
      <c r="E55" s="42">
        <v>1</v>
      </c>
      <c r="F55" s="42">
        <v>62</v>
      </c>
      <c r="G55" s="42">
        <v>99</v>
      </c>
      <c r="H55" s="42">
        <v>77</v>
      </c>
      <c r="I55" s="42">
        <v>127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1</v>
      </c>
      <c r="F56" s="42">
        <v>10</v>
      </c>
      <c r="G56" s="42">
        <v>6</v>
      </c>
      <c r="H56" s="42">
        <v>13</v>
      </c>
      <c r="I56" s="42">
        <v>17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6</v>
      </c>
      <c r="C57" s="42">
        <v>12</v>
      </c>
      <c r="D57" s="42">
        <v>10</v>
      </c>
      <c r="E57" s="42">
        <v>11</v>
      </c>
      <c r="F57" s="42">
        <v>181</v>
      </c>
      <c r="G57" s="42">
        <v>166</v>
      </c>
      <c r="H57" s="42">
        <v>251</v>
      </c>
      <c r="I57" s="42">
        <v>164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4</v>
      </c>
      <c r="C58" s="42">
        <v>3</v>
      </c>
      <c r="D58" s="42">
        <v>2</v>
      </c>
      <c r="E58" s="42">
        <v>0</v>
      </c>
      <c r="F58" s="42">
        <v>26</v>
      </c>
      <c r="G58" s="42">
        <v>28</v>
      </c>
      <c r="H58" s="42">
        <v>16</v>
      </c>
      <c r="I58" s="42">
        <v>33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1</v>
      </c>
      <c r="C59" s="42">
        <v>3</v>
      </c>
      <c r="D59" s="42">
        <v>5</v>
      </c>
      <c r="E59" s="42">
        <v>1</v>
      </c>
      <c r="F59" s="42">
        <v>60</v>
      </c>
      <c r="G59" s="42">
        <v>62</v>
      </c>
      <c r="H59" s="42">
        <v>150</v>
      </c>
      <c r="I59" s="42">
        <v>99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2</v>
      </c>
      <c r="F60" s="42">
        <v>7</v>
      </c>
      <c r="G60" s="42">
        <v>4</v>
      </c>
      <c r="H60" s="42">
        <v>9</v>
      </c>
      <c r="I60" s="42">
        <v>7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2</v>
      </c>
      <c r="C61" s="42">
        <v>3</v>
      </c>
      <c r="D61" s="42">
        <v>0</v>
      </c>
      <c r="E61" s="42">
        <v>1</v>
      </c>
      <c r="F61" s="42">
        <v>42</v>
      </c>
      <c r="G61" s="42">
        <v>45</v>
      </c>
      <c r="H61" s="42">
        <v>45</v>
      </c>
      <c r="I61" s="42">
        <v>43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43</v>
      </c>
      <c r="G62" s="42">
        <v>46</v>
      </c>
      <c r="H62" s="42">
        <v>44</v>
      </c>
      <c r="I62" s="42">
        <v>50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2</v>
      </c>
      <c r="D63" s="42">
        <v>0</v>
      </c>
      <c r="E63" s="42">
        <v>0</v>
      </c>
      <c r="F63" s="42">
        <v>25</v>
      </c>
      <c r="G63" s="42">
        <v>44</v>
      </c>
      <c r="H63" s="42">
        <v>25</v>
      </c>
      <c r="I63" s="42">
        <v>22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1</v>
      </c>
      <c r="C64" s="42">
        <v>1</v>
      </c>
      <c r="D64" s="42">
        <v>1</v>
      </c>
      <c r="E64" s="42">
        <v>1</v>
      </c>
      <c r="F64" s="42">
        <v>48</v>
      </c>
      <c r="G64" s="42">
        <v>53</v>
      </c>
      <c r="H64" s="42">
        <v>53</v>
      </c>
      <c r="I64" s="42">
        <v>46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2</v>
      </c>
      <c r="D65" s="42">
        <v>0</v>
      </c>
      <c r="E65" s="42">
        <v>0</v>
      </c>
      <c r="F65" s="42">
        <v>35</v>
      </c>
      <c r="G65" s="42">
        <v>46</v>
      </c>
      <c r="H65" s="42">
        <v>41</v>
      </c>
      <c r="I65" s="42">
        <v>37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11</v>
      </c>
      <c r="C66" s="42">
        <v>8</v>
      </c>
      <c r="D66" s="42">
        <v>13</v>
      </c>
      <c r="E66" s="42">
        <v>5</v>
      </c>
      <c r="F66" s="42">
        <v>221</v>
      </c>
      <c r="G66" s="42">
        <v>230</v>
      </c>
      <c r="H66" s="42">
        <v>362</v>
      </c>
      <c r="I66" s="42">
        <v>211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4</v>
      </c>
      <c r="C67" s="42">
        <v>2</v>
      </c>
      <c r="D67" s="42">
        <v>0</v>
      </c>
      <c r="E67" s="42">
        <v>0</v>
      </c>
      <c r="F67" s="42">
        <v>43</v>
      </c>
      <c r="G67" s="42">
        <v>65</v>
      </c>
      <c r="H67" s="42">
        <v>69</v>
      </c>
      <c r="I67" s="42">
        <v>71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10</v>
      </c>
      <c r="C68" s="42">
        <v>23</v>
      </c>
      <c r="D68" s="42">
        <v>7</v>
      </c>
      <c r="E68" s="42">
        <v>3</v>
      </c>
      <c r="F68" s="42">
        <v>399</v>
      </c>
      <c r="G68" s="42">
        <v>439</v>
      </c>
      <c r="H68" s="42">
        <v>585</v>
      </c>
      <c r="I68" s="42">
        <v>324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1</v>
      </c>
      <c r="C69" s="42">
        <v>0</v>
      </c>
      <c r="D69" s="42">
        <v>1</v>
      </c>
      <c r="E69" s="42">
        <v>0</v>
      </c>
      <c r="F69" s="42">
        <v>44</v>
      </c>
      <c r="G69" s="42">
        <v>40</v>
      </c>
      <c r="H69" s="42">
        <v>44</v>
      </c>
      <c r="I69" s="42">
        <v>36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29</v>
      </c>
      <c r="C70" s="42">
        <v>37</v>
      </c>
      <c r="D70" s="42">
        <v>26</v>
      </c>
      <c r="E70" s="42">
        <v>19</v>
      </c>
      <c r="F70" s="42">
        <v>801</v>
      </c>
      <c r="G70" s="42">
        <v>1247</v>
      </c>
      <c r="H70" s="42">
        <v>612</v>
      </c>
      <c r="I70" s="42">
        <v>795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744</v>
      </c>
      <c r="C71" s="67">
        <f>SUM(C4:C70)</f>
        <v>1472</v>
      </c>
      <c r="D71" s="67">
        <f>SUM(D4:D70)</f>
        <v>657</v>
      </c>
      <c r="E71" s="67">
        <f>SUM(E4:E70)</f>
        <v>428</v>
      </c>
      <c r="F71" s="67">
        <f t="shared" ref="F71:I71" si="0">SUM(F4:F70)</f>
        <v>19672</v>
      </c>
      <c r="G71" s="67">
        <f t="shared" si="0"/>
        <v>33116</v>
      </c>
      <c r="H71" s="67">
        <f t="shared" si="0"/>
        <v>18851</v>
      </c>
      <c r="I71" s="67">
        <f t="shared" si="0"/>
        <v>14075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31" sqref="H31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5</v>
      </c>
      <c r="C3" s="53">
        <v>8</v>
      </c>
      <c r="D3" s="53">
        <v>139</v>
      </c>
      <c r="E3" s="53">
        <v>280</v>
      </c>
    </row>
    <row r="4" spans="1:5" x14ac:dyDescent="0.25">
      <c r="A4" s="42" t="s">
        <v>2</v>
      </c>
      <c r="B4" s="53">
        <v>298</v>
      </c>
      <c r="C4" s="53">
        <v>88</v>
      </c>
      <c r="D4" s="53">
        <v>2832</v>
      </c>
      <c r="E4" s="53">
        <v>1322</v>
      </c>
    </row>
    <row r="5" spans="1:5" x14ac:dyDescent="0.25">
      <c r="A5" s="42" t="s">
        <v>3</v>
      </c>
      <c r="B5" s="53">
        <v>3</v>
      </c>
      <c r="C5" s="53">
        <v>3</v>
      </c>
      <c r="D5" s="53">
        <v>29</v>
      </c>
      <c r="E5" s="53">
        <v>54</v>
      </c>
    </row>
    <row r="6" spans="1:5" x14ac:dyDescent="0.25">
      <c r="A6" s="42" t="s">
        <v>4</v>
      </c>
      <c r="B6" s="53">
        <v>6</v>
      </c>
      <c r="C6" s="53">
        <v>4</v>
      </c>
      <c r="D6" s="53">
        <v>115</v>
      </c>
      <c r="E6" s="53">
        <v>140</v>
      </c>
    </row>
    <row r="7" spans="1:5" x14ac:dyDescent="0.25">
      <c r="A7" s="42" t="s">
        <v>5</v>
      </c>
      <c r="B7" s="53">
        <v>4</v>
      </c>
      <c r="C7" s="53">
        <v>0</v>
      </c>
      <c r="D7" s="53">
        <v>14</v>
      </c>
      <c r="E7" s="53">
        <v>22</v>
      </c>
    </row>
    <row r="8" spans="1:5" x14ac:dyDescent="0.25">
      <c r="A8" s="42" t="s">
        <v>6</v>
      </c>
      <c r="B8" s="53">
        <v>30</v>
      </c>
      <c r="C8" s="53">
        <v>22</v>
      </c>
      <c r="D8" s="53">
        <v>1094</v>
      </c>
      <c r="E8" s="53">
        <v>879</v>
      </c>
    </row>
    <row r="9" spans="1:5" x14ac:dyDescent="0.25">
      <c r="A9" s="42" t="s">
        <v>7</v>
      </c>
      <c r="B9" s="53">
        <v>6</v>
      </c>
      <c r="C9" s="53">
        <v>3</v>
      </c>
      <c r="D9" s="53">
        <v>92</v>
      </c>
      <c r="E9" s="53">
        <v>126</v>
      </c>
    </row>
    <row r="10" spans="1:5" x14ac:dyDescent="0.25">
      <c r="A10" s="42" t="s">
        <v>8</v>
      </c>
      <c r="B10" s="53">
        <v>2</v>
      </c>
      <c r="C10" s="53">
        <v>1</v>
      </c>
      <c r="D10" s="53">
        <v>44</v>
      </c>
      <c r="E10" s="53">
        <v>65</v>
      </c>
    </row>
    <row r="11" spans="1:5" x14ac:dyDescent="0.25">
      <c r="A11" s="42" t="s">
        <v>9</v>
      </c>
      <c r="B11" s="53">
        <v>42</v>
      </c>
      <c r="C11" s="53">
        <v>38</v>
      </c>
      <c r="D11" s="53">
        <v>1375</v>
      </c>
      <c r="E11" s="53">
        <v>1492</v>
      </c>
    </row>
    <row r="12" spans="1:5" x14ac:dyDescent="0.25">
      <c r="A12" s="42" t="s">
        <v>10</v>
      </c>
      <c r="B12" s="53">
        <v>5</v>
      </c>
      <c r="C12" s="53">
        <v>6</v>
      </c>
      <c r="D12" s="53">
        <v>158</v>
      </c>
      <c r="E12" s="53">
        <v>259</v>
      </c>
    </row>
    <row r="13" spans="1:5" x14ac:dyDescent="0.25">
      <c r="A13" s="42" t="s">
        <v>11</v>
      </c>
      <c r="B13" s="53">
        <v>2</v>
      </c>
      <c r="C13" s="53">
        <v>4</v>
      </c>
      <c r="D13" s="53">
        <v>112</v>
      </c>
      <c r="E13" s="53">
        <v>119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5">
      <c r="A15" s="42" t="s">
        <v>13</v>
      </c>
      <c r="B15" s="53">
        <v>1</v>
      </c>
      <c r="C15" s="53">
        <v>4</v>
      </c>
      <c r="D15" s="53">
        <v>75</v>
      </c>
      <c r="E15" s="53">
        <v>85</v>
      </c>
    </row>
    <row r="16" spans="1:5" x14ac:dyDescent="0.25">
      <c r="A16" s="42" t="s">
        <v>14</v>
      </c>
      <c r="B16" s="53">
        <v>6</v>
      </c>
      <c r="C16" s="53">
        <v>4</v>
      </c>
      <c r="D16" s="53">
        <v>159</v>
      </c>
      <c r="E16" s="53">
        <v>151</v>
      </c>
    </row>
    <row r="17" spans="1:5" x14ac:dyDescent="0.25">
      <c r="A17" s="42" t="s">
        <v>15</v>
      </c>
      <c r="B17" s="53">
        <v>55</v>
      </c>
      <c r="C17" s="53">
        <v>58</v>
      </c>
      <c r="D17" s="53">
        <v>989</v>
      </c>
      <c r="E17" s="53">
        <v>1029</v>
      </c>
    </row>
    <row r="18" spans="1:5" x14ac:dyDescent="0.25">
      <c r="A18" s="42" t="s">
        <v>16</v>
      </c>
      <c r="B18" s="53">
        <v>2</v>
      </c>
      <c r="C18" s="53">
        <v>2</v>
      </c>
      <c r="D18" s="53">
        <v>20</v>
      </c>
      <c r="E18" s="53">
        <v>28</v>
      </c>
    </row>
    <row r="19" spans="1:5" x14ac:dyDescent="0.25">
      <c r="A19" s="42" t="s">
        <v>17</v>
      </c>
      <c r="B19" s="53">
        <v>2</v>
      </c>
      <c r="C19" s="53">
        <v>0</v>
      </c>
      <c r="D19" s="53">
        <v>50</v>
      </c>
      <c r="E19" s="53">
        <v>71</v>
      </c>
    </row>
    <row r="20" spans="1:5" x14ac:dyDescent="0.25">
      <c r="A20" s="42" t="s">
        <v>18</v>
      </c>
      <c r="B20" s="53">
        <v>1</v>
      </c>
      <c r="C20" s="53">
        <v>2</v>
      </c>
      <c r="D20" s="53">
        <v>31</v>
      </c>
      <c r="E20" s="53">
        <v>46</v>
      </c>
    </row>
    <row r="21" spans="1:5" x14ac:dyDescent="0.25">
      <c r="A21" s="42" t="s">
        <v>19</v>
      </c>
      <c r="B21" s="53">
        <v>1</v>
      </c>
      <c r="C21" s="53">
        <v>2</v>
      </c>
      <c r="D21" s="53">
        <v>39</v>
      </c>
      <c r="E21" s="53">
        <v>61</v>
      </c>
    </row>
    <row r="22" spans="1:5" x14ac:dyDescent="0.25">
      <c r="A22" s="42" t="s">
        <v>20</v>
      </c>
      <c r="B22" s="53">
        <v>1</v>
      </c>
      <c r="C22" s="53">
        <v>0</v>
      </c>
      <c r="D22" s="53">
        <v>56</v>
      </c>
      <c r="E22" s="53">
        <v>62</v>
      </c>
    </row>
    <row r="23" spans="1:5" x14ac:dyDescent="0.25">
      <c r="A23" s="42" t="s">
        <v>21</v>
      </c>
      <c r="B23" s="53">
        <v>14</v>
      </c>
      <c r="C23" s="53">
        <v>19</v>
      </c>
      <c r="D23" s="53">
        <v>523</v>
      </c>
      <c r="E23" s="53">
        <v>624</v>
      </c>
    </row>
    <row r="24" spans="1:5" x14ac:dyDescent="0.25">
      <c r="A24" s="42" t="s">
        <v>22</v>
      </c>
      <c r="B24" s="53">
        <v>47</v>
      </c>
      <c r="C24" s="53">
        <v>15</v>
      </c>
      <c r="D24" s="53">
        <v>1189</v>
      </c>
      <c r="E24" s="53">
        <v>654</v>
      </c>
    </row>
    <row r="25" spans="1:5" x14ac:dyDescent="0.25">
      <c r="A25" s="42" t="s">
        <v>23</v>
      </c>
      <c r="B25" s="53">
        <v>52</v>
      </c>
      <c r="C25" s="53">
        <v>21</v>
      </c>
      <c r="D25" s="53">
        <v>1147</v>
      </c>
      <c r="E25" s="53">
        <v>632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9</v>
      </c>
      <c r="E26" s="53">
        <v>28</v>
      </c>
    </row>
    <row r="27" spans="1:5" x14ac:dyDescent="0.25">
      <c r="A27" s="42" t="s">
        <v>25</v>
      </c>
      <c r="B27" s="53">
        <v>11</v>
      </c>
      <c r="C27" s="53">
        <v>9</v>
      </c>
      <c r="D27" s="53">
        <v>265</v>
      </c>
      <c r="E27" s="53">
        <v>228</v>
      </c>
    </row>
    <row r="28" spans="1:5" x14ac:dyDescent="0.25">
      <c r="A28" s="42" t="s">
        <v>26</v>
      </c>
      <c r="B28" s="53">
        <v>4</v>
      </c>
      <c r="C28" s="53">
        <v>3</v>
      </c>
      <c r="D28" s="53">
        <v>98</v>
      </c>
      <c r="E28" s="53">
        <v>104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1</v>
      </c>
      <c r="E29" s="53">
        <v>2</v>
      </c>
    </row>
    <row r="30" spans="1:5" x14ac:dyDescent="0.25">
      <c r="A30" s="42" t="s">
        <v>28</v>
      </c>
      <c r="B30" s="53">
        <v>7</v>
      </c>
      <c r="C30" s="53">
        <v>10</v>
      </c>
      <c r="D30" s="53">
        <v>225</v>
      </c>
      <c r="E30" s="53">
        <v>366</v>
      </c>
    </row>
    <row r="31" spans="1:5" x14ac:dyDescent="0.25">
      <c r="A31" s="42" t="s">
        <v>29</v>
      </c>
      <c r="B31" s="53">
        <v>1</v>
      </c>
      <c r="C31" s="53">
        <v>0</v>
      </c>
      <c r="D31" s="53">
        <v>13</v>
      </c>
      <c r="E31" s="53">
        <v>17</v>
      </c>
    </row>
    <row r="32" spans="1:5" x14ac:dyDescent="0.25">
      <c r="A32" s="42" t="s">
        <v>30</v>
      </c>
      <c r="B32" s="53">
        <v>2</v>
      </c>
      <c r="C32" s="53">
        <v>1</v>
      </c>
      <c r="D32" s="53">
        <v>28</v>
      </c>
      <c r="E32" s="53">
        <v>30</v>
      </c>
    </row>
    <row r="33" spans="1:5" x14ac:dyDescent="0.25">
      <c r="A33" s="42" t="s">
        <v>31</v>
      </c>
      <c r="B33" s="53">
        <v>0</v>
      </c>
      <c r="C33" s="53">
        <v>2</v>
      </c>
      <c r="D33" s="53">
        <v>15</v>
      </c>
      <c r="E33" s="53">
        <v>26</v>
      </c>
    </row>
    <row r="34" spans="1:5" x14ac:dyDescent="0.25">
      <c r="A34" s="42" t="s">
        <v>32</v>
      </c>
      <c r="B34" s="53">
        <v>3</v>
      </c>
      <c r="C34" s="53">
        <v>3</v>
      </c>
      <c r="D34" s="53">
        <v>49</v>
      </c>
      <c r="E34" s="53">
        <v>54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17</v>
      </c>
      <c r="E36" s="53">
        <v>15</v>
      </c>
    </row>
    <row r="37" spans="1:5" x14ac:dyDescent="0.25">
      <c r="A37" s="42" t="s">
        <v>35</v>
      </c>
      <c r="B37" s="53">
        <v>12</v>
      </c>
      <c r="C37" s="53">
        <v>11</v>
      </c>
      <c r="D37" s="53">
        <v>371</v>
      </c>
      <c r="E37" s="53">
        <v>294</v>
      </c>
    </row>
    <row r="38" spans="1:5" x14ac:dyDescent="0.25">
      <c r="A38" s="42" t="s">
        <v>36</v>
      </c>
      <c r="B38" s="53">
        <v>15</v>
      </c>
      <c r="C38" s="53">
        <v>25</v>
      </c>
      <c r="D38" s="53">
        <v>1074</v>
      </c>
      <c r="E38" s="53">
        <v>1213</v>
      </c>
    </row>
    <row r="39" spans="1:5" x14ac:dyDescent="0.25">
      <c r="A39" s="42" t="s">
        <v>37</v>
      </c>
      <c r="B39" s="53">
        <v>4</v>
      </c>
      <c r="C39" s="53">
        <v>1</v>
      </c>
      <c r="D39" s="53">
        <v>58</v>
      </c>
      <c r="E39" s="53">
        <v>65</v>
      </c>
    </row>
    <row r="40" spans="1:5" x14ac:dyDescent="0.25">
      <c r="A40" s="42" t="s">
        <v>38</v>
      </c>
      <c r="B40" s="53">
        <v>4</v>
      </c>
      <c r="C40" s="53">
        <v>7</v>
      </c>
      <c r="D40" s="53">
        <v>174</v>
      </c>
      <c r="E40" s="53">
        <v>190</v>
      </c>
    </row>
    <row r="41" spans="1:5" x14ac:dyDescent="0.25">
      <c r="A41" s="42" t="s">
        <v>39</v>
      </c>
      <c r="B41" s="53">
        <v>41</v>
      </c>
      <c r="C41" s="53">
        <v>12</v>
      </c>
      <c r="D41" s="53">
        <v>812</v>
      </c>
      <c r="E41" s="53">
        <v>561</v>
      </c>
    </row>
    <row r="42" spans="1:5" x14ac:dyDescent="0.25">
      <c r="A42" s="42" t="s">
        <v>40</v>
      </c>
      <c r="B42" s="53">
        <v>20</v>
      </c>
      <c r="C42" s="53">
        <v>11</v>
      </c>
      <c r="D42" s="53">
        <v>507</v>
      </c>
      <c r="E42" s="53">
        <v>406</v>
      </c>
    </row>
    <row r="43" spans="1:5" x14ac:dyDescent="0.25">
      <c r="A43" s="42" t="s">
        <v>41</v>
      </c>
      <c r="B43" s="53">
        <v>5</v>
      </c>
      <c r="C43" s="53">
        <v>1</v>
      </c>
      <c r="D43" s="53">
        <v>136</v>
      </c>
      <c r="E43" s="53">
        <v>182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11</v>
      </c>
      <c r="E44" s="53">
        <v>15</v>
      </c>
    </row>
    <row r="45" spans="1:5" x14ac:dyDescent="0.25">
      <c r="A45" s="42" t="s">
        <v>43</v>
      </c>
      <c r="B45" s="53">
        <v>4</v>
      </c>
      <c r="C45" s="53">
        <v>5</v>
      </c>
      <c r="D45" s="53">
        <v>101</v>
      </c>
      <c r="E45" s="53">
        <v>103</v>
      </c>
    </row>
    <row r="46" spans="1:5" x14ac:dyDescent="0.25">
      <c r="A46" s="42" t="s">
        <v>44</v>
      </c>
      <c r="B46" s="53">
        <v>0</v>
      </c>
      <c r="C46" s="53">
        <v>1</v>
      </c>
      <c r="D46" s="53">
        <v>11</v>
      </c>
      <c r="E46" s="53">
        <v>32</v>
      </c>
    </row>
    <row r="47" spans="1:5" x14ac:dyDescent="0.25">
      <c r="A47" s="42" t="s">
        <v>45</v>
      </c>
      <c r="B47" s="53">
        <v>13</v>
      </c>
      <c r="C47" s="53">
        <v>7</v>
      </c>
      <c r="D47" s="53">
        <v>324</v>
      </c>
      <c r="E47" s="53">
        <v>241</v>
      </c>
    </row>
    <row r="48" spans="1:5" x14ac:dyDescent="0.25">
      <c r="A48" s="42" t="s">
        <v>46</v>
      </c>
      <c r="B48" s="53">
        <v>65</v>
      </c>
      <c r="C48" s="53">
        <v>28</v>
      </c>
      <c r="D48" s="53">
        <v>1943</v>
      </c>
      <c r="E48" s="53">
        <v>1492</v>
      </c>
    </row>
    <row r="49" spans="1:5" x14ac:dyDescent="0.25">
      <c r="A49" s="42" t="s">
        <v>47</v>
      </c>
      <c r="B49" s="53">
        <v>1</v>
      </c>
      <c r="C49" s="53">
        <v>0</v>
      </c>
      <c r="D49" s="53">
        <v>8</v>
      </c>
      <c r="E49" s="53">
        <v>12</v>
      </c>
    </row>
    <row r="50" spans="1:5" x14ac:dyDescent="0.25">
      <c r="A50" s="42" t="s">
        <v>48</v>
      </c>
      <c r="B50" s="53">
        <v>18</v>
      </c>
      <c r="C50" s="53">
        <v>18</v>
      </c>
      <c r="D50" s="53">
        <v>727</v>
      </c>
      <c r="E50" s="53">
        <v>564</v>
      </c>
    </row>
    <row r="51" spans="1:5" x14ac:dyDescent="0.25">
      <c r="A51" s="42" t="s">
        <v>49</v>
      </c>
      <c r="B51" s="53">
        <v>3</v>
      </c>
      <c r="C51" s="53">
        <v>0</v>
      </c>
      <c r="D51" s="53">
        <v>68</v>
      </c>
      <c r="E51" s="53">
        <v>79</v>
      </c>
    </row>
    <row r="52" spans="1:5" x14ac:dyDescent="0.25">
      <c r="A52" s="42" t="s">
        <v>50</v>
      </c>
      <c r="B52" s="53">
        <v>3</v>
      </c>
      <c r="C52" s="53">
        <v>3</v>
      </c>
      <c r="D52" s="53">
        <v>55</v>
      </c>
      <c r="E52" s="53">
        <v>90</v>
      </c>
    </row>
    <row r="53" spans="1:5" x14ac:dyDescent="0.25">
      <c r="A53" s="42" t="s">
        <v>51</v>
      </c>
      <c r="B53" s="53">
        <v>374</v>
      </c>
      <c r="C53" s="53">
        <v>66</v>
      </c>
      <c r="D53" s="53">
        <v>7779</v>
      </c>
      <c r="E53" s="53">
        <v>1723</v>
      </c>
    </row>
    <row r="54" spans="1:5" x14ac:dyDescent="0.25">
      <c r="A54" s="42" t="s">
        <v>52</v>
      </c>
      <c r="B54" s="53">
        <v>4</v>
      </c>
      <c r="C54" s="53">
        <v>3</v>
      </c>
      <c r="D54" s="53">
        <v>80</v>
      </c>
      <c r="E54" s="53">
        <v>101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7</v>
      </c>
      <c r="E55" s="53">
        <v>16</v>
      </c>
    </row>
    <row r="56" spans="1:5" x14ac:dyDescent="0.25">
      <c r="A56" s="42" t="s">
        <v>54</v>
      </c>
      <c r="B56" s="53">
        <v>3</v>
      </c>
      <c r="C56" s="53">
        <v>9</v>
      </c>
      <c r="D56" s="53">
        <v>140</v>
      </c>
      <c r="E56" s="53">
        <v>177</v>
      </c>
    </row>
    <row r="57" spans="1:5" x14ac:dyDescent="0.25">
      <c r="A57" s="42" t="s">
        <v>55</v>
      </c>
      <c r="B57" s="53">
        <v>0</v>
      </c>
      <c r="C57" s="53">
        <v>1</v>
      </c>
      <c r="D57" s="53">
        <v>12</v>
      </c>
      <c r="E57" s="53">
        <v>18</v>
      </c>
    </row>
    <row r="58" spans="1:5" x14ac:dyDescent="0.25">
      <c r="A58" s="42" t="s">
        <v>56</v>
      </c>
      <c r="B58" s="53">
        <v>0</v>
      </c>
      <c r="C58" s="53">
        <v>3</v>
      </c>
      <c r="D58" s="53">
        <v>63</v>
      </c>
      <c r="E58" s="53">
        <v>87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9</v>
      </c>
    </row>
    <row r="60" spans="1:5" x14ac:dyDescent="0.25">
      <c r="A60" s="42" t="s">
        <v>58</v>
      </c>
      <c r="B60" s="53">
        <v>0</v>
      </c>
      <c r="C60" s="53">
        <v>2</v>
      </c>
      <c r="D60" s="53">
        <v>34</v>
      </c>
      <c r="E60" s="53">
        <v>40</v>
      </c>
    </row>
    <row r="61" spans="1:5" x14ac:dyDescent="0.25">
      <c r="A61" s="42" t="s">
        <v>59</v>
      </c>
      <c r="B61" s="53">
        <v>1</v>
      </c>
      <c r="C61" s="53">
        <v>2</v>
      </c>
      <c r="D61" s="53">
        <v>28</v>
      </c>
      <c r="E61" s="53">
        <v>47</v>
      </c>
    </row>
    <row r="62" spans="1:5" x14ac:dyDescent="0.25">
      <c r="A62" s="42" t="s">
        <v>60</v>
      </c>
      <c r="B62" s="53">
        <v>0</v>
      </c>
      <c r="C62" s="53">
        <v>2</v>
      </c>
      <c r="D62" s="53">
        <v>15</v>
      </c>
      <c r="E62" s="53">
        <v>35</v>
      </c>
    </row>
    <row r="63" spans="1:5" x14ac:dyDescent="0.25">
      <c r="A63" s="42" t="s">
        <v>61</v>
      </c>
      <c r="B63" s="53">
        <v>0</v>
      </c>
      <c r="C63" s="53">
        <v>1</v>
      </c>
      <c r="D63" s="53">
        <v>41</v>
      </c>
      <c r="E63" s="53">
        <v>61</v>
      </c>
    </row>
    <row r="64" spans="1:5" x14ac:dyDescent="0.25">
      <c r="A64" s="42" t="s">
        <v>62</v>
      </c>
      <c r="B64" s="53">
        <v>1</v>
      </c>
      <c r="C64" s="53">
        <v>1</v>
      </c>
      <c r="D64" s="53">
        <v>27</v>
      </c>
      <c r="E64" s="53">
        <v>45</v>
      </c>
    </row>
    <row r="65" spans="1:5" x14ac:dyDescent="0.25">
      <c r="A65" s="42" t="s">
        <v>63</v>
      </c>
      <c r="B65" s="53">
        <v>4</v>
      </c>
      <c r="C65" s="53">
        <v>6</v>
      </c>
      <c r="D65" s="53">
        <v>189</v>
      </c>
      <c r="E65" s="53">
        <v>229</v>
      </c>
    </row>
    <row r="66" spans="1:5" x14ac:dyDescent="0.25">
      <c r="A66" s="42" t="s">
        <v>64</v>
      </c>
      <c r="B66" s="53">
        <v>1</v>
      </c>
      <c r="C66" s="53">
        <v>2</v>
      </c>
      <c r="D66" s="53">
        <v>51</v>
      </c>
      <c r="E66" s="53">
        <v>57</v>
      </c>
    </row>
    <row r="67" spans="1:5" x14ac:dyDescent="0.25">
      <c r="A67" s="42" t="s">
        <v>65</v>
      </c>
      <c r="B67" s="53">
        <v>12</v>
      </c>
      <c r="C67" s="53">
        <v>10</v>
      </c>
      <c r="D67" s="53">
        <v>335</v>
      </c>
      <c r="E67" s="53">
        <v>380</v>
      </c>
    </row>
    <row r="68" spans="1:5" x14ac:dyDescent="0.25">
      <c r="A68" s="42" t="s">
        <v>66</v>
      </c>
      <c r="B68" s="53">
        <v>0</v>
      </c>
      <c r="C68" s="53">
        <v>4</v>
      </c>
      <c r="D68" s="53">
        <v>33</v>
      </c>
      <c r="E68" s="53">
        <v>58</v>
      </c>
    </row>
    <row r="69" spans="1:5" x14ac:dyDescent="0.25">
      <c r="A69" s="42" t="s">
        <v>67</v>
      </c>
      <c r="B69" s="53">
        <v>23</v>
      </c>
      <c r="C69" s="53">
        <v>26</v>
      </c>
      <c r="D69" s="53">
        <v>1074</v>
      </c>
      <c r="E69" s="53">
        <v>1067</v>
      </c>
    </row>
    <row r="70" spans="1:5" x14ac:dyDescent="0.25">
      <c r="A70" s="39" t="s">
        <v>68</v>
      </c>
      <c r="B70" s="43">
        <f>SUM(B3:B69)</f>
        <v>1244</v>
      </c>
      <c r="C70" s="43">
        <f>SUM(C3:C69)</f>
        <v>600</v>
      </c>
      <c r="D70" s="43">
        <f t="shared" ref="D70:E70" si="0">SUM(D3:D69)</f>
        <v>27300</v>
      </c>
      <c r="E70" s="43">
        <f t="shared" si="0"/>
        <v>18785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6" sqref="I36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6279</v>
      </c>
      <c r="C2" s="11">
        <v>10687</v>
      </c>
      <c r="D2" s="11">
        <v>10929</v>
      </c>
      <c r="E2" s="11">
        <v>10069</v>
      </c>
      <c r="F2" s="11">
        <v>13756</v>
      </c>
      <c r="G2" s="11">
        <v>14096</v>
      </c>
      <c r="H2" s="11">
        <v>11061</v>
      </c>
    </row>
    <row r="3" spans="1:8" x14ac:dyDescent="0.25">
      <c r="A3" s="11" t="s">
        <v>2</v>
      </c>
      <c r="B3" s="11">
        <v>80606</v>
      </c>
      <c r="C3" s="11">
        <v>172770</v>
      </c>
      <c r="D3" s="11">
        <v>162595</v>
      </c>
      <c r="E3" s="11">
        <v>123666</v>
      </c>
      <c r="F3" s="11">
        <v>131520</v>
      </c>
      <c r="G3" s="11">
        <v>139589</v>
      </c>
      <c r="H3" s="11">
        <v>109728</v>
      </c>
    </row>
    <row r="4" spans="1:8" x14ac:dyDescent="0.25">
      <c r="A4" s="11" t="s">
        <v>3</v>
      </c>
      <c r="B4" s="11">
        <v>3137</v>
      </c>
      <c r="C4" s="11">
        <v>5610</v>
      </c>
      <c r="D4" s="11">
        <v>6146</v>
      </c>
      <c r="E4" s="11">
        <v>6401</v>
      </c>
      <c r="F4" s="11">
        <v>7701</v>
      </c>
      <c r="G4" s="11">
        <v>8272</v>
      </c>
      <c r="H4" s="11">
        <v>6382</v>
      </c>
    </row>
    <row r="5" spans="1:8" x14ac:dyDescent="0.25">
      <c r="A5" s="11" t="s">
        <v>4</v>
      </c>
      <c r="B5" s="11">
        <v>7519</v>
      </c>
      <c r="C5" s="11">
        <v>16024</v>
      </c>
      <c r="D5" s="11">
        <v>17923</v>
      </c>
      <c r="E5" s="11">
        <v>16326</v>
      </c>
      <c r="F5" s="11">
        <v>19528</v>
      </c>
      <c r="G5" s="11">
        <v>21056</v>
      </c>
      <c r="H5" s="11">
        <v>15854</v>
      </c>
    </row>
    <row r="6" spans="1:8" x14ac:dyDescent="0.25">
      <c r="A6" s="11" t="s">
        <v>5</v>
      </c>
      <c r="B6" s="11">
        <v>2217</v>
      </c>
      <c r="C6" s="11">
        <v>4251</v>
      </c>
      <c r="D6" s="11">
        <v>4469</v>
      </c>
      <c r="E6" s="11">
        <v>4782</v>
      </c>
      <c r="F6" s="11">
        <v>6049</v>
      </c>
      <c r="G6" s="11">
        <v>6344</v>
      </c>
      <c r="H6" s="11">
        <v>4953</v>
      </c>
    </row>
    <row r="7" spans="1:8" x14ac:dyDescent="0.25">
      <c r="A7" s="11" t="s">
        <v>6</v>
      </c>
      <c r="B7" s="11">
        <v>23477</v>
      </c>
      <c r="C7" s="11">
        <v>41940</v>
      </c>
      <c r="D7" s="11">
        <v>44047</v>
      </c>
      <c r="E7" s="11">
        <v>40670</v>
      </c>
      <c r="F7" s="11">
        <v>47584</v>
      </c>
      <c r="G7" s="11">
        <v>43068</v>
      </c>
      <c r="H7" s="11">
        <v>33963</v>
      </c>
    </row>
    <row r="8" spans="1:8" x14ac:dyDescent="0.25">
      <c r="A8" s="11" t="s">
        <v>7</v>
      </c>
      <c r="B8" s="11">
        <v>6192</v>
      </c>
      <c r="C8" s="11">
        <v>11315</v>
      </c>
      <c r="D8" s="11">
        <v>12323</v>
      </c>
      <c r="E8" s="11">
        <v>12167</v>
      </c>
      <c r="F8" s="11">
        <v>13638</v>
      </c>
      <c r="G8" s="11">
        <v>13995</v>
      </c>
      <c r="H8" s="11">
        <v>11986</v>
      </c>
    </row>
    <row r="9" spans="1:8" x14ac:dyDescent="0.25">
      <c r="A9" s="11" t="s">
        <v>8</v>
      </c>
      <c r="B9" s="11">
        <v>2916</v>
      </c>
      <c r="C9" s="11">
        <v>5283</v>
      </c>
      <c r="D9" s="11">
        <v>5771</v>
      </c>
      <c r="E9" s="11">
        <v>5388</v>
      </c>
      <c r="F9" s="11">
        <v>6988</v>
      </c>
      <c r="G9" s="11">
        <v>6918</v>
      </c>
      <c r="H9" s="11">
        <v>5686</v>
      </c>
    </row>
    <row r="10" spans="1:8" x14ac:dyDescent="0.25">
      <c r="A10" s="11" t="s">
        <v>9</v>
      </c>
      <c r="B10" s="11">
        <v>39712</v>
      </c>
      <c r="C10" s="11">
        <v>68510</v>
      </c>
      <c r="D10" s="11">
        <v>73925</v>
      </c>
      <c r="E10" s="11">
        <v>71093</v>
      </c>
      <c r="F10" s="11">
        <v>86641</v>
      </c>
      <c r="G10" s="11">
        <v>82570</v>
      </c>
      <c r="H10" s="11">
        <v>63149</v>
      </c>
    </row>
    <row r="11" spans="1:8" x14ac:dyDescent="0.25">
      <c r="A11" s="11" t="s">
        <v>10</v>
      </c>
      <c r="B11" s="11">
        <v>11197</v>
      </c>
      <c r="C11" s="11">
        <v>20552</v>
      </c>
      <c r="D11" s="11">
        <v>22654</v>
      </c>
      <c r="E11" s="11">
        <v>20890</v>
      </c>
      <c r="F11" s="11">
        <v>25018</v>
      </c>
      <c r="G11" s="11">
        <v>24669</v>
      </c>
      <c r="H11" s="11">
        <v>19006</v>
      </c>
    </row>
    <row r="12" spans="1:8" x14ac:dyDescent="0.25">
      <c r="A12" s="11" t="s">
        <v>11</v>
      </c>
      <c r="B12" s="11">
        <v>6244</v>
      </c>
      <c r="C12" s="11">
        <v>11213</v>
      </c>
      <c r="D12" s="11">
        <v>12034</v>
      </c>
      <c r="E12" s="11">
        <v>12605</v>
      </c>
      <c r="F12" s="11">
        <v>14499</v>
      </c>
      <c r="G12" s="11">
        <v>16377</v>
      </c>
      <c r="H12" s="11">
        <v>12996</v>
      </c>
    </row>
    <row r="13" spans="1:8" x14ac:dyDescent="0.25">
      <c r="A13" s="11" t="s">
        <v>12</v>
      </c>
      <c r="B13" s="11">
        <v>142</v>
      </c>
      <c r="C13" s="11">
        <v>292</v>
      </c>
      <c r="D13" s="11">
        <v>366</v>
      </c>
      <c r="E13" s="11">
        <v>346</v>
      </c>
      <c r="F13" s="11">
        <v>545</v>
      </c>
      <c r="G13" s="11">
        <v>658</v>
      </c>
      <c r="H13" s="11">
        <v>532</v>
      </c>
    </row>
    <row r="14" spans="1:8" x14ac:dyDescent="0.25">
      <c r="A14" s="11" t="s">
        <v>13</v>
      </c>
      <c r="B14" s="11">
        <v>3150</v>
      </c>
      <c r="C14" s="11">
        <v>6179</v>
      </c>
      <c r="D14" s="11">
        <v>6828</v>
      </c>
      <c r="E14" s="11">
        <v>6837</v>
      </c>
      <c r="F14" s="11">
        <v>8603</v>
      </c>
      <c r="G14" s="11">
        <v>8317</v>
      </c>
      <c r="H14" s="11">
        <v>5898</v>
      </c>
    </row>
    <row r="15" spans="1:8" x14ac:dyDescent="0.25">
      <c r="A15" s="11" t="s">
        <v>14</v>
      </c>
      <c r="B15" s="11">
        <v>17522</v>
      </c>
      <c r="C15" s="11">
        <v>19517</v>
      </c>
      <c r="D15" s="11">
        <v>13836</v>
      </c>
      <c r="E15" s="11">
        <v>12366</v>
      </c>
      <c r="F15" s="11">
        <v>13920</v>
      </c>
      <c r="G15" s="11">
        <v>13548</v>
      </c>
      <c r="H15" s="11">
        <v>11551</v>
      </c>
    </row>
    <row r="16" spans="1:8" x14ac:dyDescent="0.25">
      <c r="A16" s="11" t="s">
        <v>15</v>
      </c>
      <c r="B16" s="11">
        <v>37205</v>
      </c>
      <c r="C16" s="11">
        <v>60942</v>
      </c>
      <c r="D16" s="11">
        <v>60368</v>
      </c>
      <c r="E16" s="11">
        <v>59024</v>
      </c>
      <c r="F16" s="11">
        <v>66654</v>
      </c>
      <c r="G16" s="11">
        <v>59928</v>
      </c>
      <c r="H16" s="11">
        <v>46723</v>
      </c>
    </row>
    <row r="17" spans="1:8" x14ac:dyDescent="0.25">
      <c r="A17" s="11" t="s">
        <v>16</v>
      </c>
      <c r="B17" s="11">
        <v>1655</v>
      </c>
      <c r="C17" s="11">
        <v>3061</v>
      </c>
      <c r="D17" s="11">
        <v>3293</v>
      </c>
      <c r="E17" s="11">
        <v>3381</v>
      </c>
      <c r="F17" s="11">
        <v>4204</v>
      </c>
      <c r="G17" s="11">
        <v>4298</v>
      </c>
      <c r="H17" s="11">
        <v>3386</v>
      </c>
    </row>
    <row r="18" spans="1:8" x14ac:dyDescent="0.25">
      <c r="A18" s="11" t="s">
        <v>17</v>
      </c>
      <c r="B18" s="11">
        <v>3307</v>
      </c>
      <c r="C18" s="11">
        <v>6444</v>
      </c>
      <c r="D18" s="11">
        <v>7090</v>
      </c>
      <c r="E18" s="11">
        <v>7478</v>
      </c>
      <c r="F18" s="11">
        <v>9114</v>
      </c>
      <c r="G18" s="11">
        <v>9018</v>
      </c>
      <c r="H18" s="11">
        <v>7136</v>
      </c>
    </row>
    <row r="19" spans="1:8" x14ac:dyDescent="0.25">
      <c r="A19" s="11" t="s">
        <v>18</v>
      </c>
      <c r="B19" s="11">
        <v>1720</v>
      </c>
      <c r="C19" s="11">
        <v>3317</v>
      </c>
      <c r="D19" s="11">
        <v>3272</v>
      </c>
      <c r="E19" s="11">
        <v>3329</v>
      </c>
      <c r="F19" s="11">
        <v>3835</v>
      </c>
      <c r="G19" s="11">
        <v>3964</v>
      </c>
      <c r="H19" s="11">
        <v>3118</v>
      </c>
    </row>
    <row r="20" spans="1:8" x14ac:dyDescent="0.25">
      <c r="A20" s="11" t="s">
        <v>19</v>
      </c>
      <c r="B20" s="11">
        <v>3741</v>
      </c>
      <c r="C20" s="11">
        <v>5960</v>
      </c>
      <c r="D20" s="11">
        <v>5910</v>
      </c>
      <c r="E20" s="11">
        <v>5774</v>
      </c>
      <c r="F20" s="11">
        <v>6713</v>
      </c>
      <c r="G20" s="11">
        <v>7001</v>
      </c>
      <c r="H20" s="11">
        <v>5540</v>
      </c>
    </row>
    <row r="21" spans="1:8" x14ac:dyDescent="0.25">
      <c r="A21" s="11" t="s">
        <v>20</v>
      </c>
      <c r="B21" s="11">
        <v>3891</v>
      </c>
      <c r="C21" s="11">
        <v>6981</v>
      </c>
      <c r="D21" s="11">
        <v>7515</v>
      </c>
      <c r="E21" s="11">
        <v>7347</v>
      </c>
      <c r="F21" s="11">
        <v>9277</v>
      </c>
      <c r="G21" s="11">
        <v>9777</v>
      </c>
      <c r="H21" s="11">
        <v>8228</v>
      </c>
    </row>
    <row r="22" spans="1:8" x14ac:dyDescent="0.25">
      <c r="A22" s="11" t="s">
        <v>21</v>
      </c>
      <c r="B22" s="11">
        <v>16198</v>
      </c>
      <c r="C22" s="11">
        <v>28259</v>
      </c>
      <c r="D22" s="11">
        <v>30293</v>
      </c>
      <c r="E22" s="11">
        <v>27391</v>
      </c>
      <c r="F22" s="11">
        <v>29213</v>
      </c>
      <c r="G22" s="11">
        <v>28290</v>
      </c>
      <c r="H22" s="11">
        <v>24677</v>
      </c>
    </row>
    <row r="23" spans="1:8" x14ac:dyDescent="0.25">
      <c r="A23" s="11" t="s">
        <v>22</v>
      </c>
      <c r="B23" s="11">
        <v>17214</v>
      </c>
      <c r="C23" s="11">
        <v>34738</v>
      </c>
      <c r="D23" s="11">
        <v>34854</v>
      </c>
      <c r="E23" s="11">
        <v>30103</v>
      </c>
      <c r="F23" s="11">
        <v>32491</v>
      </c>
      <c r="G23" s="11">
        <v>30474</v>
      </c>
      <c r="H23" s="11">
        <v>22007</v>
      </c>
    </row>
    <row r="24" spans="1:8" x14ac:dyDescent="0.25">
      <c r="A24" s="11" t="s">
        <v>23</v>
      </c>
      <c r="B24" s="11">
        <v>38172</v>
      </c>
      <c r="C24" s="11">
        <v>66405</v>
      </c>
      <c r="D24" s="11">
        <v>72733</v>
      </c>
      <c r="E24" s="11">
        <v>60947</v>
      </c>
      <c r="F24" s="11">
        <v>65266</v>
      </c>
      <c r="G24" s="11">
        <v>62130</v>
      </c>
      <c r="H24" s="11">
        <v>46242</v>
      </c>
    </row>
    <row r="25" spans="1:8" x14ac:dyDescent="0.25">
      <c r="A25" s="11" t="s">
        <v>24</v>
      </c>
      <c r="B25" s="11">
        <v>1449</v>
      </c>
      <c r="C25" s="11">
        <v>2543</v>
      </c>
      <c r="D25" s="11">
        <v>2740</v>
      </c>
      <c r="E25" s="11">
        <v>2835</v>
      </c>
      <c r="F25" s="11">
        <v>3897</v>
      </c>
      <c r="G25" s="11">
        <v>3948</v>
      </c>
      <c r="H25" s="11">
        <v>3031</v>
      </c>
    </row>
    <row r="26" spans="1:8" x14ac:dyDescent="0.25">
      <c r="A26" s="11" t="s">
        <v>25</v>
      </c>
      <c r="B26" s="11">
        <v>14404</v>
      </c>
      <c r="C26" s="11">
        <v>27161</v>
      </c>
      <c r="D26" s="11">
        <v>27263</v>
      </c>
      <c r="E26" s="11">
        <v>25199</v>
      </c>
      <c r="F26" s="11">
        <v>28655</v>
      </c>
      <c r="G26" s="11">
        <v>29583</v>
      </c>
      <c r="H26" s="11">
        <v>22651</v>
      </c>
    </row>
    <row r="27" spans="1:8" x14ac:dyDescent="0.25">
      <c r="A27" s="11" t="s">
        <v>26</v>
      </c>
      <c r="B27" s="11">
        <v>5046</v>
      </c>
      <c r="C27" s="11">
        <v>10710</v>
      </c>
      <c r="D27" s="11">
        <v>11652</v>
      </c>
      <c r="E27" s="11">
        <v>12067</v>
      </c>
      <c r="F27" s="11">
        <v>14053</v>
      </c>
      <c r="G27" s="11">
        <v>14660</v>
      </c>
      <c r="H27" s="11">
        <v>11383</v>
      </c>
    </row>
    <row r="28" spans="1:8" x14ac:dyDescent="0.25">
      <c r="A28" s="11" t="s">
        <v>27</v>
      </c>
      <c r="B28" s="11">
        <v>156</v>
      </c>
      <c r="C28" s="11">
        <v>238</v>
      </c>
      <c r="D28" s="11">
        <v>310</v>
      </c>
      <c r="E28" s="11">
        <v>388</v>
      </c>
      <c r="F28" s="11">
        <v>677</v>
      </c>
      <c r="G28" s="11">
        <v>840</v>
      </c>
      <c r="H28" s="11">
        <v>654</v>
      </c>
    </row>
    <row r="29" spans="1:8" x14ac:dyDescent="0.25">
      <c r="A29" s="11" t="s">
        <v>28</v>
      </c>
      <c r="B29" s="11">
        <v>8277</v>
      </c>
      <c r="C29" s="11">
        <v>15451</v>
      </c>
      <c r="D29" s="11">
        <v>16196</v>
      </c>
      <c r="E29" s="11">
        <v>15736</v>
      </c>
      <c r="F29" s="11">
        <v>18097</v>
      </c>
      <c r="G29" s="11">
        <v>16953</v>
      </c>
      <c r="H29" s="11">
        <v>14875</v>
      </c>
    </row>
    <row r="30" spans="1:8" x14ac:dyDescent="0.25">
      <c r="A30" s="11" t="s">
        <v>29</v>
      </c>
      <c r="B30" s="11">
        <v>724</v>
      </c>
      <c r="C30" s="11">
        <v>1378</v>
      </c>
      <c r="D30" s="11">
        <v>1403</v>
      </c>
      <c r="E30" s="11">
        <v>1532</v>
      </c>
      <c r="F30" s="11">
        <v>1872</v>
      </c>
      <c r="G30" s="11">
        <v>1767</v>
      </c>
      <c r="H30" s="11">
        <v>1454</v>
      </c>
    </row>
    <row r="31" spans="1:8" x14ac:dyDescent="0.25">
      <c r="A31" s="11" t="s">
        <v>30</v>
      </c>
      <c r="B31" s="11">
        <v>1505</v>
      </c>
      <c r="C31" s="11">
        <v>3009</v>
      </c>
      <c r="D31" s="11">
        <v>3069</v>
      </c>
      <c r="E31" s="11">
        <v>3406</v>
      </c>
      <c r="F31" s="11">
        <v>3800</v>
      </c>
      <c r="G31" s="11">
        <v>3983</v>
      </c>
      <c r="H31" s="11">
        <v>3037</v>
      </c>
    </row>
    <row r="32" spans="1:8" x14ac:dyDescent="0.25">
      <c r="A32" s="11" t="s">
        <v>31</v>
      </c>
      <c r="B32" s="11">
        <v>2288</v>
      </c>
      <c r="C32" s="11">
        <v>3735</v>
      </c>
      <c r="D32" s="11">
        <v>3615</v>
      </c>
      <c r="E32" s="11">
        <v>3978</v>
      </c>
      <c r="F32" s="11">
        <v>4941</v>
      </c>
      <c r="G32" s="11">
        <v>5063</v>
      </c>
      <c r="H32" s="11">
        <v>4277</v>
      </c>
    </row>
    <row r="33" spans="1:8" x14ac:dyDescent="0.25">
      <c r="A33" s="11" t="s">
        <v>32</v>
      </c>
      <c r="B33" s="11">
        <v>4459</v>
      </c>
      <c r="C33" s="11">
        <v>6630</v>
      </c>
      <c r="D33" s="11">
        <v>6750</v>
      </c>
      <c r="E33" s="11">
        <v>6926</v>
      </c>
      <c r="F33" s="11">
        <v>8288</v>
      </c>
      <c r="G33" s="11">
        <v>8995</v>
      </c>
      <c r="H33" s="11">
        <v>7089</v>
      </c>
    </row>
    <row r="34" spans="1:8" x14ac:dyDescent="0.25">
      <c r="A34" s="11" t="s">
        <v>33</v>
      </c>
      <c r="B34" s="11">
        <v>2076</v>
      </c>
      <c r="C34" s="11">
        <v>3619</v>
      </c>
      <c r="D34" s="11">
        <v>4186</v>
      </c>
      <c r="E34" s="11">
        <v>4068</v>
      </c>
      <c r="F34" s="11">
        <v>4886</v>
      </c>
      <c r="G34" s="11">
        <v>5296</v>
      </c>
      <c r="H34" s="11">
        <v>4038</v>
      </c>
    </row>
    <row r="35" spans="1:8" x14ac:dyDescent="0.25">
      <c r="A35" s="11" t="s">
        <v>34</v>
      </c>
      <c r="B35" s="11">
        <v>931</v>
      </c>
      <c r="C35" s="11">
        <v>1775</v>
      </c>
      <c r="D35" s="11">
        <v>1997</v>
      </c>
      <c r="E35" s="11">
        <v>2113</v>
      </c>
      <c r="F35" s="11">
        <v>2599</v>
      </c>
      <c r="G35" s="11">
        <v>2577</v>
      </c>
      <c r="H35" s="11">
        <v>2089</v>
      </c>
    </row>
    <row r="36" spans="1:8" x14ac:dyDescent="0.25">
      <c r="A36" s="11" t="s">
        <v>35</v>
      </c>
      <c r="B36" s="11">
        <v>12113</v>
      </c>
      <c r="C36" s="11">
        <v>22952</v>
      </c>
      <c r="D36" s="11">
        <v>24243</v>
      </c>
      <c r="E36" s="11">
        <v>21729</v>
      </c>
      <c r="F36" s="11">
        <v>24991</v>
      </c>
      <c r="G36" s="11">
        <v>24122</v>
      </c>
      <c r="H36" s="11">
        <v>20037</v>
      </c>
    </row>
    <row r="37" spans="1:8" x14ac:dyDescent="0.25">
      <c r="A37" s="11" t="s">
        <v>36</v>
      </c>
      <c r="B37" s="11">
        <v>30736</v>
      </c>
      <c r="C37" s="11">
        <v>59043</v>
      </c>
      <c r="D37" s="11">
        <v>59726</v>
      </c>
      <c r="E37" s="11">
        <v>51272</v>
      </c>
      <c r="F37" s="11">
        <v>56725</v>
      </c>
      <c r="G37" s="11">
        <v>57695</v>
      </c>
      <c r="H37" s="11">
        <v>50226</v>
      </c>
    </row>
    <row r="38" spans="1:8" x14ac:dyDescent="0.25">
      <c r="A38" s="11" t="s">
        <v>37</v>
      </c>
      <c r="B38" s="11">
        <v>4252</v>
      </c>
      <c r="C38" s="11">
        <v>7851</v>
      </c>
      <c r="D38" s="11">
        <v>8379</v>
      </c>
      <c r="E38" s="11">
        <v>8283</v>
      </c>
      <c r="F38" s="11">
        <v>9756</v>
      </c>
      <c r="G38" s="11">
        <v>10399</v>
      </c>
      <c r="H38" s="11">
        <v>8417</v>
      </c>
    </row>
    <row r="39" spans="1:8" x14ac:dyDescent="0.25">
      <c r="A39" s="11" t="s">
        <v>38</v>
      </c>
      <c r="B39" s="11">
        <v>7327</v>
      </c>
      <c r="C39" s="11">
        <v>13162</v>
      </c>
      <c r="D39" s="11">
        <v>14504</v>
      </c>
      <c r="E39" s="11">
        <v>14110</v>
      </c>
      <c r="F39" s="11">
        <v>15915</v>
      </c>
      <c r="G39" s="11">
        <v>15733</v>
      </c>
      <c r="H39" s="11">
        <v>13639</v>
      </c>
    </row>
    <row r="40" spans="1:8" x14ac:dyDescent="0.25">
      <c r="A40" s="11" t="s">
        <v>39</v>
      </c>
      <c r="B40" s="11">
        <v>21775</v>
      </c>
      <c r="C40" s="11">
        <v>41954</v>
      </c>
      <c r="D40" s="11">
        <v>42616</v>
      </c>
      <c r="E40" s="11">
        <v>38762</v>
      </c>
      <c r="F40" s="11">
        <v>41208</v>
      </c>
      <c r="G40" s="11">
        <v>38524</v>
      </c>
      <c r="H40" s="11">
        <v>30113</v>
      </c>
    </row>
    <row r="41" spans="1:8" x14ac:dyDescent="0.25">
      <c r="A41" s="11" t="s">
        <v>40</v>
      </c>
      <c r="B41" s="11">
        <v>16202</v>
      </c>
      <c r="C41" s="11">
        <v>31001</v>
      </c>
      <c r="D41" s="11">
        <v>33447</v>
      </c>
      <c r="E41" s="11">
        <v>30714</v>
      </c>
      <c r="F41" s="11">
        <v>35956</v>
      </c>
      <c r="G41" s="11">
        <v>33429</v>
      </c>
      <c r="H41" s="11">
        <v>27595</v>
      </c>
    </row>
    <row r="42" spans="1:8" x14ac:dyDescent="0.25">
      <c r="A42" s="11" t="s">
        <v>41</v>
      </c>
      <c r="B42" s="11">
        <v>5551</v>
      </c>
      <c r="C42" s="11">
        <v>10093</v>
      </c>
      <c r="D42" s="11">
        <v>11462</v>
      </c>
      <c r="E42" s="11">
        <v>10416</v>
      </c>
      <c r="F42" s="11">
        <v>12155</v>
      </c>
      <c r="G42" s="11">
        <v>12991</v>
      </c>
      <c r="H42" s="11">
        <v>10097</v>
      </c>
    </row>
    <row r="43" spans="1:8" x14ac:dyDescent="0.25">
      <c r="A43" s="11" t="s">
        <v>91</v>
      </c>
      <c r="B43" s="11">
        <v>1780</v>
      </c>
      <c r="C43" s="11">
        <v>3311</v>
      </c>
      <c r="D43" s="11">
        <v>3688</v>
      </c>
      <c r="E43" s="11">
        <v>3750</v>
      </c>
      <c r="F43" s="11">
        <v>4546</v>
      </c>
      <c r="G43" s="11">
        <v>4645</v>
      </c>
      <c r="H43" s="11">
        <v>3591</v>
      </c>
    </row>
    <row r="44" spans="1:8" x14ac:dyDescent="0.25">
      <c r="A44" s="11" t="s">
        <v>43</v>
      </c>
      <c r="B44" s="11">
        <v>5483</v>
      </c>
      <c r="C44" s="11">
        <v>9837</v>
      </c>
      <c r="D44" s="11">
        <v>10012</v>
      </c>
      <c r="E44" s="11">
        <v>9878</v>
      </c>
      <c r="F44" s="11">
        <v>12322</v>
      </c>
      <c r="G44" s="11">
        <v>13474</v>
      </c>
      <c r="H44" s="11">
        <v>10968</v>
      </c>
    </row>
    <row r="45" spans="1:8" x14ac:dyDescent="0.25">
      <c r="A45" s="11" t="s">
        <v>44</v>
      </c>
      <c r="B45" s="11">
        <v>1722</v>
      </c>
      <c r="C45" s="11">
        <v>3631</v>
      </c>
      <c r="D45" s="11">
        <v>3911</v>
      </c>
      <c r="E45" s="11">
        <v>3903</v>
      </c>
      <c r="F45" s="11">
        <v>5007</v>
      </c>
      <c r="G45" s="11">
        <v>4760</v>
      </c>
      <c r="H45" s="11">
        <v>4229</v>
      </c>
    </row>
    <row r="46" spans="1:8" x14ac:dyDescent="0.25">
      <c r="A46" s="11" t="s">
        <v>45</v>
      </c>
      <c r="B46" s="11">
        <v>9765</v>
      </c>
      <c r="C46" s="11">
        <v>17566</v>
      </c>
      <c r="D46" s="11">
        <v>17855</v>
      </c>
      <c r="E46" s="11">
        <v>17460</v>
      </c>
      <c r="F46" s="11">
        <v>22531</v>
      </c>
      <c r="G46" s="11">
        <v>20388</v>
      </c>
      <c r="H46" s="11">
        <v>12515</v>
      </c>
    </row>
    <row r="47" spans="1:8" x14ac:dyDescent="0.25">
      <c r="A47" s="11" t="s">
        <v>46</v>
      </c>
      <c r="B47" s="11">
        <v>54108</v>
      </c>
      <c r="C47" s="11">
        <v>96930</v>
      </c>
      <c r="D47" s="11">
        <v>105247</v>
      </c>
      <c r="E47" s="11">
        <v>93793</v>
      </c>
      <c r="F47" s="11">
        <v>101487</v>
      </c>
      <c r="G47" s="11">
        <v>95684</v>
      </c>
      <c r="H47" s="11">
        <v>78061</v>
      </c>
    </row>
    <row r="48" spans="1:8" x14ac:dyDescent="0.25">
      <c r="A48" s="11" t="s">
        <v>47</v>
      </c>
      <c r="B48" s="11">
        <v>810</v>
      </c>
      <c r="C48" s="11">
        <v>1890</v>
      </c>
      <c r="D48" s="11">
        <v>2024</v>
      </c>
      <c r="E48" s="11">
        <v>1655</v>
      </c>
      <c r="F48" s="11">
        <v>1971</v>
      </c>
      <c r="G48" s="11">
        <v>2169</v>
      </c>
      <c r="H48" s="11">
        <v>1866</v>
      </c>
    </row>
    <row r="49" spans="1:8" x14ac:dyDescent="0.25">
      <c r="A49" s="11" t="s">
        <v>48</v>
      </c>
      <c r="B49" s="11">
        <v>22851</v>
      </c>
      <c r="C49" s="11">
        <v>37010</v>
      </c>
      <c r="D49" s="11">
        <v>35952</v>
      </c>
      <c r="E49" s="11">
        <v>33193</v>
      </c>
      <c r="F49" s="11">
        <v>38486</v>
      </c>
      <c r="G49" s="11">
        <v>36509</v>
      </c>
      <c r="H49" s="11">
        <v>29218</v>
      </c>
    </row>
    <row r="50" spans="1:8" x14ac:dyDescent="0.25">
      <c r="A50" s="11" t="s">
        <v>49</v>
      </c>
      <c r="B50" s="11">
        <v>3669</v>
      </c>
      <c r="C50" s="11">
        <v>7198</v>
      </c>
      <c r="D50" s="11">
        <v>8588</v>
      </c>
      <c r="E50" s="11">
        <v>8202</v>
      </c>
      <c r="F50" s="11">
        <v>9670</v>
      </c>
      <c r="G50" s="11">
        <v>10032</v>
      </c>
      <c r="H50" s="11">
        <v>8060</v>
      </c>
    </row>
    <row r="51" spans="1:8" x14ac:dyDescent="0.25">
      <c r="A51" s="11" t="s">
        <v>50</v>
      </c>
      <c r="B51" s="11">
        <v>2361</v>
      </c>
      <c r="C51" s="11">
        <v>4353</v>
      </c>
      <c r="D51" s="11">
        <v>4875</v>
      </c>
      <c r="E51" s="11">
        <v>4744</v>
      </c>
      <c r="F51" s="11">
        <v>5819</v>
      </c>
      <c r="G51" s="11">
        <v>5368</v>
      </c>
      <c r="H51" s="11">
        <v>3774</v>
      </c>
    </row>
    <row r="52" spans="1:8" x14ac:dyDescent="0.25">
      <c r="A52" s="11" t="s">
        <v>51</v>
      </c>
      <c r="B52" s="11">
        <v>102659</v>
      </c>
      <c r="C52" s="11">
        <v>260093</v>
      </c>
      <c r="D52" s="11">
        <v>223501</v>
      </c>
      <c r="E52" s="11">
        <v>144793</v>
      </c>
      <c r="F52" s="11">
        <v>144755</v>
      </c>
      <c r="G52" s="11">
        <v>127436</v>
      </c>
      <c r="H52" s="11">
        <v>92655</v>
      </c>
    </row>
    <row r="53" spans="1:8" x14ac:dyDescent="0.25">
      <c r="A53" s="11" t="s">
        <v>52</v>
      </c>
      <c r="B53" s="11">
        <v>3157</v>
      </c>
      <c r="C53" s="11">
        <v>5963</v>
      </c>
      <c r="D53" s="11">
        <v>6522</v>
      </c>
      <c r="E53" s="11">
        <v>6638</v>
      </c>
      <c r="F53" s="11">
        <v>9540</v>
      </c>
      <c r="G53" s="11">
        <v>9268</v>
      </c>
      <c r="H53" s="11">
        <v>6404</v>
      </c>
    </row>
    <row r="54" spans="1:8" x14ac:dyDescent="0.25">
      <c r="A54" s="11" t="s">
        <v>53</v>
      </c>
      <c r="B54" s="11">
        <v>735</v>
      </c>
      <c r="C54" s="11">
        <v>1258</v>
      </c>
      <c r="D54" s="11">
        <v>1474</v>
      </c>
      <c r="E54" s="11">
        <v>1497</v>
      </c>
      <c r="F54" s="11">
        <v>2021</v>
      </c>
      <c r="G54" s="11">
        <v>2236</v>
      </c>
      <c r="H54" s="11">
        <v>1775</v>
      </c>
    </row>
    <row r="55" spans="1:8" x14ac:dyDescent="0.25">
      <c r="A55" s="11" t="s">
        <v>54</v>
      </c>
      <c r="B55" s="11">
        <v>6866</v>
      </c>
      <c r="C55" s="11">
        <v>12520</v>
      </c>
      <c r="D55" s="11">
        <v>13917</v>
      </c>
      <c r="E55" s="11">
        <v>14194</v>
      </c>
      <c r="F55" s="11">
        <v>16642</v>
      </c>
      <c r="G55" s="11">
        <v>16162</v>
      </c>
      <c r="H55" s="11">
        <v>12312</v>
      </c>
    </row>
    <row r="56" spans="1:8" x14ac:dyDescent="0.25">
      <c r="A56" s="11" t="s">
        <v>55</v>
      </c>
      <c r="B56" s="11">
        <v>2269</v>
      </c>
      <c r="C56" s="11">
        <v>3222</v>
      </c>
      <c r="D56" s="11">
        <v>3486</v>
      </c>
      <c r="E56" s="11">
        <v>3434</v>
      </c>
      <c r="F56" s="11">
        <v>4149</v>
      </c>
      <c r="G56" s="11">
        <v>3983</v>
      </c>
      <c r="H56" s="11">
        <v>3402</v>
      </c>
    </row>
    <row r="57" spans="1:8" x14ac:dyDescent="0.25">
      <c r="A57" s="11" t="s">
        <v>56</v>
      </c>
      <c r="B57" s="11">
        <v>3232</v>
      </c>
      <c r="C57" s="11">
        <v>6014</v>
      </c>
      <c r="D57" s="11">
        <v>6770</v>
      </c>
      <c r="E57" s="11">
        <v>7033</v>
      </c>
      <c r="F57" s="11">
        <v>8587</v>
      </c>
      <c r="G57" s="11">
        <v>9362</v>
      </c>
      <c r="H57" s="11">
        <v>7523</v>
      </c>
    </row>
    <row r="58" spans="1:8" x14ac:dyDescent="0.25">
      <c r="A58" s="11" t="s">
        <v>57</v>
      </c>
      <c r="B58" s="11">
        <v>250</v>
      </c>
      <c r="C58" s="11">
        <v>418</v>
      </c>
      <c r="D58" s="11">
        <v>557</v>
      </c>
      <c r="E58" s="11">
        <v>562</v>
      </c>
      <c r="F58" s="11">
        <v>803</v>
      </c>
      <c r="G58" s="11">
        <v>1084</v>
      </c>
      <c r="H58" s="11">
        <v>792</v>
      </c>
    </row>
    <row r="59" spans="1:8" x14ac:dyDescent="0.25">
      <c r="A59" s="11" t="s">
        <v>58</v>
      </c>
      <c r="B59" s="11">
        <v>1868</v>
      </c>
      <c r="C59" s="11">
        <v>3533</v>
      </c>
      <c r="D59" s="11">
        <v>3934</v>
      </c>
      <c r="E59" s="11">
        <v>3653</v>
      </c>
      <c r="F59" s="11">
        <v>4992</v>
      </c>
      <c r="G59" s="11">
        <v>5294</v>
      </c>
      <c r="H59" s="11">
        <v>4175</v>
      </c>
    </row>
    <row r="60" spans="1:8" x14ac:dyDescent="0.25">
      <c r="A60" s="11" t="s">
        <v>59</v>
      </c>
      <c r="B60" s="11">
        <v>1875</v>
      </c>
      <c r="C60" s="11">
        <v>3290</v>
      </c>
      <c r="D60" s="11">
        <v>3911</v>
      </c>
      <c r="E60" s="11">
        <v>3758</v>
      </c>
      <c r="F60" s="11">
        <v>4746</v>
      </c>
      <c r="G60" s="11">
        <v>5078</v>
      </c>
      <c r="H60" s="11">
        <v>4176</v>
      </c>
    </row>
    <row r="61" spans="1:8" x14ac:dyDescent="0.25">
      <c r="A61" s="11" t="s">
        <v>60</v>
      </c>
      <c r="B61" s="11">
        <v>3697</v>
      </c>
      <c r="C61" s="11">
        <v>4086</v>
      </c>
      <c r="D61" s="11">
        <v>3651</v>
      </c>
      <c r="E61" s="11">
        <v>3439</v>
      </c>
      <c r="F61" s="11">
        <v>3991</v>
      </c>
      <c r="G61" s="11">
        <v>3894</v>
      </c>
      <c r="H61" s="11">
        <v>3762</v>
      </c>
    </row>
    <row r="62" spans="1:8" x14ac:dyDescent="0.25">
      <c r="A62" s="11" t="s">
        <v>61</v>
      </c>
      <c r="B62" s="11">
        <v>2229</v>
      </c>
      <c r="C62" s="11">
        <v>3947</v>
      </c>
      <c r="D62" s="11">
        <v>4673</v>
      </c>
      <c r="E62" s="11">
        <v>4780</v>
      </c>
      <c r="F62" s="11">
        <v>5672</v>
      </c>
      <c r="G62" s="11">
        <v>6604</v>
      </c>
      <c r="H62" s="11">
        <v>4954</v>
      </c>
    </row>
    <row r="63" spans="1:8" x14ac:dyDescent="0.25">
      <c r="A63" s="11" t="s">
        <v>62</v>
      </c>
      <c r="B63" s="11">
        <v>1724</v>
      </c>
      <c r="C63" s="11">
        <v>3046</v>
      </c>
      <c r="D63" s="11">
        <v>3615</v>
      </c>
      <c r="E63" s="11">
        <v>3498</v>
      </c>
      <c r="F63" s="11">
        <v>4687</v>
      </c>
      <c r="G63" s="11">
        <v>5029</v>
      </c>
      <c r="H63" s="11">
        <v>3835</v>
      </c>
    </row>
    <row r="64" spans="1:8" x14ac:dyDescent="0.25">
      <c r="A64" s="11" t="s">
        <v>63</v>
      </c>
      <c r="B64" s="11">
        <v>10377</v>
      </c>
      <c r="C64" s="11">
        <v>19693</v>
      </c>
      <c r="D64" s="11">
        <v>22539</v>
      </c>
      <c r="E64" s="11">
        <v>21315</v>
      </c>
      <c r="F64" s="11">
        <v>25017</v>
      </c>
      <c r="G64" s="11">
        <v>26122</v>
      </c>
      <c r="H64" s="11">
        <v>20168</v>
      </c>
    </row>
    <row r="65" spans="1:8" x14ac:dyDescent="0.25">
      <c r="A65" s="11" t="s">
        <v>64</v>
      </c>
      <c r="B65" s="11">
        <v>2209</v>
      </c>
      <c r="C65" s="11">
        <v>4536</v>
      </c>
      <c r="D65" s="11">
        <v>5056</v>
      </c>
      <c r="E65" s="11">
        <v>4913</v>
      </c>
      <c r="F65" s="11">
        <v>6909</v>
      </c>
      <c r="G65" s="11">
        <v>7462</v>
      </c>
      <c r="H65" s="11">
        <v>5674</v>
      </c>
    </row>
    <row r="66" spans="1:8" x14ac:dyDescent="0.25">
      <c r="A66" s="11" t="s">
        <v>65</v>
      </c>
      <c r="B66" s="11">
        <v>17302</v>
      </c>
      <c r="C66" s="11">
        <v>33109</v>
      </c>
      <c r="D66" s="11">
        <v>36473</v>
      </c>
      <c r="E66" s="11">
        <v>35060</v>
      </c>
      <c r="F66" s="11">
        <v>44058</v>
      </c>
      <c r="G66" s="11">
        <v>46678</v>
      </c>
      <c r="H66" s="11">
        <v>38251</v>
      </c>
    </row>
    <row r="67" spans="1:8" x14ac:dyDescent="0.25">
      <c r="A67" s="11" t="s">
        <v>66</v>
      </c>
      <c r="B67" s="11">
        <v>1344</v>
      </c>
      <c r="C67" s="11">
        <v>2517</v>
      </c>
      <c r="D67" s="11">
        <v>2695</v>
      </c>
      <c r="E67" s="11">
        <v>2692</v>
      </c>
      <c r="F67" s="11">
        <v>3251</v>
      </c>
      <c r="G67" s="11">
        <v>3358</v>
      </c>
      <c r="H67" s="11">
        <v>2668</v>
      </c>
    </row>
    <row r="68" spans="1:8" ht="13.8" thickBot="1" x14ac:dyDescent="0.3">
      <c r="A68" s="13" t="s">
        <v>67</v>
      </c>
      <c r="B68" s="13">
        <v>26742</v>
      </c>
      <c r="C68" s="13">
        <v>50484</v>
      </c>
      <c r="D68" s="13">
        <v>54969</v>
      </c>
      <c r="E68" s="13">
        <v>50364</v>
      </c>
      <c r="F68" s="13">
        <v>57043</v>
      </c>
      <c r="G68" s="13">
        <v>50658</v>
      </c>
      <c r="H68" s="13">
        <v>38490</v>
      </c>
    </row>
    <row r="69" spans="1:8" x14ac:dyDescent="0.25">
      <c r="A69" s="32" t="s">
        <v>68</v>
      </c>
      <c r="B69" s="32">
        <f>SUM(B2:B68)</f>
        <v>763768</v>
      </c>
      <c r="C69" s="32">
        <f t="shared" ref="C69:G69" si="0">SUM(C2:C68)</f>
        <v>1472010</v>
      </c>
      <c r="D69" s="32">
        <f t="shared" si="0"/>
        <v>1482627</v>
      </c>
      <c r="E69" s="32">
        <f t="shared" si="0"/>
        <v>1290115</v>
      </c>
      <c r="F69" s="32">
        <f t="shared" si="0"/>
        <v>1459930</v>
      </c>
      <c r="G69" s="32">
        <f t="shared" si="0"/>
        <v>1423652</v>
      </c>
      <c r="H69" s="32">
        <f>SUM(H2:H68)</f>
        <v>1117802</v>
      </c>
    </row>
    <row r="70" spans="1:8" x14ac:dyDescent="0.25">
      <c r="B70" s="17">
        <f t="shared" ref="B70:H70" si="1">B69/$B$72</f>
        <v>8.4769826626343636E-2</v>
      </c>
      <c r="C70" s="17">
        <f>C69/$B$72</f>
        <v>0.16337687948728422</v>
      </c>
      <c r="D70" s="17">
        <f>D69/$B$72</f>
        <v>0.1645552494233013</v>
      </c>
      <c r="E70" s="17">
        <f t="shared" si="1"/>
        <v>0.14318854007767454</v>
      </c>
      <c r="F70" s="17">
        <f t="shared" si="1"/>
        <v>0.1620361326824348</v>
      </c>
      <c r="G70" s="17">
        <f t="shared" si="1"/>
        <v>0.1580096746868779</v>
      </c>
      <c r="H70" s="17">
        <f t="shared" si="1"/>
        <v>0.12406369701608363</v>
      </c>
    </row>
    <row r="72" spans="1:8" x14ac:dyDescent="0.25">
      <c r="A72" s="32" t="s">
        <v>80</v>
      </c>
      <c r="B72" s="16">
        <f>SUM(B69:H69)</f>
        <v>9009904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4" sqref="M14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1962</v>
      </c>
      <c r="D2" s="11">
        <v>2798</v>
      </c>
      <c r="E2" s="11">
        <v>2342</v>
      </c>
      <c r="F2" s="11">
        <v>2127</v>
      </c>
      <c r="G2" s="11">
        <v>2655</v>
      </c>
      <c r="H2" s="11">
        <v>3786</v>
      </c>
      <c r="I2" s="11">
        <v>3569</v>
      </c>
    </row>
    <row r="3" spans="1:9" x14ac:dyDescent="0.25">
      <c r="A3" s="11" t="s">
        <v>2</v>
      </c>
      <c r="B3" s="10" t="s">
        <v>0</v>
      </c>
      <c r="C3" s="11">
        <v>42462</v>
      </c>
      <c r="D3" s="11">
        <v>94932</v>
      </c>
      <c r="E3" s="11">
        <v>89887</v>
      </c>
      <c r="F3" s="11">
        <v>64551</v>
      </c>
      <c r="G3" s="11">
        <v>67155</v>
      </c>
      <c r="H3" s="11">
        <v>79862</v>
      </c>
      <c r="I3" s="11">
        <v>66298</v>
      </c>
    </row>
    <row r="4" spans="1:9" x14ac:dyDescent="0.25">
      <c r="A4" s="11" t="s">
        <v>3</v>
      </c>
      <c r="B4" s="10" t="s">
        <v>0</v>
      </c>
      <c r="C4" s="11">
        <v>619</v>
      </c>
      <c r="D4" s="11">
        <v>1098</v>
      </c>
      <c r="E4" s="11">
        <v>1195</v>
      </c>
      <c r="F4" s="11">
        <v>1264</v>
      </c>
      <c r="G4" s="11">
        <v>1730</v>
      </c>
      <c r="H4" s="11">
        <v>2541</v>
      </c>
      <c r="I4" s="11">
        <v>2186</v>
      </c>
    </row>
    <row r="5" spans="1:9" x14ac:dyDescent="0.25">
      <c r="A5" s="11" t="s">
        <v>4</v>
      </c>
      <c r="B5" s="10" t="s">
        <v>0</v>
      </c>
      <c r="C5" s="11">
        <v>2538</v>
      </c>
      <c r="D5" s="11">
        <v>5671</v>
      </c>
      <c r="E5" s="11">
        <v>6410</v>
      </c>
      <c r="F5" s="11">
        <v>5917</v>
      </c>
      <c r="G5" s="11">
        <v>7284</v>
      </c>
      <c r="H5" s="11">
        <v>9823</v>
      </c>
      <c r="I5" s="11">
        <v>8112</v>
      </c>
    </row>
    <row r="6" spans="1:9" x14ac:dyDescent="0.25">
      <c r="A6" s="11" t="s">
        <v>5</v>
      </c>
      <c r="B6" s="10" t="s">
        <v>0</v>
      </c>
      <c r="C6" s="11">
        <v>301</v>
      </c>
      <c r="D6" s="11">
        <v>520</v>
      </c>
      <c r="E6" s="11">
        <v>588</v>
      </c>
      <c r="F6" s="11">
        <v>617</v>
      </c>
      <c r="G6" s="11">
        <v>855</v>
      </c>
      <c r="H6" s="11">
        <v>1181</v>
      </c>
      <c r="I6" s="11">
        <v>1193</v>
      </c>
    </row>
    <row r="7" spans="1:9" x14ac:dyDescent="0.25">
      <c r="A7" s="11" t="s">
        <v>6</v>
      </c>
      <c r="B7" s="10" t="s">
        <v>0</v>
      </c>
      <c r="C7" s="11">
        <v>8593</v>
      </c>
      <c r="D7" s="11">
        <v>15796</v>
      </c>
      <c r="E7" s="11">
        <v>16346</v>
      </c>
      <c r="F7" s="11">
        <v>14905</v>
      </c>
      <c r="G7" s="11">
        <v>16808</v>
      </c>
      <c r="H7" s="11">
        <v>17350</v>
      </c>
      <c r="I7" s="11">
        <v>14613</v>
      </c>
    </row>
    <row r="8" spans="1:9" x14ac:dyDescent="0.25">
      <c r="A8" s="11" t="s">
        <v>7</v>
      </c>
      <c r="B8" s="10" t="s">
        <v>0</v>
      </c>
      <c r="C8" s="11">
        <v>1516</v>
      </c>
      <c r="D8" s="11">
        <v>3056</v>
      </c>
      <c r="E8" s="11">
        <v>3139</v>
      </c>
      <c r="F8" s="11">
        <v>2569</v>
      </c>
      <c r="G8" s="11">
        <v>2737</v>
      </c>
      <c r="H8" s="11">
        <v>3523</v>
      </c>
      <c r="I8" s="11">
        <v>3289</v>
      </c>
    </row>
    <row r="9" spans="1:9" x14ac:dyDescent="0.25">
      <c r="A9" s="11" t="s">
        <v>8</v>
      </c>
      <c r="B9" s="10" t="s">
        <v>0</v>
      </c>
      <c r="C9" s="11">
        <v>510</v>
      </c>
      <c r="D9" s="11">
        <v>1063</v>
      </c>
      <c r="E9" s="11">
        <v>1068</v>
      </c>
      <c r="F9" s="11">
        <v>918</v>
      </c>
      <c r="G9" s="11">
        <v>1167</v>
      </c>
      <c r="H9" s="11">
        <v>1602</v>
      </c>
      <c r="I9" s="11">
        <v>1505</v>
      </c>
    </row>
    <row r="10" spans="1:9" x14ac:dyDescent="0.25">
      <c r="A10" s="11" t="s">
        <v>9</v>
      </c>
      <c r="B10" s="10" t="s">
        <v>0</v>
      </c>
      <c r="C10" s="11">
        <v>15845</v>
      </c>
      <c r="D10" s="11">
        <v>28257</v>
      </c>
      <c r="E10" s="11">
        <v>30155</v>
      </c>
      <c r="F10" s="11">
        <v>27200</v>
      </c>
      <c r="G10" s="11">
        <v>31054</v>
      </c>
      <c r="H10" s="11">
        <v>34596</v>
      </c>
      <c r="I10" s="11">
        <v>27403</v>
      </c>
    </row>
    <row r="11" spans="1:9" x14ac:dyDescent="0.25">
      <c r="A11" s="11" t="s">
        <v>10</v>
      </c>
      <c r="B11" s="10" t="s">
        <v>0</v>
      </c>
      <c r="C11" s="11">
        <v>3055</v>
      </c>
      <c r="D11" s="11">
        <v>5350</v>
      </c>
      <c r="E11" s="11">
        <v>5971</v>
      </c>
      <c r="F11" s="11">
        <v>5062</v>
      </c>
      <c r="G11" s="11">
        <v>5728</v>
      </c>
      <c r="H11" s="11">
        <v>7530</v>
      </c>
      <c r="I11" s="11">
        <v>6672</v>
      </c>
    </row>
    <row r="12" spans="1:9" x14ac:dyDescent="0.25">
      <c r="A12" s="11" t="s">
        <v>11</v>
      </c>
      <c r="B12" s="10" t="s">
        <v>0</v>
      </c>
      <c r="C12" s="11">
        <v>1723</v>
      </c>
      <c r="D12" s="11">
        <v>3320</v>
      </c>
      <c r="E12" s="11">
        <v>3679</v>
      </c>
      <c r="F12" s="11">
        <v>3694</v>
      </c>
      <c r="G12" s="11">
        <v>4615</v>
      </c>
      <c r="H12" s="11">
        <v>6595</v>
      </c>
      <c r="I12" s="11">
        <v>5754</v>
      </c>
    </row>
    <row r="13" spans="1:9" x14ac:dyDescent="0.25">
      <c r="A13" s="11" t="s">
        <v>12</v>
      </c>
      <c r="B13" s="10" t="s">
        <v>0</v>
      </c>
      <c r="C13" s="11">
        <v>35</v>
      </c>
      <c r="D13" s="11">
        <v>63</v>
      </c>
      <c r="E13" s="11">
        <v>78</v>
      </c>
      <c r="F13" s="11">
        <v>60</v>
      </c>
      <c r="G13" s="11">
        <v>107</v>
      </c>
      <c r="H13" s="11">
        <v>169</v>
      </c>
      <c r="I13" s="11">
        <v>149</v>
      </c>
    </row>
    <row r="14" spans="1:9" x14ac:dyDescent="0.25">
      <c r="A14" s="11" t="s">
        <v>13</v>
      </c>
      <c r="B14" s="10" t="s">
        <v>0</v>
      </c>
      <c r="C14" s="11">
        <v>882</v>
      </c>
      <c r="D14" s="11">
        <v>1773</v>
      </c>
      <c r="E14" s="11">
        <v>1952</v>
      </c>
      <c r="F14" s="11">
        <v>1913</v>
      </c>
      <c r="G14" s="11">
        <v>2389</v>
      </c>
      <c r="H14" s="11">
        <v>2883</v>
      </c>
      <c r="I14" s="11">
        <v>2289</v>
      </c>
    </row>
    <row r="15" spans="1:9" x14ac:dyDescent="0.25">
      <c r="A15" s="11" t="s">
        <v>14</v>
      </c>
      <c r="B15" s="10" t="s">
        <v>0</v>
      </c>
      <c r="C15" s="11">
        <v>7721</v>
      </c>
      <c r="D15" s="11">
        <v>9139</v>
      </c>
      <c r="E15" s="11">
        <v>5730</v>
      </c>
      <c r="F15" s="11">
        <v>4666</v>
      </c>
      <c r="G15" s="11">
        <v>4495</v>
      </c>
      <c r="H15" s="11">
        <v>5100</v>
      </c>
      <c r="I15" s="11">
        <v>4727</v>
      </c>
    </row>
    <row r="16" spans="1:9" x14ac:dyDescent="0.25">
      <c r="A16" s="11" t="s">
        <v>15</v>
      </c>
      <c r="B16" s="10" t="s">
        <v>0</v>
      </c>
      <c r="C16" s="11">
        <v>16846</v>
      </c>
      <c r="D16" s="11">
        <v>27479</v>
      </c>
      <c r="E16" s="11">
        <v>26493</v>
      </c>
      <c r="F16" s="11">
        <v>23518</v>
      </c>
      <c r="G16" s="11">
        <v>24029</v>
      </c>
      <c r="H16" s="11">
        <v>24452</v>
      </c>
      <c r="I16" s="11">
        <v>19044</v>
      </c>
    </row>
    <row r="17" spans="1:9" x14ac:dyDescent="0.25">
      <c r="A17" s="11" t="s">
        <v>16</v>
      </c>
      <c r="B17" s="10" t="s">
        <v>0</v>
      </c>
      <c r="C17" s="11">
        <v>313</v>
      </c>
      <c r="D17" s="11">
        <v>647</v>
      </c>
      <c r="E17" s="11">
        <v>591</v>
      </c>
      <c r="F17" s="11">
        <v>590</v>
      </c>
      <c r="G17" s="11">
        <v>724</v>
      </c>
      <c r="H17" s="11">
        <v>1147</v>
      </c>
      <c r="I17" s="11">
        <v>1032</v>
      </c>
    </row>
    <row r="18" spans="1:9" x14ac:dyDescent="0.25">
      <c r="A18" s="11" t="s">
        <v>17</v>
      </c>
      <c r="B18" s="10" t="s">
        <v>0</v>
      </c>
      <c r="C18" s="11">
        <v>697</v>
      </c>
      <c r="D18" s="11">
        <v>1359</v>
      </c>
      <c r="E18" s="11">
        <v>1465</v>
      </c>
      <c r="F18" s="11">
        <v>1517</v>
      </c>
      <c r="G18" s="11">
        <v>1947</v>
      </c>
      <c r="H18" s="11">
        <v>2560</v>
      </c>
      <c r="I18" s="11">
        <v>2490</v>
      </c>
    </row>
    <row r="19" spans="1:9" x14ac:dyDescent="0.25">
      <c r="A19" s="11" t="s">
        <v>18</v>
      </c>
      <c r="B19" s="10" t="s">
        <v>0</v>
      </c>
      <c r="C19" s="11">
        <v>395</v>
      </c>
      <c r="D19" s="11">
        <v>858</v>
      </c>
      <c r="E19" s="11">
        <v>779</v>
      </c>
      <c r="F19" s="11">
        <v>749</v>
      </c>
      <c r="G19" s="11">
        <v>898</v>
      </c>
      <c r="H19" s="11">
        <v>1283</v>
      </c>
      <c r="I19" s="11">
        <v>1128</v>
      </c>
    </row>
    <row r="20" spans="1:9" x14ac:dyDescent="0.25">
      <c r="A20" s="11" t="s">
        <v>19</v>
      </c>
      <c r="B20" s="10" t="s">
        <v>0</v>
      </c>
      <c r="C20" s="11">
        <v>1186</v>
      </c>
      <c r="D20" s="11">
        <v>1761</v>
      </c>
      <c r="E20" s="11">
        <v>1673</v>
      </c>
      <c r="F20" s="11">
        <v>1486</v>
      </c>
      <c r="G20" s="11">
        <v>1596</v>
      </c>
      <c r="H20" s="11">
        <v>2201</v>
      </c>
      <c r="I20" s="11">
        <v>1906</v>
      </c>
    </row>
    <row r="21" spans="1:9" x14ac:dyDescent="0.25">
      <c r="A21" s="11" t="s">
        <v>20</v>
      </c>
      <c r="B21" s="10" t="s">
        <v>0</v>
      </c>
      <c r="C21" s="11">
        <v>1013</v>
      </c>
      <c r="D21" s="11">
        <v>1830</v>
      </c>
      <c r="E21" s="11">
        <v>1768</v>
      </c>
      <c r="F21" s="11">
        <v>1727</v>
      </c>
      <c r="G21" s="11">
        <v>2143</v>
      </c>
      <c r="H21" s="11">
        <v>3026</v>
      </c>
      <c r="I21" s="11">
        <v>2913</v>
      </c>
    </row>
    <row r="22" spans="1:9" x14ac:dyDescent="0.25">
      <c r="A22" s="11" t="s">
        <v>21</v>
      </c>
      <c r="B22" s="10" t="s">
        <v>0</v>
      </c>
      <c r="C22" s="11">
        <v>6404</v>
      </c>
      <c r="D22" s="11">
        <v>10413</v>
      </c>
      <c r="E22" s="11">
        <v>10937</v>
      </c>
      <c r="F22" s="11">
        <v>8782</v>
      </c>
      <c r="G22" s="11">
        <v>8027</v>
      </c>
      <c r="H22" s="11">
        <v>9051</v>
      </c>
      <c r="I22" s="11">
        <v>8413</v>
      </c>
    </row>
    <row r="23" spans="1:9" x14ac:dyDescent="0.25">
      <c r="A23" s="11" t="s">
        <v>22</v>
      </c>
      <c r="B23" s="10" t="s">
        <v>0</v>
      </c>
      <c r="C23" s="11">
        <v>7515</v>
      </c>
      <c r="D23" s="11">
        <v>15751</v>
      </c>
      <c r="E23" s="11">
        <v>15338</v>
      </c>
      <c r="F23" s="11">
        <v>12942</v>
      </c>
      <c r="G23" s="11">
        <v>13007</v>
      </c>
      <c r="H23" s="11">
        <v>13179</v>
      </c>
      <c r="I23" s="11">
        <v>9276</v>
      </c>
    </row>
    <row r="24" spans="1:9" x14ac:dyDescent="0.25">
      <c r="A24" s="11" t="s">
        <v>23</v>
      </c>
      <c r="B24" s="10" t="s">
        <v>0</v>
      </c>
      <c r="C24" s="11">
        <v>19454</v>
      </c>
      <c r="D24" s="11">
        <v>35049</v>
      </c>
      <c r="E24" s="11">
        <v>38829</v>
      </c>
      <c r="F24" s="11">
        <v>30707</v>
      </c>
      <c r="G24" s="11">
        <v>29424</v>
      </c>
      <c r="H24" s="11">
        <v>29134</v>
      </c>
      <c r="I24" s="11">
        <v>21086</v>
      </c>
    </row>
    <row r="25" spans="1:9" x14ac:dyDescent="0.25">
      <c r="A25" s="11" t="s">
        <v>24</v>
      </c>
      <c r="B25" s="10" t="s">
        <v>0</v>
      </c>
      <c r="C25" s="11">
        <v>328</v>
      </c>
      <c r="D25" s="11">
        <v>595</v>
      </c>
      <c r="E25" s="11">
        <v>648</v>
      </c>
      <c r="F25" s="11">
        <v>641</v>
      </c>
      <c r="G25" s="11">
        <v>996</v>
      </c>
      <c r="H25" s="11">
        <v>1317</v>
      </c>
      <c r="I25" s="11">
        <v>1237</v>
      </c>
    </row>
    <row r="26" spans="1:9" x14ac:dyDescent="0.25">
      <c r="A26" s="11" t="s">
        <v>25</v>
      </c>
      <c r="B26" s="10" t="s">
        <v>0</v>
      </c>
      <c r="C26" s="11">
        <v>5465</v>
      </c>
      <c r="D26" s="11">
        <v>11273</v>
      </c>
      <c r="E26" s="11">
        <v>11208</v>
      </c>
      <c r="F26" s="11">
        <v>10137</v>
      </c>
      <c r="G26" s="11">
        <v>11659</v>
      </c>
      <c r="H26" s="11">
        <v>14801</v>
      </c>
      <c r="I26" s="11">
        <v>11991</v>
      </c>
    </row>
    <row r="27" spans="1:9" x14ac:dyDescent="0.25">
      <c r="A27" s="11" t="s">
        <v>26</v>
      </c>
      <c r="B27" s="10" t="s">
        <v>0</v>
      </c>
      <c r="C27" s="11">
        <v>1354</v>
      </c>
      <c r="D27" s="11">
        <v>2921</v>
      </c>
      <c r="E27" s="11">
        <v>3480</v>
      </c>
      <c r="F27" s="11">
        <v>3824</v>
      </c>
      <c r="G27" s="11">
        <v>4994</v>
      </c>
      <c r="H27" s="11">
        <v>6845</v>
      </c>
      <c r="I27" s="11">
        <v>6021</v>
      </c>
    </row>
    <row r="28" spans="1:9" x14ac:dyDescent="0.25">
      <c r="A28" s="11" t="s">
        <v>27</v>
      </c>
      <c r="B28" s="10" t="s">
        <v>0</v>
      </c>
      <c r="C28" s="11">
        <v>18</v>
      </c>
      <c r="D28" s="11">
        <v>46</v>
      </c>
      <c r="E28" s="11">
        <v>58</v>
      </c>
      <c r="F28" s="11">
        <v>68</v>
      </c>
      <c r="G28" s="11">
        <v>151</v>
      </c>
      <c r="H28" s="11">
        <v>239</v>
      </c>
      <c r="I28" s="11">
        <v>209</v>
      </c>
    </row>
    <row r="29" spans="1:9" x14ac:dyDescent="0.25">
      <c r="A29" s="11" t="s">
        <v>28</v>
      </c>
      <c r="B29" s="10" t="s">
        <v>0</v>
      </c>
      <c r="C29" s="11">
        <v>2047</v>
      </c>
      <c r="D29" s="11">
        <v>3723</v>
      </c>
      <c r="E29" s="11">
        <v>3468</v>
      </c>
      <c r="F29" s="11">
        <v>3132</v>
      </c>
      <c r="G29" s="11">
        <v>3236</v>
      </c>
      <c r="H29" s="11">
        <v>3938</v>
      </c>
      <c r="I29" s="11">
        <v>4047</v>
      </c>
    </row>
    <row r="30" spans="1:9" x14ac:dyDescent="0.25">
      <c r="A30" s="11" t="s">
        <v>29</v>
      </c>
      <c r="B30" s="10" t="s">
        <v>0</v>
      </c>
      <c r="C30" s="11">
        <v>85</v>
      </c>
      <c r="D30" s="11">
        <v>139</v>
      </c>
      <c r="E30" s="11">
        <v>159</v>
      </c>
      <c r="F30" s="11">
        <v>176</v>
      </c>
      <c r="G30" s="11">
        <v>242</v>
      </c>
      <c r="H30" s="11">
        <v>285</v>
      </c>
      <c r="I30" s="11">
        <v>385</v>
      </c>
    </row>
    <row r="31" spans="1:9" x14ac:dyDescent="0.25">
      <c r="A31" s="11" t="s">
        <v>30</v>
      </c>
      <c r="B31" s="10" t="s">
        <v>0</v>
      </c>
      <c r="C31" s="11">
        <v>296</v>
      </c>
      <c r="D31" s="11">
        <v>669</v>
      </c>
      <c r="E31" s="11">
        <v>818</v>
      </c>
      <c r="F31" s="11">
        <v>941</v>
      </c>
      <c r="G31" s="11">
        <v>1266</v>
      </c>
      <c r="H31" s="11">
        <v>1806</v>
      </c>
      <c r="I31" s="11">
        <v>1538</v>
      </c>
    </row>
    <row r="32" spans="1:9" x14ac:dyDescent="0.25">
      <c r="A32" s="11" t="s">
        <v>31</v>
      </c>
      <c r="B32" s="10" t="s">
        <v>0</v>
      </c>
      <c r="C32" s="11">
        <v>600</v>
      </c>
      <c r="D32" s="11">
        <v>857</v>
      </c>
      <c r="E32" s="11">
        <v>603</v>
      </c>
      <c r="F32" s="11">
        <v>708</v>
      </c>
      <c r="G32" s="11">
        <v>861</v>
      </c>
      <c r="H32" s="11">
        <v>1202</v>
      </c>
      <c r="I32" s="11">
        <v>1191</v>
      </c>
    </row>
    <row r="33" spans="1:9" x14ac:dyDescent="0.25">
      <c r="A33" s="11" t="s">
        <v>32</v>
      </c>
      <c r="B33" s="10" t="s">
        <v>0</v>
      </c>
      <c r="C33" s="11">
        <v>1260</v>
      </c>
      <c r="D33" s="11">
        <v>1838</v>
      </c>
      <c r="E33" s="11">
        <v>1521</v>
      </c>
      <c r="F33" s="11">
        <v>1517</v>
      </c>
      <c r="G33" s="11">
        <v>2052</v>
      </c>
      <c r="H33" s="11">
        <v>3001</v>
      </c>
      <c r="I33" s="11">
        <v>2681</v>
      </c>
    </row>
    <row r="34" spans="1:9" x14ac:dyDescent="0.25">
      <c r="A34" s="11" t="s">
        <v>33</v>
      </c>
      <c r="B34" s="10" t="s">
        <v>0</v>
      </c>
      <c r="C34" s="11">
        <v>355</v>
      </c>
      <c r="D34" s="11">
        <v>627</v>
      </c>
      <c r="E34" s="11">
        <v>673</v>
      </c>
      <c r="F34" s="11">
        <v>666</v>
      </c>
      <c r="G34" s="11">
        <v>783</v>
      </c>
      <c r="H34" s="11">
        <v>1263</v>
      </c>
      <c r="I34" s="11">
        <v>1084</v>
      </c>
    </row>
    <row r="35" spans="1:9" x14ac:dyDescent="0.25">
      <c r="A35" s="11" t="s">
        <v>34</v>
      </c>
      <c r="B35" s="10" t="s">
        <v>0</v>
      </c>
      <c r="C35" s="11">
        <v>139</v>
      </c>
      <c r="D35" s="11">
        <v>248</v>
      </c>
      <c r="E35" s="11">
        <v>300</v>
      </c>
      <c r="F35" s="11">
        <v>320</v>
      </c>
      <c r="G35" s="11">
        <v>404</v>
      </c>
      <c r="H35" s="11">
        <v>594</v>
      </c>
      <c r="I35" s="11">
        <v>537</v>
      </c>
    </row>
    <row r="36" spans="1:9" x14ac:dyDescent="0.25">
      <c r="A36" s="11" t="s">
        <v>35</v>
      </c>
      <c r="B36" s="10" t="s">
        <v>0</v>
      </c>
      <c r="C36" s="11">
        <v>5264</v>
      </c>
      <c r="D36" s="11">
        <v>10705</v>
      </c>
      <c r="E36" s="11">
        <v>11793</v>
      </c>
      <c r="F36" s="11">
        <v>10293</v>
      </c>
      <c r="G36" s="11">
        <v>12531</v>
      </c>
      <c r="H36" s="11">
        <v>14026</v>
      </c>
      <c r="I36" s="11">
        <v>12340</v>
      </c>
    </row>
    <row r="37" spans="1:9" x14ac:dyDescent="0.25">
      <c r="A37" s="11" t="s">
        <v>36</v>
      </c>
      <c r="B37" s="10" t="s">
        <v>0</v>
      </c>
      <c r="C37" s="11">
        <v>9948</v>
      </c>
      <c r="D37" s="11">
        <v>20233</v>
      </c>
      <c r="E37" s="11">
        <v>19731</v>
      </c>
      <c r="F37" s="11">
        <v>15356</v>
      </c>
      <c r="G37" s="11">
        <v>15280</v>
      </c>
      <c r="H37" s="11">
        <v>17472</v>
      </c>
      <c r="I37" s="11">
        <v>15619</v>
      </c>
    </row>
    <row r="38" spans="1:9" x14ac:dyDescent="0.25">
      <c r="A38" s="11" t="s">
        <v>37</v>
      </c>
      <c r="B38" s="10" t="s">
        <v>0</v>
      </c>
      <c r="C38" s="11">
        <v>1151</v>
      </c>
      <c r="D38" s="11">
        <v>2393</v>
      </c>
      <c r="E38" s="11">
        <v>2503</v>
      </c>
      <c r="F38" s="11">
        <v>2470</v>
      </c>
      <c r="G38" s="11">
        <v>3218</v>
      </c>
      <c r="H38" s="11">
        <v>4186</v>
      </c>
      <c r="I38" s="11">
        <v>3743</v>
      </c>
    </row>
    <row r="39" spans="1:9" x14ac:dyDescent="0.25">
      <c r="A39" s="11" t="s">
        <v>38</v>
      </c>
      <c r="B39" s="10" t="s">
        <v>0</v>
      </c>
      <c r="C39" s="11">
        <v>2146</v>
      </c>
      <c r="D39" s="11">
        <v>3749</v>
      </c>
      <c r="E39" s="11">
        <v>4034</v>
      </c>
      <c r="F39" s="11">
        <v>3665</v>
      </c>
      <c r="G39" s="11">
        <v>3861</v>
      </c>
      <c r="H39" s="11">
        <v>4227</v>
      </c>
      <c r="I39" s="11">
        <v>3891</v>
      </c>
    </row>
    <row r="40" spans="1:9" x14ac:dyDescent="0.25">
      <c r="A40" s="11" t="s">
        <v>39</v>
      </c>
      <c r="B40" s="10" t="s">
        <v>0</v>
      </c>
      <c r="C40" s="11">
        <v>9466</v>
      </c>
      <c r="D40" s="11">
        <v>18423</v>
      </c>
      <c r="E40" s="11">
        <v>18725</v>
      </c>
      <c r="F40" s="11">
        <v>16843</v>
      </c>
      <c r="G40" s="11">
        <v>17038</v>
      </c>
      <c r="H40" s="11">
        <v>17486</v>
      </c>
      <c r="I40" s="11">
        <v>14201</v>
      </c>
    </row>
    <row r="41" spans="1:9" x14ac:dyDescent="0.25">
      <c r="A41" s="11" t="s">
        <v>40</v>
      </c>
      <c r="B41" s="10" t="s">
        <v>0</v>
      </c>
      <c r="C41" s="11">
        <v>6272</v>
      </c>
      <c r="D41" s="11">
        <v>12330</v>
      </c>
      <c r="E41" s="11">
        <v>13419</v>
      </c>
      <c r="F41" s="11">
        <v>12020</v>
      </c>
      <c r="G41" s="11">
        <v>13798</v>
      </c>
      <c r="H41" s="11">
        <v>15019</v>
      </c>
      <c r="I41" s="11">
        <v>12988</v>
      </c>
    </row>
    <row r="42" spans="1:9" x14ac:dyDescent="0.25">
      <c r="A42" s="11" t="s">
        <v>41</v>
      </c>
      <c r="B42" s="10" t="s">
        <v>0</v>
      </c>
      <c r="C42" s="11">
        <v>1442</v>
      </c>
      <c r="D42" s="11">
        <v>2912</v>
      </c>
      <c r="E42" s="11">
        <v>2829</v>
      </c>
      <c r="F42" s="11">
        <v>2337</v>
      </c>
      <c r="G42" s="11">
        <v>2572</v>
      </c>
      <c r="H42" s="11">
        <v>3365</v>
      </c>
      <c r="I42" s="11">
        <v>2794</v>
      </c>
    </row>
    <row r="43" spans="1:9" x14ac:dyDescent="0.25">
      <c r="A43" s="11" t="s">
        <v>42</v>
      </c>
      <c r="B43" s="10" t="s">
        <v>0</v>
      </c>
      <c r="C43" s="11">
        <v>370</v>
      </c>
      <c r="D43" s="11">
        <v>756</v>
      </c>
      <c r="E43" s="11">
        <v>695</v>
      </c>
      <c r="F43" s="11">
        <v>648</v>
      </c>
      <c r="G43" s="11">
        <v>773</v>
      </c>
      <c r="H43" s="11">
        <v>1115</v>
      </c>
      <c r="I43" s="11">
        <v>958</v>
      </c>
    </row>
    <row r="44" spans="1:9" x14ac:dyDescent="0.25">
      <c r="A44" s="11" t="s">
        <v>43</v>
      </c>
      <c r="B44" s="10" t="s">
        <v>0</v>
      </c>
      <c r="C44" s="11">
        <v>1398</v>
      </c>
      <c r="D44" s="11">
        <v>2682</v>
      </c>
      <c r="E44" s="11">
        <v>2966</v>
      </c>
      <c r="F44" s="11">
        <v>2767</v>
      </c>
      <c r="G44" s="11">
        <v>3644</v>
      </c>
      <c r="H44" s="11">
        <v>5227</v>
      </c>
      <c r="I44" s="11">
        <v>4482</v>
      </c>
    </row>
    <row r="45" spans="1:9" x14ac:dyDescent="0.25">
      <c r="A45" s="11" t="s">
        <v>44</v>
      </c>
      <c r="B45" s="10" t="s">
        <v>0</v>
      </c>
      <c r="C45" s="11">
        <v>309</v>
      </c>
      <c r="D45" s="11">
        <v>693</v>
      </c>
      <c r="E45" s="11">
        <v>768</v>
      </c>
      <c r="F45" s="11">
        <v>699</v>
      </c>
      <c r="G45" s="11">
        <v>797</v>
      </c>
      <c r="H45" s="11">
        <v>1008</v>
      </c>
      <c r="I45" s="11">
        <v>1115</v>
      </c>
    </row>
    <row r="46" spans="1:9" x14ac:dyDescent="0.25">
      <c r="A46" s="11" t="s">
        <v>45</v>
      </c>
      <c r="B46" s="10" t="s">
        <v>0</v>
      </c>
      <c r="C46" s="11">
        <v>4203</v>
      </c>
      <c r="D46" s="11">
        <v>7362</v>
      </c>
      <c r="E46" s="11">
        <v>6789</v>
      </c>
      <c r="F46" s="11">
        <v>6922</v>
      </c>
      <c r="G46" s="11">
        <v>9116</v>
      </c>
      <c r="H46" s="11">
        <v>8831</v>
      </c>
      <c r="I46" s="11">
        <v>5600</v>
      </c>
    </row>
    <row r="47" spans="1:9" x14ac:dyDescent="0.25">
      <c r="A47" s="11" t="s">
        <v>46</v>
      </c>
      <c r="B47" s="10" t="s">
        <v>0</v>
      </c>
      <c r="C47" s="11">
        <v>27061</v>
      </c>
      <c r="D47" s="11">
        <v>49265</v>
      </c>
      <c r="E47" s="11">
        <v>54218</v>
      </c>
      <c r="F47" s="11">
        <v>45643</v>
      </c>
      <c r="G47" s="11">
        <v>44590</v>
      </c>
      <c r="H47" s="11">
        <v>46471</v>
      </c>
      <c r="I47" s="11">
        <v>39141</v>
      </c>
    </row>
    <row r="48" spans="1:9" x14ac:dyDescent="0.25">
      <c r="A48" s="11" t="s">
        <v>47</v>
      </c>
      <c r="B48" s="10" t="s">
        <v>0</v>
      </c>
      <c r="C48" s="11">
        <v>243</v>
      </c>
      <c r="D48" s="11">
        <v>587</v>
      </c>
      <c r="E48" s="11">
        <v>634</v>
      </c>
      <c r="F48" s="11">
        <v>455</v>
      </c>
      <c r="G48" s="11">
        <v>501</v>
      </c>
      <c r="H48" s="11">
        <v>707</v>
      </c>
      <c r="I48" s="11">
        <v>651</v>
      </c>
    </row>
    <row r="49" spans="1:9" x14ac:dyDescent="0.25">
      <c r="A49" s="11" t="s">
        <v>48</v>
      </c>
      <c r="B49" s="10" t="s">
        <v>0</v>
      </c>
      <c r="C49" s="11">
        <v>10217</v>
      </c>
      <c r="D49" s="11">
        <v>15295</v>
      </c>
      <c r="E49" s="11">
        <v>14449</v>
      </c>
      <c r="F49" s="11">
        <v>12990</v>
      </c>
      <c r="G49" s="11">
        <v>14271</v>
      </c>
      <c r="H49" s="11">
        <v>15799</v>
      </c>
      <c r="I49" s="11">
        <v>13575</v>
      </c>
    </row>
    <row r="50" spans="1:9" x14ac:dyDescent="0.25">
      <c r="A50" s="11" t="s">
        <v>49</v>
      </c>
      <c r="B50" s="10" t="s">
        <v>0</v>
      </c>
      <c r="C50" s="11">
        <v>876</v>
      </c>
      <c r="D50" s="11">
        <v>1925</v>
      </c>
      <c r="E50" s="11">
        <v>2212</v>
      </c>
      <c r="F50" s="11">
        <v>2062</v>
      </c>
      <c r="G50" s="11">
        <v>2346</v>
      </c>
      <c r="H50" s="11">
        <v>3163</v>
      </c>
      <c r="I50" s="11">
        <v>2767</v>
      </c>
    </row>
    <row r="51" spans="1:9" x14ac:dyDescent="0.25">
      <c r="A51" s="11" t="s">
        <v>50</v>
      </c>
      <c r="B51" s="10" t="s">
        <v>0</v>
      </c>
      <c r="C51" s="11">
        <v>470</v>
      </c>
      <c r="D51" s="11">
        <v>824</v>
      </c>
      <c r="E51" s="11">
        <v>895</v>
      </c>
      <c r="F51" s="11">
        <v>840</v>
      </c>
      <c r="G51" s="11">
        <v>943</v>
      </c>
      <c r="H51" s="11">
        <v>1104</v>
      </c>
      <c r="I51" s="11">
        <v>952</v>
      </c>
    </row>
    <row r="52" spans="1:9" x14ac:dyDescent="0.25">
      <c r="A52" s="11" t="s">
        <v>51</v>
      </c>
      <c r="B52" s="10" t="s">
        <v>0</v>
      </c>
      <c r="C52" s="11">
        <v>63154</v>
      </c>
      <c r="D52" s="11">
        <v>178208</v>
      </c>
      <c r="E52" s="11">
        <v>157199</v>
      </c>
      <c r="F52" s="11">
        <v>103304</v>
      </c>
      <c r="G52" s="11">
        <v>108784</v>
      </c>
      <c r="H52" s="11">
        <v>99180</v>
      </c>
      <c r="I52" s="11">
        <v>72430</v>
      </c>
    </row>
    <row r="53" spans="1:9" x14ac:dyDescent="0.25">
      <c r="A53" s="11" t="s">
        <v>52</v>
      </c>
      <c r="B53" s="10" t="s">
        <v>0</v>
      </c>
      <c r="C53" s="11">
        <v>970</v>
      </c>
      <c r="D53" s="11">
        <v>1801</v>
      </c>
      <c r="E53" s="11">
        <v>1719</v>
      </c>
      <c r="F53" s="11">
        <v>1784</v>
      </c>
      <c r="G53" s="11">
        <v>2480</v>
      </c>
      <c r="H53" s="11">
        <v>2829</v>
      </c>
      <c r="I53" s="11">
        <v>2078</v>
      </c>
    </row>
    <row r="54" spans="1:9" x14ac:dyDescent="0.25">
      <c r="A54" s="11" t="s">
        <v>53</v>
      </c>
      <c r="B54" s="10" t="s">
        <v>0</v>
      </c>
      <c r="C54" s="11">
        <v>110</v>
      </c>
      <c r="D54" s="11">
        <v>141</v>
      </c>
      <c r="E54" s="11">
        <v>204</v>
      </c>
      <c r="F54" s="11">
        <v>206</v>
      </c>
      <c r="G54" s="11">
        <v>284</v>
      </c>
      <c r="H54" s="11">
        <v>419</v>
      </c>
      <c r="I54" s="11">
        <v>376</v>
      </c>
    </row>
    <row r="55" spans="1:9" x14ac:dyDescent="0.25">
      <c r="A55" s="11" t="s">
        <v>54</v>
      </c>
      <c r="B55" s="10" t="s">
        <v>0</v>
      </c>
      <c r="C55" s="11">
        <v>1538</v>
      </c>
      <c r="D55" s="11">
        <v>3326</v>
      </c>
      <c r="E55" s="11">
        <v>3676</v>
      </c>
      <c r="F55" s="11">
        <v>3515</v>
      </c>
      <c r="G55" s="11">
        <v>4163</v>
      </c>
      <c r="H55" s="11">
        <v>5050</v>
      </c>
      <c r="I55" s="11">
        <v>4145</v>
      </c>
    </row>
    <row r="56" spans="1:9" x14ac:dyDescent="0.25">
      <c r="A56" s="11" t="s">
        <v>55</v>
      </c>
      <c r="B56" s="10" t="s">
        <v>0</v>
      </c>
      <c r="C56" s="11">
        <v>622</v>
      </c>
      <c r="D56" s="11">
        <v>718</v>
      </c>
      <c r="E56" s="11">
        <v>640</v>
      </c>
      <c r="F56" s="11">
        <v>597</v>
      </c>
      <c r="G56" s="11">
        <v>681</v>
      </c>
      <c r="H56" s="11">
        <v>852</v>
      </c>
      <c r="I56" s="11">
        <v>818</v>
      </c>
    </row>
    <row r="57" spans="1:9" x14ac:dyDescent="0.25">
      <c r="A57" s="11" t="s">
        <v>56</v>
      </c>
      <c r="B57" s="10" t="s">
        <v>0</v>
      </c>
      <c r="C57" s="11">
        <v>489</v>
      </c>
      <c r="D57" s="11">
        <v>1059</v>
      </c>
      <c r="E57" s="11">
        <v>1323</v>
      </c>
      <c r="F57" s="11">
        <v>1252</v>
      </c>
      <c r="G57" s="11">
        <v>1623</v>
      </c>
      <c r="H57" s="11">
        <v>2429</v>
      </c>
      <c r="I57" s="11">
        <v>2320</v>
      </c>
    </row>
    <row r="58" spans="1:9" x14ac:dyDescent="0.25">
      <c r="A58" s="11" t="s">
        <v>57</v>
      </c>
      <c r="B58" s="10" t="s">
        <v>0</v>
      </c>
      <c r="C58" s="11">
        <v>47</v>
      </c>
      <c r="D58" s="11">
        <v>85</v>
      </c>
      <c r="E58" s="11">
        <v>95</v>
      </c>
      <c r="F58" s="11">
        <v>102</v>
      </c>
      <c r="G58" s="11">
        <v>167</v>
      </c>
      <c r="H58" s="11">
        <v>305</v>
      </c>
      <c r="I58" s="11">
        <v>268</v>
      </c>
    </row>
    <row r="59" spans="1:9" x14ac:dyDescent="0.25">
      <c r="A59" s="11" t="s">
        <v>58</v>
      </c>
      <c r="B59" s="10" t="s">
        <v>0</v>
      </c>
      <c r="C59" s="11">
        <v>364</v>
      </c>
      <c r="D59" s="11">
        <v>695</v>
      </c>
      <c r="E59" s="11">
        <v>763</v>
      </c>
      <c r="F59" s="11">
        <v>735</v>
      </c>
      <c r="G59" s="11">
        <v>1023</v>
      </c>
      <c r="H59" s="11">
        <v>1349</v>
      </c>
      <c r="I59" s="11">
        <v>1213</v>
      </c>
    </row>
    <row r="60" spans="1:9" x14ac:dyDescent="0.25">
      <c r="A60" s="11" t="s">
        <v>59</v>
      </c>
      <c r="B60" s="10" t="s">
        <v>0</v>
      </c>
      <c r="C60" s="11">
        <v>388</v>
      </c>
      <c r="D60" s="11">
        <v>609</v>
      </c>
      <c r="E60" s="11">
        <v>619</v>
      </c>
      <c r="F60" s="11">
        <v>610</v>
      </c>
      <c r="G60" s="11">
        <v>744</v>
      </c>
      <c r="H60" s="11">
        <v>1035</v>
      </c>
      <c r="I60" s="11">
        <v>934</v>
      </c>
    </row>
    <row r="61" spans="1:9" x14ac:dyDescent="0.25">
      <c r="A61" s="11" t="s">
        <v>60</v>
      </c>
      <c r="B61" s="10" t="s">
        <v>0</v>
      </c>
      <c r="C61" s="11">
        <v>1517</v>
      </c>
      <c r="D61" s="11">
        <v>1408</v>
      </c>
      <c r="E61" s="11">
        <v>1040</v>
      </c>
      <c r="F61" s="11">
        <v>861</v>
      </c>
      <c r="G61" s="11">
        <v>899</v>
      </c>
      <c r="H61" s="11">
        <v>1067</v>
      </c>
      <c r="I61" s="11">
        <v>1104</v>
      </c>
    </row>
    <row r="62" spans="1:9" x14ac:dyDescent="0.25">
      <c r="A62" s="11" t="s">
        <v>61</v>
      </c>
      <c r="B62" s="10" t="s">
        <v>0</v>
      </c>
      <c r="C62" s="11">
        <v>499</v>
      </c>
      <c r="D62" s="11">
        <v>880</v>
      </c>
      <c r="E62" s="11">
        <v>1018</v>
      </c>
      <c r="F62" s="11">
        <v>966</v>
      </c>
      <c r="G62" s="11">
        <v>1176</v>
      </c>
      <c r="H62" s="11">
        <v>1916</v>
      </c>
      <c r="I62" s="11">
        <v>1576</v>
      </c>
    </row>
    <row r="63" spans="1:9" x14ac:dyDescent="0.25">
      <c r="A63" s="11" t="s">
        <v>62</v>
      </c>
      <c r="B63" s="10" t="s">
        <v>0</v>
      </c>
      <c r="C63" s="11">
        <v>387</v>
      </c>
      <c r="D63" s="11">
        <v>648</v>
      </c>
      <c r="E63" s="11">
        <v>768</v>
      </c>
      <c r="F63" s="11">
        <v>711</v>
      </c>
      <c r="G63" s="11">
        <v>1053</v>
      </c>
      <c r="H63" s="11">
        <v>1471</v>
      </c>
      <c r="I63" s="11">
        <v>1314</v>
      </c>
    </row>
    <row r="64" spans="1:9" x14ac:dyDescent="0.25">
      <c r="A64" s="11" t="s">
        <v>63</v>
      </c>
      <c r="B64" s="10" t="s">
        <v>0</v>
      </c>
      <c r="C64" s="11">
        <v>3095</v>
      </c>
      <c r="D64" s="11">
        <v>5903</v>
      </c>
      <c r="E64" s="11">
        <v>7068</v>
      </c>
      <c r="F64" s="11">
        <v>6606</v>
      </c>
      <c r="G64" s="11">
        <v>8456</v>
      </c>
      <c r="H64" s="11">
        <v>11407</v>
      </c>
      <c r="I64" s="11">
        <v>10106</v>
      </c>
    </row>
    <row r="65" spans="1:9" x14ac:dyDescent="0.25">
      <c r="A65" s="11" t="s">
        <v>64</v>
      </c>
      <c r="B65" s="10" t="s">
        <v>0</v>
      </c>
      <c r="C65" s="11">
        <v>507</v>
      </c>
      <c r="D65" s="11">
        <v>1020</v>
      </c>
      <c r="E65" s="11">
        <v>1188</v>
      </c>
      <c r="F65" s="11">
        <v>1093</v>
      </c>
      <c r="G65" s="11">
        <v>1427</v>
      </c>
      <c r="H65" s="11">
        <v>1907</v>
      </c>
      <c r="I65" s="11">
        <v>1585</v>
      </c>
    </row>
    <row r="66" spans="1:9" x14ac:dyDescent="0.25">
      <c r="A66" s="11" t="s">
        <v>65</v>
      </c>
      <c r="B66" s="10" t="s">
        <v>0</v>
      </c>
      <c r="C66" s="11">
        <v>5252</v>
      </c>
      <c r="D66" s="11">
        <v>10024</v>
      </c>
      <c r="E66" s="11">
        <v>11332</v>
      </c>
      <c r="F66" s="11">
        <v>10536</v>
      </c>
      <c r="G66" s="11">
        <v>13513</v>
      </c>
      <c r="H66" s="11">
        <v>18804</v>
      </c>
      <c r="I66" s="11">
        <v>17380</v>
      </c>
    </row>
    <row r="67" spans="1:9" x14ac:dyDescent="0.25">
      <c r="A67" s="11" t="s">
        <v>66</v>
      </c>
      <c r="B67" s="10" t="s">
        <v>0</v>
      </c>
      <c r="C67" s="11">
        <v>340</v>
      </c>
      <c r="D67" s="11">
        <v>627</v>
      </c>
      <c r="E67" s="11">
        <v>660</v>
      </c>
      <c r="F67" s="11">
        <v>605</v>
      </c>
      <c r="G67" s="11">
        <v>770</v>
      </c>
      <c r="H67" s="11">
        <v>963</v>
      </c>
      <c r="I67" s="11">
        <v>761</v>
      </c>
    </row>
    <row r="68" spans="1:9" ht="13.8" thickBot="1" x14ac:dyDescent="0.3">
      <c r="A68" s="13" t="s">
        <v>67</v>
      </c>
      <c r="B68" s="12" t="s">
        <v>0</v>
      </c>
      <c r="C68" s="11">
        <v>8271</v>
      </c>
      <c r="D68" s="11">
        <v>15301</v>
      </c>
      <c r="E68" s="11">
        <v>15932</v>
      </c>
      <c r="F68" s="11">
        <v>14231</v>
      </c>
      <c r="G68" s="11">
        <v>14433</v>
      </c>
      <c r="H68" s="11">
        <v>15491</v>
      </c>
      <c r="I68" s="11">
        <v>13305</v>
      </c>
    </row>
    <row r="69" spans="1:9" x14ac:dyDescent="0.25">
      <c r="A69" s="32" t="s">
        <v>68</v>
      </c>
      <c r="C69" s="14">
        <f>SUM(C2:C68)</f>
        <v>321918</v>
      </c>
      <c r="D69" s="14">
        <f>SUM(D2:D68)</f>
        <v>663506</v>
      </c>
      <c r="E69" s="14">
        <f t="shared" ref="E69:I69" si="0">SUM(E2:E68)</f>
        <v>651253</v>
      </c>
      <c r="F69" s="14">
        <f t="shared" si="0"/>
        <v>523335</v>
      </c>
      <c r="G69" s="14">
        <f t="shared" si="0"/>
        <v>564173</v>
      </c>
      <c r="H69" s="14">
        <f t="shared" si="0"/>
        <v>623545</v>
      </c>
      <c r="I69" s="14">
        <f t="shared" si="0"/>
        <v>512498</v>
      </c>
    </row>
    <row r="70" spans="1:9" x14ac:dyDescent="0.25">
      <c r="C70" s="17">
        <f>C69/$C$73</f>
        <v>8.3393519761008936E-2</v>
      </c>
      <c r="D70" s="17">
        <f t="shared" ref="D70:I70" si="1">D69/$C$73</f>
        <v>0.17188259346339127</v>
      </c>
      <c r="E70" s="17">
        <f t="shared" si="1"/>
        <v>0.1687084286213146</v>
      </c>
      <c r="F70" s="17">
        <f t="shared" si="1"/>
        <v>0.1355710077228599</v>
      </c>
      <c r="G70" s="17">
        <f t="shared" si="1"/>
        <v>0.14615017558548354</v>
      </c>
      <c r="H70" s="17">
        <f t="shared" si="1"/>
        <v>0.16153061425387308</v>
      </c>
      <c r="I70" s="17">
        <f t="shared" si="1"/>
        <v>0.13276366059206865</v>
      </c>
    </row>
    <row r="73" spans="1:9" x14ac:dyDescent="0.25">
      <c r="A73" s="32" t="s">
        <v>80</v>
      </c>
      <c r="C73" s="16">
        <f>SUM(C69:I69)</f>
        <v>3860228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4" sqref="M14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2719</v>
      </c>
      <c r="D2" s="52">
        <v>5209</v>
      </c>
      <c r="E2" s="52">
        <v>6009</v>
      </c>
      <c r="F2" s="52">
        <v>5992</v>
      </c>
      <c r="G2" s="52">
        <v>9175</v>
      </c>
      <c r="H2" s="52">
        <v>8584</v>
      </c>
      <c r="I2" s="52">
        <v>6369</v>
      </c>
      <c r="J2" s="10"/>
    </row>
    <row r="3" spans="1:10" x14ac:dyDescent="0.25">
      <c r="A3" s="11" t="s">
        <v>2</v>
      </c>
      <c r="B3" s="10" t="s">
        <v>70</v>
      </c>
      <c r="C3" s="52">
        <v>18391</v>
      </c>
      <c r="D3" s="52">
        <v>38777</v>
      </c>
      <c r="E3" s="52">
        <v>38992</v>
      </c>
      <c r="F3" s="52">
        <v>36599</v>
      </c>
      <c r="G3" s="52">
        <v>47723</v>
      </c>
      <c r="H3" s="52">
        <v>46878</v>
      </c>
      <c r="I3" s="52">
        <v>35684</v>
      </c>
    </row>
    <row r="4" spans="1:10" x14ac:dyDescent="0.25">
      <c r="A4" s="11" t="s">
        <v>3</v>
      </c>
      <c r="B4" s="10" t="s">
        <v>70</v>
      </c>
      <c r="C4" s="52">
        <v>1960</v>
      </c>
      <c r="D4" s="52">
        <v>3436</v>
      </c>
      <c r="E4" s="52">
        <v>3887</v>
      </c>
      <c r="F4" s="52">
        <v>4208</v>
      </c>
      <c r="G4" s="52">
        <v>5255</v>
      </c>
      <c r="H4" s="52">
        <v>5110</v>
      </c>
      <c r="I4" s="52">
        <v>3831</v>
      </c>
    </row>
    <row r="5" spans="1:10" x14ac:dyDescent="0.25">
      <c r="A5" s="11" t="s">
        <v>4</v>
      </c>
      <c r="B5" s="10" t="s">
        <v>70</v>
      </c>
      <c r="C5" s="52">
        <v>3333</v>
      </c>
      <c r="D5" s="52">
        <v>6699</v>
      </c>
      <c r="E5" s="52">
        <v>7901</v>
      </c>
      <c r="F5" s="52">
        <v>7705</v>
      </c>
      <c r="G5" s="52">
        <v>9998</v>
      </c>
      <c r="H5" s="52">
        <v>9519</v>
      </c>
      <c r="I5" s="52">
        <v>6731</v>
      </c>
    </row>
    <row r="6" spans="1:10" x14ac:dyDescent="0.25">
      <c r="A6" s="11" t="s">
        <v>5</v>
      </c>
      <c r="B6" s="10" t="s">
        <v>70</v>
      </c>
      <c r="C6" s="52">
        <v>1632</v>
      </c>
      <c r="D6" s="52">
        <v>3074</v>
      </c>
      <c r="E6" s="52">
        <v>3263</v>
      </c>
      <c r="F6" s="52">
        <v>3608</v>
      </c>
      <c r="G6" s="52">
        <v>4738</v>
      </c>
      <c r="H6" s="52">
        <v>4747</v>
      </c>
      <c r="I6" s="52">
        <v>3529</v>
      </c>
    </row>
    <row r="7" spans="1:10" x14ac:dyDescent="0.25">
      <c r="A7" s="11" t="s">
        <v>6</v>
      </c>
      <c r="B7" s="10" t="s">
        <v>70</v>
      </c>
      <c r="C7" s="52">
        <v>7972</v>
      </c>
      <c r="D7" s="52">
        <v>14581</v>
      </c>
      <c r="E7" s="52">
        <v>16794</v>
      </c>
      <c r="F7" s="52">
        <v>17428</v>
      </c>
      <c r="G7" s="52">
        <v>23803</v>
      </c>
      <c r="H7" s="52">
        <v>20901</v>
      </c>
      <c r="I7" s="52">
        <v>16516</v>
      </c>
    </row>
    <row r="8" spans="1:10" x14ac:dyDescent="0.25">
      <c r="A8" s="11" t="s">
        <v>7</v>
      </c>
      <c r="B8" s="10" t="s">
        <v>70</v>
      </c>
      <c r="C8" s="52">
        <v>3475</v>
      </c>
      <c r="D8" s="52">
        <v>5862</v>
      </c>
      <c r="E8" s="52">
        <v>6861</v>
      </c>
      <c r="F8" s="52">
        <v>7685</v>
      </c>
      <c r="G8" s="52">
        <v>9450</v>
      </c>
      <c r="H8" s="52">
        <v>9321</v>
      </c>
      <c r="I8" s="52">
        <v>7913</v>
      </c>
    </row>
    <row r="9" spans="1:10" x14ac:dyDescent="0.25">
      <c r="A9" s="11" t="s">
        <v>8</v>
      </c>
      <c r="B9" s="10" t="s">
        <v>70</v>
      </c>
      <c r="C9" s="52">
        <v>1820</v>
      </c>
      <c r="D9" s="52">
        <v>3148</v>
      </c>
      <c r="E9" s="52">
        <v>3625</v>
      </c>
      <c r="F9" s="52">
        <v>3626</v>
      </c>
      <c r="G9" s="52">
        <v>4992</v>
      </c>
      <c r="H9" s="52">
        <v>4634</v>
      </c>
      <c r="I9" s="52">
        <v>3810</v>
      </c>
    </row>
    <row r="10" spans="1:10" x14ac:dyDescent="0.25">
      <c r="A10" s="11" t="s">
        <v>9</v>
      </c>
      <c r="B10" s="10" t="s">
        <v>70</v>
      </c>
      <c r="C10" s="52">
        <v>13718</v>
      </c>
      <c r="D10" s="52">
        <v>24268</v>
      </c>
      <c r="E10" s="52">
        <v>26335</v>
      </c>
      <c r="F10" s="52">
        <v>28465</v>
      </c>
      <c r="G10" s="52">
        <v>41692</v>
      </c>
      <c r="H10" s="52">
        <v>37745</v>
      </c>
      <c r="I10" s="52">
        <v>29502</v>
      </c>
    </row>
    <row r="11" spans="1:10" x14ac:dyDescent="0.25">
      <c r="A11" s="11" t="s">
        <v>10</v>
      </c>
      <c r="B11" s="10" t="s">
        <v>70</v>
      </c>
      <c r="C11" s="52">
        <v>5741</v>
      </c>
      <c r="D11" s="52">
        <v>10950</v>
      </c>
      <c r="E11" s="52">
        <v>12164</v>
      </c>
      <c r="F11" s="52">
        <v>12293</v>
      </c>
      <c r="G11" s="52">
        <v>16307</v>
      </c>
      <c r="H11" s="52">
        <v>14719</v>
      </c>
      <c r="I11" s="52">
        <v>10833</v>
      </c>
    </row>
    <row r="12" spans="1:10" x14ac:dyDescent="0.25">
      <c r="A12" s="11" t="s">
        <v>11</v>
      </c>
      <c r="B12" s="10" t="s">
        <v>70</v>
      </c>
      <c r="C12" s="52">
        <v>3445</v>
      </c>
      <c r="D12" s="52">
        <v>5825</v>
      </c>
      <c r="E12" s="52">
        <v>6321</v>
      </c>
      <c r="F12" s="52">
        <v>7150</v>
      </c>
      <c r="G12" s="52">
        <v>8609</v>
      </c>
      <c r="H12" s="52">
        <v>8577</v>
      </c>
      <c r="I12" s="52">
        <v>6578</v>
      </c>
    </row>
    <row r="13" spans="1:10" x14ac:dyDescent="0.25">
      <c r="A13" s="11" t="s">
        <v>12</v>
      </c>
      <c r="B13" s="10" t="s">
        <v>70</v>
      </c>
      <c r="C13" s="52">
        <v>82</v>
      </c>
      <c r="D13" s="52">
        <v>165</v>
      </c>
      <c r="E13" s="52">
        <v>215</v>
      </c>
      <c r="F13" s="52">
        <v>231</v>
      </c>
      <c r="G13" s="52">
        <v>385</v>
      </c>
      <c r="H13" s="52">
        <v>418</v>
      </c>
      <c r="I13" s="52">
        <v>345</v>
      </c>
    </row>
    <row r="14" spans="1:10" x14ac:dyDescent="0.25">
      <c r="A14" s="11" t="s">
        <v>13</v>
      </c>
      <c r="B14" s="10" t="s">
        <v>70</v>
      </c>
      <c r="C14" s="52">
        <v>1503</v>
      </c>
      <c r="D14" s="52">
        <v>2847</v>
      </c>
      <c r="E14" s="52">
        <v>3300</v>
      </c>
      <c r="F14" s="52">
        <v>3654</v>
      </c>
      <c r="G14" s="52">
        <v>5044</v>
      </c>
      <c r="H14" s="52">
        <v>4483</v>
      </c>
      <c r="I14" s="52">
        <v>3111</v>
      </c>
    </row>
    <row r="15" spans="1:10" x14ac:dyDescent="0.25">
      <c r="A15" s="11" t="s">
        <v>14</v>
      </c>
      <c r="B15" s="10" t="s">
        <v>70</v>
      </c>
      <c r="C15" s="52">
        <v>5355</v>
      </c>
      <c r="D15" s="52">
        <v>5882</v>
      </c>
      <c r="E15" s="52">
        <v>5204</v>
      </c>
      <c r="F15" s="52">
        <v>5278</v>
      </c>
      <c r="G15" s="52">
        <v>7407</v>
      </c>
      <c r="H15" s="52">
        <v>6893</v>
      </c>
      <c r="I15" s="52">
        <v>5765</v>
      </c>
    </row>
    <row r="16" spans="1:10" x14ac:dyDescent="0.25">
      <c r="A16" s="11" t="s">
        <v>15</v>
      </c>
      <c r="B16" s="10" t="s">
        <v>70</v>
      </c>
      <c r="C16" s="52">
        <v>10661</v>
      </c>
      <c r="D16" s="52">
        <v>19081</v>
      </c>
      <c r="E16" s="52">
        <v>19602</v>
      </c>
      <c r="F16" s="52">
        <v>21664</v>
      </c>
      <c r="G16" s="52">
        <v>31066</v>
      </c>
      <c r="H16" s="52">
        <v>27331</v>
      </c>
      <c r="I16" s="52">
        <v>22397</v>
      </c>
    </row>
    <row r="17" spans="1:9" x14ac:dyDescent="0.25">
      <c r="A17" s="11" t="s">
        <v>16</v>
      </c>
      <c r="B17" s="10" t="s">
        <v>70</v>
      </c>
      <c r="C17" s="52">
        <v>1064</v>
      </c>
      <c r="D17" s="52">
        <v>1869</v>
      </c>
      <c r="E17" s="52">
        <v>2147</v>
      </c>
      <c r="F17" s="52">
        <v>2341</v>
      </c>
      <c r="G17" s="52">
        <v>3102</v>
      </c>
      <c r="H17" s="52">
        <v>2805</v>
      </c>
      <c r="I17" s="52">
        <v>2180</v>
      </c>
    </row>
    <row r="18" spans="1:9" x14ac:dyDescent="0.25">
      <c r="A18" s="11" t="s">
        <v>17</v>
      </c>
      <c r="B18" s="10" t="s">
        <v>70</v>
      </c>
      <c r="C18" s="52">
        <v>1983</v>
      </c>
      <c r="D18" s="52">
        <v>3900</v>
      </c>
      <c r="E18" s="52">
        <v>4382</v>
      </c>
      <c r="F18" s="52">
        <v>4919</v>
      </c>
      <c r="G18" s="52">
        <v>6264</v>
      </c>
      <c r="H18" s="52">
        <v>5750</v>
      </c>
      <c r="I18" s="52">
        <v>4234</v>
      </c>
    </row>
    <row r="19" spans="1:9" x14ac:dyDescent="0.25">
      <c r="A19" s="11" t="s">
        <v>18</v>
      </c>
      <c r="B19" s="10" t="s">
        <v>70</v>
      </c>
      <c r="C19" s="52">
        <v>950</v>
      </c>
      <c r="D19" s="52">
        <v>1742</v>
      </c>
      <c r="E19" s="52">
        <v>1835</v>
      </c>
      <c r="F19" s="52">
        <v>2069</v>
      </c>
      <c r="G19" s="52">
        <v>2548</v>
      </c>
      <c r="H19" s="52">
        <v>2334</v>
      </c>
      <c r="I19" s="52">
        <v>1792</v>
      </c>
    </row>
    <row r="20" spans="1:9" x14ac:dyDescent="0.25">
      <c r="A20" s="11" t="s">
        <v>19</v>
      </c>
      <c r="B20" s="10" t="s">
        <v>70</v>
      </c>
      <c r="C20" s="52">
        <v>1669</v>
      </c>
      <c r="D20" s="52">
        <v>2847</v>
      </c>
      <c r="E20" s="52">
        <v>3028</v>
      </c>
      <c r="F20" s="52">
        <v>3318</v>
      </c>
      <c r="G20" s="52">
        <v>4256</v>
      </c>
      <c r="H20" s="52">
        <v>4108</v>
      </c>
      <c r="I20" s="52">
        <v>3219</v>
      </c>
    </row>
    <row r="21" spans="1:9" x14ac:dyDescent="0.25">
      <c r="A21" s="11" t="s">
        <v>20</v>
      </c>
      <c r="B21" s="10" t="s">
        <v>70</v>
      </c>
      <c r="C21" s="52">
        <v>2099</v>
      </c>
      <c r="D21" s="52">
        <v>3746</v>
      </c>
      <c r="E21" s="52">
        <v>4347</v>
      </c>
      <c r="F21" s="52">
        <v>4587</v>
      </c>
      <c r="G21" s="52">
        <v>6173</v>
      </c>
      <c r="H21" s="52">
        <v>6008</v>
      </c>
      <c r="I21" s="52">
        <v>4831</v>
      </c>
    </row>
    <row r="22" spans="1:9" x14ac:dyDescent="0.25">
      <c r="A22" s="11" t="s">
        <v>21</v>
      </c>
      <c r="B22" s="10" t="s">
        <v>70</v>
      </c>
      <c r="C22" s="52">
        <v>5729</v>
      </c>
      <c r="D22" s="52">
        <v>10928</v>
      </c>
      <c r="E22" s="52">
        <v>12338</v>
      </c>
      <c r="F22" s="52">
        <v>12740</v>
      </c>
      <c r="G22" s="52">
        <v>16746</v>
      </c>
      <c r="H22" s="52">
        <v>15763</v>
      </c>
      <c r="I22" s="52">
        <v>13965</v>
      </c>
    </row>
    <row r="23" spans="1:9" x14ac:dyDescent="0.25">
      <c r="A23" s="11" t="s">
        <v>22</v>
      </c>
      <c r="B23" s="10" t="s">
        <v>70</v>
      </c>
      <c r="C23" s="52">
        <v>4777</v>
      </c>
      <c r="D23" s="52">
        <v>9695</v>
      </c>
      <c r="E23" s="52">
        <v>10826</v>
      </c>
      <c r="F23" s="52">
        <v>10965</v>
      </c>
      <c r="G23" s="52">
        <v>14731</v>
      </c>
      <c r="H23" s="52">
        <v>14054</v>
      </c>
      <c r="I23" s="52">
        <v>10861</v>
      </c>
    </row>
    <row r="24" spans="1:9" x14ac:dyDescent="0.25">
      <c r="A24" s="11" t="s">
        <v>23</v>
      </c>
      <c r="B24" s="10" t="s">
        <v>70</v>
      </c>
      <c r="C24" s="52">
        <v>9392</v>
      </c>
      <c r="D24" s="52">
        <v>17504</v>
      </c>
      <c r="E24" s="52">
        <v>19784</v>
      </c>
      <c r="F24" s="52">
        <v>19557</v>
      </c>
      <c r="G24" s="52">
        <v>27835</v>
      </c>
      <c r="H24" s="52">
        <v>27105</v>
      </c>
      <c r="I24" s="52">
        <v>21405</v>
      </c>
    </row>
    <row r="25" spans="1:9" x14ac:dyDescent="0.25">
      <c r="A25" s="11" t="s">
        <v>24</v>
      </c>
      <c r="B25" s="10" t="s">
        <v>70</v>
      </c>
      <c r="C25" s="52">
        <v>792</v>
      </c>
      <c r="D25" s="52">
        <v>1491</v>
      </c>
      <c r="E25" s="52">
        <v>1649</v>
      </c>
      <c r="F25" s="52">
        <v>1749</v>
      </c>
      <c r="G25" s="52">
        <v>2511</v>
      </c>
      <c r="H25" s="52">
        <v>2312</v>
      </c>
      <c r="I25" s="52">
        <v>1618</v>
      </c>
    </row>
    <row r="26" spans="1:9" x14ac:dyDescent="0.25">
      <c r="A26" s="11" t="s">
        <v>25</v>
      </c>
      <c r="B26" s="10" t="s">
        <v>70</v>
      </c>
      <c r="C26" s="52">
        <v>5273</v>
      </c>
      <c r="D26" s="52">
        <v>9438</v>
      </c>
      <c r="E26" s="52">
        <v>10231</v>
      </c>
      <c r="F26" s="52">
        <v>10774</v>
      </c>
      <c r="G26" s="52">
        <v>13735</v>
      </c>
      <c r="H26" s="52">
        <v>12172</v>
      </c>
      <c r="I26" s="52">
        <v>9175</v>
      </c>
    </row>
    <row r="27" spans="1:9" x14ac:dyDescent="0.25">
      <c r="A27" s="11" t="s">
        <v>26</v>
      </c>
      <c r="B27" s="10" t="s">
        <v>70</v>
      </c>
      <c r="C27" s="52">
        <v>2743</v>
      </c>
      <c r="D27" s="52">
        <v>5799</v>
      </c>
      <c r="E27" s="52">
        <v>6211</v>
      </c>
      <c r="F27" s="52">
        <v>6754</v>
      </c>
      <c r="G27" s="52">
        <v>7939</v>
      </c>
      <c r="H27" s="52">
        <v>6971</v>
      </c>
      <c r="I27" s="52">
        <v>4905</v>
      </c>
    </row>
    <row r="28" spans="1:9" x14ac:dyDescent="0.25">
      <c r="A28" s="11" t="s">
        <v>27</v>
      </c>
      <c r="B28" s="10" t="s">
        <v>70</v>
      </c>
      <c r="C28" s="52">
        <v>106</v>
      </c>
      <c r="D28" s="52">
        <v>139</v>
      </c>
      <c r="E28" s="52">
        <v>202</v>
      </c>
      <c r="F28" s="52">
        <v>272</v>
      </c>
      <c r="G28" s="52">
        <v>449</v>
      </c>
      <c r="H28" s="52">
        <v>504</v>
      </c>
      <c r="I28" s="52">
        <v>394</v>
      </c>
    </row>
    <row r="29" spans="1:9" x14ac:dyDescent="0.25">
      <c r="A29" s="11" t="s">
        <v>28</v>
      </c>
      <c r="B29" s="10" t="s">
        <v>70</v>
      </c>
      <c r="C29" s="52">
        <v>4163</v>
      </c>
      <c r="D29" s="52">
        <v>8028</v>
      </c>
      <c r="E29" s="52">
        <v>9126</v>
      </c>
      <c r="F29" s="52">
        <v>9743</v>
      </c>
      <c r="G29" s="52">
        <v>12497</v>
      </c>
      <c r="H29" s="52">
        <v>11194</v>
      </c>
      <c r="I29" s="52">
        <v>9561</v>
      </c>
    </row>
    <row r="30" spans="1:9" x14ac:dyDescent="0.25">
      <c r="A30" s="11" t="s">
        <v>29</v>
      </c>
      <c r="B30" s="10" t="s">
        <v>70</v>
      </c>
      <c r="C30" s="52">
        <v>520</v>
      </c>
      <c r="D30" s="52">
        <v>997</v>
      </c>
      <c r="E30" s="52">
        <v>1012</v>
      </c>
      <c r="F30" s="52">
        <v>1151</v>
      </c>
      <c r="G30" s="52">
        <v>1457</v>
      </c>
      <c r="H30" s="52">
        <v>1348</v>
      </c>
      <c r="I30" s="52">
        <v>990</v>
      </c>
    </row>
    <row r="31" spans="1:9" x14ac:dyDescent="0.25">
      <c r="A31" s="11" t="s">
        <v>30</v>
      </c>
      <c r="B31" s="10" t="s">
        <v>70</v>
      </c>
      <c r="C31" s="52">
        <v>960</v>
      </c>
      <c r="D31" s="52">
        <v>1781</v>
      </c>
      <c r="E31" s="52">
        <v>1784</v>
      </c>
      <c r="F31" s="52">
        <v>2061</v>
      </c>
      <c r="G31" s="52">
        <v>2263</v>
      </c>
      <c r="H31" s="52">
        <v>1949</v>
      </c>
      <c r="I31" s="52">
        <v>1399</v>
      </c>
    </row>
    <row r="32" spans="1:9" x14ac:dyDescent="0.25">
      <c r="A32" s="11" t="s">
        <v>31</v>
      </c>
      <c r="B32" s="10" t="s">
        <v>70</v>
      </c>
      <c r="C32" s="52">
        <v>1344</v>
      </c>
      <c r="D32" s="52">
        <v>2299</v>
      </c>
      <c r="E32" s="52">
        <v>2460</v>
      </c>
      <c r="F32" s="52">
        <v>2764</v>
      </c>
      <c r="G32" s="52">
        <v>3661</v>
      </c>
      <c r="H32" s="52">
        <v>3516</v>
      </c>
      <c r="I32" s="52">
        <v>2840</v>
      </c>
    </row>
    <row r="33" spans="1:9" x14ac:dyDescent="0.25">
      <c r="A33" s="11" t="s">
        <v>32</v>
      </c>
      <c r="B33" s="10" t="s">
        <v>70</v>
      </c>
      <c r="C33" s="52">
        <v>2397</v>
      </c>
      <c r="D33" s="52">
        <v>3566</v>
      </c>
      <c r="E33" s="52">
        <v>3969</v>
      </c>
      <c r="F33" s="52">
        <v>4385</v>
      </c>
      <c r="G33" s="52">
        <v>5359</v>
      </c>
      <c r="H33" s="52">
        <v>5211</v>
      </c>
      <c r="I33" s="52">
        <v>3979</v>
      </c>
    </row>
    <row r="34" spans="1:9" x14ac:dyDescent="0.25">
      <c r="A34" s="11" t="s">
        <v>33</v>
      </c>
      <c r="B34" s="10" t="s">
        <v>70</v>
      </c>
      <c r="C34" s="52">
        <v>1329</v>
      </c>
      <c r="D34" s="52">
        <v>2367</v>
      </c>
      <c r="E34" s="52">
        <v>2853</v>
      </c>
      <c r="F34" s="52">
        <v>2848</v>
      </c>
      <c r="G34" s="52">
        <v>3683</v>
      </c>
      <c r="H34" s="52">
        <v>3630</v>
      </c>
      <c r="I34" s="52">
        <v>2756</v>
      </c>
    </row>
    <row r="35" spans="1:9" x14ac:dyDescent="0.25">
      <c r="A35" s="11" t="s">
        <v>34</v>
      </c>
      <c r="B35" s="10" t="s">
        <v>70</v>
      </c>
      <c r="C35" s="52">
        <v>650</v>
      </c>
      <c r="D35" s="52">
        <v>1280</v>
      </c>
      <c r="E35" s="52">
        <v>1371</v>
      </c>
      <c r="F35" s="52">
        <v>1509</v>
      </c>
      <c r="G35" s="52">
        <v>1957</v>
      </c>
      <c r="H35" s="52">
        <v>1819</v>
      </c>
      <c r="I35" s="52">
        <v>1438</v>
      </c>
    </row>
    <row r="36" spans="1:9" x14ac:dyDescent="0.25">
      <c r="A36" s="11" t="s">
        <v>35</v>
      </c>
      <c r="B36" s="10" t="s">
        <v>70</v>
      </c>
      <c r="C36" s="52">
        <v>4162</v>
      </c>
      <c r="D36" s="52">
        <v>7229</v>
      </c>
      <c r="E36" s="52">
        <v>7823</v>
      </c>
      <c r="F36" s="52">
        <v>8177</v>
      </c>
      <c r="G36" s="52">
        <v>10022</v>
      </c>
      <c r="H36" s="52">
        <v>8316</v>
      </c>
      <c r="I36" s="52">
        <v>6568</v>
      </c>
    </row>
    <row r="37" spans="1:9" x14ac:dyDescent="0.25">
      <c r="A37" s="11" t="s">
        <v>36</v>
      </c>
      <c r="B37" s="10" t="s">
        <v>70</v>
      </c>
      <c r="C37" s="52">
        <v>12799</v>
      </c>
      <c r="D37" s="52">
        <v>24390</v>
      </c>
      <c r="E37" s="52">
        <v>26208</v>
      </c>
      <c r="F37" s="52">
        <v>25287</v>
      </c>
      <c r="G37" s="52">
        <v>32686</v>
      </c>
      <c r="H37" s="52">
        <v>32877</v>
      </c>
      <c r="I37" s="52">
        <v>29492</v>
      </c>
    </row>
    <row r="38" spans="1:9" x14ac:dyDescent="0.25">
      <c r="A38" s="11" t="s">
        <v>37</v>
      </c>
      <c r="B38" s="10" t="s">
        <v>70</v>
      </c>
      <c r="C38" s="52">
        <v>2342</v>
      </c>
      <c r="D38" s="52">
        <v>3823</v>
      </c>
      <c r="E38" s="52">
        <v>4252</v>
      </c>
      <c r="F38" s="52">
        <v>4582</v>
      </c>
      <c r="G38" s="52">
        <v>5557</v>
      </c>
      <c r="H38" s="52">
        <v>5383</v>
      </c>
      <c r="I38" s="52">
        <v>4173</v>
      </c>
    </row>
    <row r="39" spans="1:9" x14ac:dyDescent="0.25">
      <c r="A39" s="11" t="s">
        <v>38</v>
      </c>
      <c r="B39" s="10" t="s">
        <v>70</v>
      </c>
      <c r="C39" s="52">
        <v>3349</v>
      </c>
      <c r="D39" s="52">
        <v>6216</v>
      </c>
      <c r="E39" s="52">
        <v>7145</v>
      </c>
      <c r="F39" s="52">
        <v>7747</v>
      </c>
      <c r="G39" s="52">
        <v>9821</v>
      </c>
      <c r="H39" s="52">
        <v>9796</v>
      </c>
      <c r="I39" s="52">
        <v>8604</v>
      </c>
    </row>
    <row r="40" spans="1:9" x14ac:dyDescent="0.25">
      <c r="A40" s="11" t="s">
        <v>39</v>
      </c>
      <c r="B40" s="10" t="s">
        <v>70</v>
      </c>
      <c r="C40" s="52">
        <v>5803</v>
      </c>
      <c r="D40" s="52">
        <v>11492</v>
      </c>
      <c r="E40" s="52">
        <v>12635</v>
      </c>
      <c r="F40" s="52">
        <v>13124</v>
      </c>
      <c r="G40" s="52">
        <v>17265</v>
      </c>
      <c r="H40" s="52">
        <v>16083</v>
      </c>
      <c r="I40" s="52">
        <v>13076</v>
      </c>
    </row>
    <row r="41" spans="1:9" x14ac:dyDescent="0.25">
      <c r="A41" s="11" t="s">
        <v>40</v>
      </c>
      <c r="B41" s="10" t="s">
        <v>70</v>
      </c>
      <c r="C41" s="52">
        <v>5746</v>
      </c>
      <c r="D41" s="52">
        <v>11187</v>
      </c>
      <c r="E41" s="52">
        <v>13124</v>
      </c>
      <c r="F41" s="52">
        <v>13795</v>
      </c>
      <c r="G41" s="52">
        <v>18350</v>
      </c>
      <c r="H41" s="52">
        <v>15683</v>
      </c>
      <c r="I41" s="52">
        <v>12911</v>
      </c>
    </row>
    <row r="42" spans="1:9" x14ac:dyDescent="0.25">
      <c r="A42" s="11" t="s">
        <v>41</v>
      </c>
      <c r="B42" s="10" t="s">
        <v>70</v>
      </c>
      <c r="C42" s="52">
        <v>2801</v>
      </c>
      <c r="D42" s="52">
        <v>4968</v>
      </c>
      <c r="E42" s="52">
        <v>6287</v>
      </c>
      <c r="F42" s="52">
        <v>6316</v>
      </c>
      <c r="G42" s="52">
        <v>8183</v>
      </c>
      <c r="H42" s="52">
        <v>8486</v>
      </c>
      <c r="I42" s="52">
        <v>6696</v>
      </c>
    </row>
    <row r="43" spans="1:9" x14ac:dyDescent="0.25">
      <c r="A43" s="11" t="s">
        <v>42</v>
      </c>
      <c r="B43" s="10" t="s">
        <v>70</v>
      </c>
      <c r="C43" s="52">
        <v>1021</v>
      </c>
      <c r="D43" s="52">
        <v>1868</v>
      </c>
      <c r="E43" s="52">
        <v>2223</v>
      </c>
      <c r="F43" s="52">
        <v>2407</v>
      </c>
      <c r="G43" s="52">
        <v>3216</v>
      </c>
      <c r="H43" s="52">
        <v>3096</v>
      </c>
      <c r="I43" s="52">
        <v>2381</v>
      </c>
    </row>
    <row r="44" spans="1:9" x14ac:dyDescent="0.25">
      <c r="A44" s="11" t="s">
        <v>43</v>
      </c>
      <c r="B44" s="10" t="s">
        <v>70</v>
      </c>
      <c r="C44" s="52">
        <v>2871</v>
      </c>
      <c r="D44" s="52">
        <v>5006</v>
      </c>
      <c r="E44" s="52">
        <v>5003</v>
      </c>
      <c r="F44" s="52">
        <v>5493</v>
      </c>
      <c r="G44" s="52">
        <v>7189</v>
      </c>
      <c r="H44" s="52">
        <v>7010</v>
      </c>
      <c r="I44" s="52">
        <v>5738</v>
      </c>
    </row>
    <row r="45" spans="1:9" x14ac:dyDescent="0.25">
      <c r="A45" s="11" t="s">
        <v>44</v>
      </c>
      <c r="B45" s="10" t="s">
        <v>70</v>
      </c>
      <c r="C45" s="52">
        <v>1122</v>
      </c>
      <c r="D45" s="52">
        <v>2319</v>
      </c>
      <c r="E45" s="52">
        <v>2501</v>
      </c>
      <c r="F45" s="52">
        <v>2669</v>
      </c>
      <c r="G45" s="52">
        <v>3719</v>
      </c>
      <c r="H45" s="52">
        <v>3410</v>
      </c>
      <c r="I45" s="52">
        <v>2896</v>
      </c>
    </row>
    <row r="46" spans="1:9" x14ac:dyDescent="0.25">
      <c r="A46" s="11" t="s">
        <v>45</v>
      </c>
      <c r="B46" s="10" t="s">
        <v>70</v>
      </c>
      <c r="C46" s="52">
        <v>2521</v>
      </c>
      <c r="D46" s="52">
        <v>5172</v>
      </c>
      <c r="E46" s="52">
        <v>6203</v>
      </c>
      <c r="F46" s="52">
        <v>6483</v>
      </c>
      <c r="G46" s="52">
        <v>9312</v>
      </c>
      <c r="H46" s="52">
        <v>8461</v>
      </c>
      <c r="I46" s="52">
        <v>5246</v>
      </c>
    </row>
    <row r="47" spans="1:9" x14ac:dyDescent="0.25">
      <c r="A47" s="11" t="s">
        <v>46</v>
      </c>
      <c r="B47" s="10" t="s">
        <v>70</v>
      </c>
      <c r="C47" s="52">
        <v>13829</v>
      </c>
      <c r="D47" s="52">
        <v>26046</v>
      </c>
      <c r="E47" s="52">
        <v>28087</v>
      </c>
      <c r="F47" s="52">
        <v>29089</v>
      </c>
      <c r="G47" s="52">
        <v>40960</v>
      </c>
      <c r="H47" s="52">
        <v>37844</v>
      </c>
      <c r="I47" s="52">
        <v>31706</v>
      </c>
    </row>
    <row r="48" spans="1:9" x14ac:dyDescent="0.25">
      <c r="A48" s="11" t="s">
        <v>47</v>
      </c>
      <c r="B48" s="10" t="s">
        <v>70</v>
      </c>
      <c r="C48" s="52">
        <v>387</v>
      </c>
      <c r="D48" s="52">
        <v>829</v>
      </c>
      <c r="E48" s="52">
        <v>944</v>
      </c>
      <c r="F48" s="52">
        <v>866</v>
      </c>
      <c r="G48" s="52">
        <v>1214</v>
      </c>
      <c r="H48" s="52">
        <v>1248</v>
      </c>
      <c r="I48" s="52">
        <v>1079</v>
      </c>
    </row>
    <row r="49" spans="1:9" x14ac:dyDescent="0.25">
      <c r="A49" s="11" t="s">
        <v>48</v>
      </c>
      <c r="B49" s="10" t="s">
        <v>70</v>
      </c>
      <c r="C49" s="52">
        <v>6042</v>
      </c>
      <c r="D49" s="52">
        <v>11261</v>
      </c>
      <c r="E49" s="52">
        <v>11856</v>
      </c>
      <c r="F49" s="52">
        <v>12454</v>
      </c>
      <c r="G49" s="52">
        <v>17390</v>
      </c>
      <c r="H49" s="52">
        <v>15578</v>
      </c>
      <c r="I49" s="52">
        <v>12398</v>
      </c>
    </row>
    <row r="50" spans="1:9" x14ac:dyDescent="0.25">
      <c r="A50" s="11" t="s">
        <v>49</v>
      </c>
      <c r="B50" s="10" t="s">
        <v>70</v>
      </c>
      <c r="C50" s="52">
        <v>2007</v>
      </c>
      <c r="D50" s="52">
        <v>3639</v>
      </c>
      <c r="E50" s="52">
        <v>4598</v>
      </c>
      <c r="F50" s="52">
        <v>4805</v>
      </c>
      <c r="G50" s="52">
        <v>6182</v>
      </c>
      <c r="H50" s="52">
        <v>5976</v>
      </c>
      <c r="I50" s="52">
        <v>4748</v>
      </c>
    </row>
    <row r="51" spans="1:9" x14ac:dyDescent="0.25">
      <c r="A51" s="11" t="s">
        <v>50</v>
      </c>
      <c r="B51" s="10" t="s">
        <v>70</v>
      </c>
      <c r="C51" s="52">
        <v>1416</v>
      </c>
      <c r="D51" s="52">
        <v>2644</v>
      </c>
      <c r="E51" s="52">
        <v>3059</v>
      </c>
      <c r="F51" s="52">
        <v>3179</v>
      </c>
      <c r="G51" s="52">
        <v>4255</v>
      </c>
      <c r="H51" s="52">
        <v>3807</v>
      </c>
      <c r="I51" s="52">
        <v>2579</v>
      </c>
    </row>
    <row r="52" spans="1:9" x14ac:dyDescent="0.25">
      <c r="A52" s="11" t="s">
        <v>51</v>
      </c>
      <c r="B52" s="10" t="s">
        <v>70</v>
      </c>
      <c r="C52" s="52">
        <v>9818</v>
      </c>
      <c r="D52" s="52">
        <v>25629</v>
      </c>
      <c r="E52" s="52">
        <v>23689</v>
      </c>
      <c r="F52" s="52">
        <v>18774</v>
      </c>
      <c r="G52" s="52">
        <v>20761</v>
      </c>
      <c r="H52" s="52">
        <v>18206</v>
      </c>
      <c r="I52" s="52">
        <v>14453</v>
      </c>
    </row>
    <row r="53" spans="1:9" x14ac:dyDescent="0.25">
      <c r="A53" s="11" t="s">
        <v>52</v>
      </c>
      <c r="B53" s="10" t="s">
        <v>70</v>
      </c>
      <c r="C53" s="52">
        <v>1220</v>
      </c>
      <c r="D53" s="52">
        <v>2417</v>
      </c>
      <c r="E53" s="52">
        <v>3007</v>
      </c>
      <c r="F53" s="52">
        <v>3251</v>
      </c>
      <c r="G53" s="52">
        <v>5198</v>
      </c>
      <c r="H53" s="52">
        <v>4765</v>
      </c>
      <c r="I53" s="52">
        <v>3278</v>
      </c>
    </row>
    <row r="54" spans="1:9" x14ac:dyDescent="0.25">
      <c r="A54" s="11" t="s">
        <v>53</v>
      </c>
      <c r="B54" s="10" t="s">
        <v>70</v>
      </c>
      <c r="C54" s="52">
        <v>491</v>
      </c>
      <c r="D54" s="52">
        <v>904</v>
      </c>
      <c r="E54" s="52">
        <v>1053</v>
      </c>
      <c r="F54" s="52">
        <v>1059</v>
      </c>
      <c r="G54" s="52">
        <v>1539</v>
      </c>
      <c r="H54" s="52">
        <v>1641</v>
      </c>
      <c r="I54" s="52">
        <v>1299</v>
      </c>
    </row>
    <row r="55" spans="1:9" x14ac:dyDescent="0.25">
      <c r="A55" s="11" t="s">
        <v>54</v>
      </c>
      <c r="B55" s="10" t="s">
        <v>70</v>
      </c>
      <c r="C55" s="52">
        <v>3613</v>
      </c>
      <c r="D55" s="52">
        <v>6297</v>
      </c>
      <c r="E55" s="52">
        <v>7366</v>
      </c>
      <c r="F55" s="52">
        <v>8313</v>
      </c>
      <c r="G55" s="52">
        <v>10542</v>
      </c>
      <c r="H55" s="52">
        <v>9693</v>
      </c>
      <c r="I55" s="52">
        <v>7363</v>
      </c>
    </row>
    <row r="56" spans="1:9" x14ac:dyDescent="0.25">
      <c r="A56" s="11" t="s">
        <v>55</v>
      </c>
      <c r="B56" s="10" t="s">
        <v>70</v>
      </c>
      <c r="C56" s="52">
        <v>1224</v>
      </c>
      <c r="D56" s="52">
        <v>1859</v>
      </c>
      <c r="E56" s="52">
        <v>2249</v>
      </c>
      <c r="F56" s="52">
        <v>2357</v>
      </c>
      <c r="G56" s="52">
        <v>3037</v>
      </c>
      <c r="H56" s="52">
        <v>2833</v>
      </c>
      <c r="I56" s="52">
        <v>2398</v>
      </c>
    </row>
    <row r="57" spans="1:9" x14ac:dyDescent="0.25">
      <c r="A57" s="11" t="s">
        <v>56</v>
      </c>
      <c r="B57" s="10" t="s">
        <v>70</v>
      </c>
      <c r="C57" s="52">
        <v>2209</v>
      </c>
      <c r="D57" s="52">
        <v>3944</v>
      </c>
      <c r="E57" s="52">
        <v>4386</v>
      </c>
      <c r="F57" s="52">
        <v>4881</v>
      </c>
      <c r="G57" s="52">
        <v>6259</v>
      </c>
      <c r="H57" s="52">
        <v>6338</v>
      </c>
      <c r="I57" s="52">
        <v>4791</v>
      </c>
    </row>
    <row r="58" spans="1:9" x14ac:dyDescent="0.25">
      <c r="A58" s="11" t="s">
        <v>57</v>
      </c>
      <c r="B58" s="10" t="s">
        <v>70</v>
      </c>
      <c r="C58" s="52">
        <v>160</v>
      </c>
      <c r="D58" s="52">
        <v>264</v>
      </c>
      <c r="E58" s="52">
        <v>353</v>
      </c>
      <c r="F58" s="52">
        <v>378</v>
      </c>
      <c r="G58" s="52">
        <v>562</v>
      </c>
      <c r="H58" s="52">
        <v>671</v>
      </c>
      <c r="I58" s="52">
        <v>469</v>
      </c>
    </row>
    <row r="59" spans="1:9" x14ac:dyDescent="0.25">
      <c r="A59" s="11" t="s">
        <v>58</v>
      </c>
      <c r="B59" s="10" t="s">
        <v>70</v>
      </c>
      <c r="C59" s="52">
        <v>1110</v>
      </c>
      <c r="D59" s="52">
        <v>2104</v>
      </c>
      <c r="E59" s="52">
        <v>2382</v>
      </c>
      <c r="F59" s="52">
        <v>2355</v>
      </c>
      <c r="G59" s="52">
        <v>3402</v>
      </c>
      <c r="H59" s="52">
        <v>3330</v>
      </c>
      <c r="I59" s="52">
        <v>2603</v>
      </c>
    </row>
    <row r="60" spans="1:9" x14ac:dyDescent="0.25">
      <c r="A60" s="11" t="s">
        <v>59</v>
      </c>
      <c r="B60" s="10" t="s">
        <v>70</v>
      </c>
      <c r="C60" s="52">
        <v>1074</v>
      </c>
      <c r="D60" s="52">
        <v>1992</v>
      </c>
      <c r="E60" s="52">
        <v>2455</v>
      </c>
      <c r="F60" s="52">
        <v>2553</v>
      </c>
      <c r="G60" s="52">
        <v>3459</v>
      </c>
      <c r="H60" s="52">
        <v>3591</v>
      </c>
      <c r="I60" s="52">
        <v>2984</v>
      </c>
    </row>
    <row r="61" spans="1:9" x14ac:dyDescent="0.25">
      <c r="A61" s="11" t="s">
        <v>60</v>
      </c>
      <c r="B61" s="10" t="s">
        <v>70</v>
      </c>
      <c r="C61" s="52">
        <v>1324</v>
      </c>
      <c r="D61" s="52">
        <v>1782</v>
      </c>
      <c r="E61" s="52">
        <v>1901</v>
      </c>
      <c r="F61" s="52">
        <v>1947</v>
      </c>
      <c r="G61" s="52">
        <v>2618</v>
      </c>
      <c r="H61" s="52">
        <v>2422</v>
      </c>
      <c r="I61" s="52">
        <v>2374</v>
      </c>
    </row>
    <row r="62" spans="1:9" x14ac:dyDescent="0.25">
      <c r="A62" s="11" t="s">
        <v>61</v>
      </c>
      <c r="B62" s="10" t="s">
        <v>70</v>
      </c>
      <c r="C62" s="52">
        <v>1222</v>
      </c>
      <c r="D62" s="52">
        <v>2226</v>
      </c>
      <c r="E62" s="52">
        <v>2710</v>
      </c>
      <c r="F62" s="52">
        <v>3019</v>
      </c>
      <c r="G62" s="52">
        <v>3857</v>
      </c>
      <c r="H62" s="52">
        <v>4070</v>
      </c>
      <c r="I62" s="52">
        <v>3039</v>
      </c>
    </row>
    <row r="63" spans="1:9" x14ac:dyDescent="0.25">
      <c r="A63" s="11" t="s">
        <v>62</v>
      </c>
      <c r="B63" s="10" t="s">
        <v>70</v>
      </c>
      <c r="C63" s="52">
        <v>950</v>
      </c>
      <c r="D63" s="52">
        <v>1728</v>
      </c>
      <c r="E63" s="52">
        <v>2060</v>
      </c>
      <c r="F63" s="52">
        <v>2147</v>
      </c>
      <c r="G63" s="52">
        <v>3076</v>
      </c>
      <c r="H63" s="52">
        <v>3049</v>
      </c>
      <c r="I63" s="52">
        <v>2215</v>
      </c>
    </row>
    <row r="64" spans="1:9" x14ac:dyDescent="0.25">
      <c r="A64" s="11" t="s">
        <v>63</v>
      </c>
      <c r="B64" s="10" t="s">
        <v>70</v>
      </c>
      <c r="C64" s="52">
        <v>5197</v>
      </c>
      <c r="D64" s="52">
        <v>9663</v>
      </c>
      <c r="E64" s="52">
        <v>11133</v>
      </c>
      <c r="F64" s="52">
        <v>11456</v>
      </c>
      <c r="G64" s="52">
        <v>13827</v>
      </c>
      <c r="H64" s="52">
        <v>12631</v>
      </c>
      <c r="I64" s="52">
        <v>8856</v>
      </c>
    </row>
    <row r="65" spans="1:9" x14ac:dyDescent="0.25">
      <c r="A65" s="11" t="s">
        <v>64</v>
      </c>
      <c r="B65" s="10" t="s">
        <v>70</v>
      </c>
      <c r="C65" s="52">
        <v>1260</v>
      </c>
      <c r="D65" s="52">
        <v>2488</v>
      </c>
      <c r="E65" s="52">
        <v>2779</v>
      </c>
      <c r="F65" s="52">
        <v>2878</v>
      </c>
      <c r="G65" s="52">
        <v>4507</v>
      </c>
      <c r="H65" s="52">
        <v>4457</v>
      </c>
      <c r="I65" s="52">
        <v>3380</v>
      </c>
    </row>
    <row r="66" spans="1:9" x14ac:dyDescent="0.25">
      <c r="A66" s="11" t="s">
        <v>65</v>
      </c>
      <c r="B66" s="10" t="s">
        <v>70</v>
      </c>
      <c r="C66" s="52">
        <v>8650</v>
      </c>
      <c r="D66" s="52">
        <v>16489</v>
      </c>
      <c r="E66" s="52">
        <v>18371</v>
      </c>
      <c r="F66" s="52">
        <v>19130</v>
      </c>
      <c r="G66" s="52">
        <v>25854</v>
      </c>
      <c r="H66" s="52">
        <v>23976</v>
      </c>
      <c r="I66" s="52">
        <v>18329</v>
      </c>
    </row>
    <row r="67" spans="1:9" x14ac:dyDescent="0.25">
      <c r="A67" s="11" t="s">
        <v>66</v>
      </c>
      <c r="B67" s="10" t="s">
        <v>70</v>
      </c>
      <c r="C67" s="52">
        <v>697</v>
      </c>
      <c r="D67" s="52">
        <v>1384</v>
      </c>
      <c r="E67" s="52">
        <v>1523</v>
      </c>
      <c r="F67" s="52">
        <v>1732</v>
      </c>
      <c r="G67" s="52">
        <v>2146</v>
      </c>
      <c r="H67" s="52">
        <v>2086</v>
      </c>
      <c r="I67" s="52">
        <v>1737</v>
      </c>
    </row>
    <row r="68" spans="1:9" ht="13.8" thickBot="1" x14ac:dyDescent="0.3">
      <c r="A68" s="13" t="s">
        <v>67</v>
      </c>
      <c r="B68" s="12" t="s">
        <v>70</v>
      </c>
      <c r="C68" s="52">
        <v>10937</v>
      </c>
      <c r="D68" s="52">
        <v>21494</v>
      </c>
      <c r="E68" s="52">
        <v>25279</v>
      </c>
      <c r="F68" s="52">
        <v>25368</v>
      </c>
      <c r="G68" s="52">
        <v>34240</v>
      </c>
      <c r="H68" s="52">
        <v>29196</v>
      </c>
      <c r="I68" s="52">
        <v>21872</v>
      </c>
    </row>
    <row r="69" spans="1:9" x14ac:dyDescent="0.25">
      <c r="A69" s="32" t="s">
        <v>68</v>
      </c>
      <c r="C69" s="14">
        <f>SUM(C2:C68)</f>
        <v>249121</v>
      </c>
      <c r="D69" s="14">
        <f t="shared" ref="D69:I69" si="0">SUM(D2:D68)</f>
        <v>469973</v>
      </c>
      <c r="E69" s="14">
        <f t="shared" si="0"/>
        <v>514672</v>
      </c>
      <c r="F69" s="14">
        <f t="shared" si="0"/>
        <v>528163</v>
      </c>
      <c r="G69" s="14">
        <f t="shared" si="0"/>
        <v>703015</v>
      </c>
      <c r="H69" s="14">
        <f t="shared" si="0"/>
        <v>654422</v>
      </c>
      <c r="I69" s="14">
        <f t="shared" si="0"/>
        <v>516187</v>
      </c>
    </row>
    <row r="70" spans="1:9" x14ac:dyDescent="0.25">
      <c r="C70" s="17">
        <f>C69/$C$72</f>
        <v>6.8523550612520301E-2</v>
      </c>
      <c r="D70" s="17">
        <f t="shared" ref="D70:I70" si="1">D69/$C$72</f>
        <v>0.12927139282524558</v>
      </c>
      <c r="E70" s="17">
        <f t="shared" si="1"/>
        <v>0.14156635868050885</v>
      </c>
      <c r="F70" s="17">
        <f t="shared" si="1"/>
        <v>0.14527721092224485</v>
      </c>
      <c r="G70" s="17">
        <f t="shared" si="1"/>
        <v>0.19337223250493116</v>
      </c>
      <c r="H70" s="17">
        <f t="shared" si="1"/>
        <v>0.18000617787720327</v>
      </c>
      <c r="I70" s="17">
        <f t="shared" si="1"/>
        <v>0.14198307657734602</v>
      </c>
    </row>
    <row r="72" spans="1:9" x14ac:dyDescent="0.25">
      <c r="A72" s="32" t="s">
        <v>80</v>
      </c>
      <c r="C72" s="16">
        <f>SUM(C69:I69)</f>
        <v>3635553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G82" sqref="G82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17190</v>
      </c>
      <c r="C3" s="70">
        <v>2049</v>
      </c>
      <c r="D3" s="69">
        <v>41054</v>
      </c>
      <c r="E3" s="70">
        <v>3003</v>
      </c>
      <c r="F3" s="72">
        <v>11734</v>
      </c>
      <c r="G3" s="74">
        <v>1847</v>
      </c>
    </row>
    <row r="4" spans="1:7" x14ac:dyDescent="0.25">
      <c r="A4" s="11" t="s">
        <v>2</v>
      </c>
      <c r="B4" s="69">
        <v>450648</v>
      </c>
      <c r="C4" s="70">
        <v>54499</v>
      </c>
      <c r="D4" s="69">
        <v>242404</v>
      </c>
      <c r="E4" s="70">
        <v>20640</v>
      </c>
      <c r="F4" s="72">
        <v>129458</v>
      </c>
      <c r="G4" s="75">
        <v>22825</v>
      </c>
    </row>
    <row r="5" spans="1:7" x14ac:dyDescent="0.25">
      <c r="A5" s="11" t="s">
        <v>3</v>
      </c>
      <c r="B5" s="69">
        <v>9891</v>
      </c>
      <c r="C5" s="70">
        <v>742</v>
      </c>
      <c r="D5" s="69">
        <v>26366</v>
      </c>
      <c r="E5" s="70">
        <v>1321</v>
      </c>
      <c r="F5" s="72">
        <v>4814</v>
      </c>
      <c r="G5" s="75">
        <v>515</v>
      </c>
    </row>
    <row r="6" spans="1:7" x14ac:dyDescent="0.25">
      <c r="A6" s="11" t="s">
        <v>4</v>
      </c>
      <c r="B6" s="69">
        <v>42298</v>
      </c>
      <c r="C6" s="70">
        <v>3457</v>
      </c>
      <c r="D6" s="69">
        <v>49017</v>
      </c>
      <c r="E6" s="70">
        <v>2869</v>
      </c>
      <c r="F6" s="72">
        <v>14679</v>
      </c>
      <c r="G6" s="75">
        <v>1910</v>
      </c>
    </row>
    <row r="7" spans="1:7" x14ac:dyDescent="0.25">
      <c r="A7" s="11" t="s">
        <v>5</v>
      </c>
      <c r="B7" s="69">
        <v>4868</v>
      </c>
      <c r="C7" s="70">
        <v>387</v>
      </c>
      <c r="D7" s="69">
        <v>23539</v>
      </c>
      <c r="E7" s="70">
        <v>1052</v>
      </c>
      <c r="F7" s="72">
        <v>2894</v>
      </c>
      <c r="G7" s="75">
        <v>325</v>
      </c>
    </row>
    <row r="8" spans="1:7" x14ac:dyDescent="0.25">
      <c r="A8" s="11" t="s">
        <v>6</v>
      </c>
      <c r="B8" s="69">
        <v>94113</v>
      </c>
      <c r="C8" s="70">
        <v>10298</v>
      </c>
      <c r="D8" s="69">
        <v>111310</v>
      </c>
      <c r="E8" s="70">
        <v>6685</v>
      </c>
      <c r="F8" s="72">
        <v>46240</v>
      </c>
      <c r="G8" s="75">
        <v>6103</v>
      </c>
    </row>
    <row r="9" spans="1:7" x14ac:dyDescent="0.25">
      <c r="A9" s="11" t="s">
        <v>7</v>
      </c>
      <c r="B9" s="69">
        <v>17693</v>
      </c>
      <c r="C9" s="70">
        <v>2136</v>
      </c>
      <c r="D9" s="69">
        <v>47261</v>
      </c>
      <c r="E9" s="70">
        <v>3306</v>
      </c>
      <c r="F9" s="72">
        <v>9580</v>
      </c>
      <c r="G9" s="75">
        <v>1640</v>
      </c>
    </row>
    <row r="10" spans="1:7" x14ac:dyDescent="0.25">
      <c r="A10" s="11" t="s">
        <v>8</v>
      </c>
      <c r="B10" s="69">
        <v>7065</v>
      </c>
      <c r="C10" s="70">
        <v>768</v>
      </c>
      <c r="D10" s="69">
        <v>23988</v>
      </c>
      <c r="E10" s="70">
        <v>1667</v>
      </c>
      <c r="F10" s="72">
        <v>4798</v>
      </c>
      <c r="G10" s="75">
        <v>664</v>
      </c>
    </row>
    <row r="11" spans="1:7" x14ac:dyDescent="0.25">
      <c r="A11" s="11" t="s">
        <v>9</v>
      </c>
      <c r="B11" s="69">
        <v>179335</v>
      </c>
      <c r="C11" s="70">
        <v>15175</v>
      </c>
      <c r="D11" s="69">
        <v>190425</v>
      </c>
      <c r="E11" s="70">
        <v>11300</v>
      </c>
      <c r="F11" s="72">
        <v>80715</v>
      </c>
      <c r="G11" s="75">
        <v>8650</v>
      </c>
    </row>
    <row r="12" spans="1:7" x14ac:dyDescent="0.25">
      <c r="A12" s="11" t="s">
        <v>10</v>
      </c>
      <c r="B12" s="69">
        <v>36503</v>
      </c>
      <c r="C12" s="70">
        <v>2865</v>
      </c>
      <c r="D12" s="69">
        <v>78552</v>
      </c>
      <c r="E12" s="70">
        <v>4455</v>
      </c>
      <c r="F12" s="72">
        <v>19276</v>
      </c>
      <c r="G12" s="75">
        <v>2335</v>
      </c>
    </row>
    <row r="13" spans="1:7" x14ac:dyDescent="0.25">
      <c r="A13" s="11" t="s">
        <v>11</v>
      </c>
      <c r="B13" s="69">
        <v>27182</v>
      </c>
      <c r="C13" s="70">
        <v>2198</v>
      </c>
      <c r="D13" s="69">
        <v>44353</v>
      </c>
      <c r="E13" s="70">
        <v>2152</v>
      </c>
      <c r="F13" s="72">
        <v>8951</v>
      </c>
      <c r="G13" s="75">
        <v>1132</v>
      </c>
    </row>
    <row r="14" spans="1:7" x14ac:dyDescent="0.25">
      <c r="A14" s="11" t="s">
        <v>12</v>
      </c>
      <c r="B14" s="69">
        <v>604</v>
      </c>
      <c r="C14" s="70">
        <v>57</v>
      </c>
      <c r="D14" s="69">
        <v>1731</v>
      </c>
      <c r="E14" s="70">
        <v>110</v>
      </c>
      <c r="F14" s="72">
        <v>339</v>
      </c>
      <c r="G14" s="75">
        <v>40</v>
      </c>
    </row>
    <row r="15" spans="1:7" x14ac:dyDescent="0.25">
      <c r="A15" s="11" t="s">
        <v>13</v>
      </c>
      <c r="B15" s="69">
        <v>12788</v>
      </c>
      <c r="C15" s="70">
        <v>1293</v>
      </c>
      <c r="D15" s="69">
        <v>22346</v>
      </c>
      <c r="E15" s="70">
        <v>1596</v>
      </c>
      <c r="F15" s="72">
        <v>6791</v>
      </c>
      <c r="G15" s="75">
        <v>998</v>
      </c>
    </row>
    <row r="16" spans="1:7" x14ac:dyDescent="0.25">
      <c r="A16" s="11" t="s">
        <v>14</v>
      </c>
      <c r="B16" s="69">
        <v>34333</v>
      </c>
      <c r="C16" s="70">
        <v>7245</v>
      </c>
      <c r="D16" s="69">
        <v>37577</v>
      </c>
      <c r="E16" s="70">
        <v>4207</v>
      </c>
      <c r="F16" s="72">
        <v>15059</v>
      </c>
      <c r="G16" s="75">
        <v>3839</v>
      </c>
    </row>
    <row r="17" spans="1:7" x14ac:dyDescent="0.25">
      <c r="A17" s="11" t="s">
        <v>15</v>
      </c>
      <c r="B17" s="69">
        <v>148336</v>
      </c>
      <c r="C17" s="70">
        <v>13525</v>
      </c>
      <c r="D17" s="69">
        <v>142035</v>
      </c>
      <c r="E17" s="70">
        <v>9767</v>
      </c>
      <c r="F17" s="72">
        <v>69233</v>
      </c>
      <c r="G17" s="75">
        <v>7948</v>
      </c>
    </row>
    <row r="18" spans="1:7" x14ac:dyDescent="0.25">
      <c r="A18" s="11" t="s">
        <v>16</v>
      </c>
      <c r="B18" s="69">
        <v>4670</v>
      </c>
      <c r="C18" s="70">
        <v>374</v>
      </c>
      <c r="D18" s="69">
        <v>14759</v>
      </c>
      <c r="E18" s="70">
        <v>749</v>
      </c>
      <c r="F18" s="72">
        <v>2450</v>
      </c>
      <c r="G18" s="75">
        <v>276</v>
      </c>
    </row>
    <row r="19" spans="1:7" x14ac:dyDescent="0.25">
      <c r="A19" s="11" t="s">
        <v>17</v>
      </c>
      <c r="B19" s="69">
        <v>10850</v>
      </c>
      <c r="C19" s="70">
        <v>1185</v>
      </c>
      <c r="D19" s="69">
        <v>29307</v>
      </c>
      <c r="E19" s="70">
        <v>2125</v>
      </c>
      <c r="F19" s="72">
        <v>5247</v>
      </c>
      <c r="G19" s="75">
        <v>873</v>
      </c>
    </row>
    <row r="20" spans="1:7" x14ac:dyDescent="0.25">
      <c r="A20" s="11" t="s">
        <v>18</v>
      </c>
      <c r="B20" s="69">
        <v>5628</v>
      </c>
      <c r="C20" s="70">
        <v>462</v>
      </c>
      <c r="D20" s="69">
        <v>12559</v>
      </c>
      <c r="E20" s="70">
        <v>711</v>
      </c>
      <c r="F20" s="72">
        <v>2836</v>
      </c>
      <c r="G20" s="75">
        <v>359</v>
      </c>
    </row>
    <row r="21" spans="1:7" x14ac:dyDescent="0.25">
      <c r="A21" s="11" t="s">
        <v>19</v>
      </c>
      <c r="B21" s="69">
        <v>10664</v>
      </c>
      <c r="C21" s="70">
        <v>1145</v>
      </c>
      <c r="D21" s="69">
        <v>21107</v>
      </c>
      <c r="E21" s="70">
        <v>1338</v>
      </c>
      <c r="F21" s="72">
        <v>5555</v>
      </c>
      <c r="G21" s="75">
        <v>830</v>
      </c>
    </row>
    <row r="22" spans="1:7" x14ac:dyDescent="0.25">
      <c r="A22" s="11" t="s">
        <v>20</v>
      </c>
      <c r="B22" s="69">
        <v>12847</v>
      </c>
      <c r="C22" s="70">
        <v>1573</v>
      </c>
      <c r="D22" s="69">
        <v>29816</v>
      </c>
      <c r="E22" s="70">
        <v>1975</v>
      </c>
      <c r="F22" s="72">
        <v>5893</v>
      </c>
      <c r="G22" s="75">
        <v>912</v>
      </c>
    </row>
    <row r="23" spans="1:7" x14ac:dyDescent="0.25">
      <c r="A23" s="11" t="s">
        <v>21</v>
      </c>
      <c r="B23" s="69">
        <v>57070</v>
      </c>
      <c r="C23" s="70">
        <v>4957</v>
      </c>
      <c r="D23" s="69">
        <v>83284</v>
      </c>
      <c r="E23" s="70">
        <v>4925</v>
      </c>
      <c r="F23" s="72">
        <v>30523</v>
      </c>
      <c r="G23" s="75">
        <v>3562</v>
      </c>
    </row>
    <row r="24" spans="1:7" x14ac:dyDescent="0.25">
      <c r="A24" s="11" t="s">
        <v>22</v>
      </c>
      <c r="B24" s="69">
        <v>77808</v>
      </c>
      <c r="C24" s="70">
        <v>9200</v>
      </c>
      <c r="D24" s="69">
        <v>70726</v>
      </c>
      <c r="E24" s="70">
        <v>5183</v>
      </c>
      <c r="F24" s="72">
        <v>33742</v>
      </c>
      <c r="G24" s="75">
        <v>5222</v>
      </c>
    </row>
    <row r="25" spans="1:7" x14ac:dyDescent="0.25">
      <c r="A25" s="11" t="s">
        <v>23</v>
      </c>
      <c r="B25" s="69">
        <v>180962</v>
      </c>
      <c r="C25" s="70">
        <v>22721</v>
      </c>
      <c r="D25" s="69">
        <v>131638</v>
      </c>
      <c r="E25" s="70">
        <v>10944</v>
      </c>
      <c r="F25" s="72">
        <v>56780</v>
      </c>
      <c r="G25" s="75">
        <v>8850</v>
      </c>
    </row>
    <row r="26" spans="1:7" x14ac:dyDescent="0.25">
      <c r="A26" s="11" t="s">
        <v>24</v>
      </c>
      <c r="B26" s="69">
        <v>5373</v>
      </c>
      <c r="C26" s="70">
        <v>389</v>
      </c>
      <c r="D26" s="69">
        <v>11578</v>
      </c>
      <c r="E26" s="70">
        <v>544</v>
      </c>
      <c r="F26" s="72">
        <v>2266</v>
      </c>
      <c r="G26" s="75">
        <v>293</v>
      </c>
    </row>
    <row r="27" spans="1:7" x14ac:dyDescent="0.25">
      <c r="A27" s="11" t="s">
        <v>25</v>
      </c>
      <c r="B27" s="69">
        <v>69164</v>
      </c>
      <c r="C27" s="70">
        <v>7370</v>
      </c>
      <c r="D27" s="69">
        <v>65658</v>
      </c>
      <c r="E27" s="70">
        <v>5140</v>
      </c>
      <c r="F27" s="72">
        <v>23448</v>
      </c>
      <c r="G27" s="75">
        <v>4136</v>
      </c>
    </row>
    <row r="28" spans="1:7" x14ac:dyDescent="0.25">
      <c r="A28" s="11" t="s">
        <v>26</v>
      </c>
      <c r="B28" s="69">
        <v>26729</v>
      </c>
      <c r="C28" s="70">
        <v>2710</v>
      </c>
      <c r="D28" s="69">
        <v>38881</v>
      </c>
      <c r="E28" s="70">
        <v>2441</v>
      </c>
      <c r="F28" s="72">
        <v>7663</v>
      </c>
      <c r="G28" s="75">
        <v>1147</v>
      </c>
    </row>
    <row r="29" spans="1:7" x14ac:dyDescent="0.25">
      <c r="A29" s="11" t="s">
        <v>27</v>
      </c>
      <c r="B29" s="69">
        <v>710</v>
      </c>
      <c r="C29" s="70">
        <v>79</v>
      </c>
      <c r="D29" s="69">
        <v>1935</v>
      </c>
      <c r="E29" s="70">
        <v>131</v>
      </c>
      <c r="F29" s="72">
        <v>356</v>
      </c>
      <c r="G29" s="75">
        <v>52</v>
      </c>
    </row>
    <row r="30" spans="1:7" x14ac:dyDescent="0.25">
      <c r="A30" s="11" t="s">
        <v>28</v>
      </c>
      <c r="B30" s="69">
        <v>21454</v>
      </c>
      <c r="C30" s="70">
        <v>2137</v>
      </c>
      <c r="D30" s="69">
        <v>60979</v>
      </c>
      <c r="E30" s="70">
        <v>3333</v>
      </c>
      <c r="F30" s="72">
        <v>15843</v>
      </c>
      <c r="G30" s="75">
        <v>1839</v>
      </c>
    </row>
    <row r="31" spans="1:7" x14ac:dyDescent="0.25">
      <c r="A31" s="11" t="s">
        <v>29</v>
      </c>
      <c r="B31" s="69">
        <v>1303</v>
      </c>
      <c r="C31" s="70">
        <v>168</v>
      </c>
      <c r="D31" s="69">
        <v>7003</v>
      </c>
      <c r="E31" s="70">
        <v>472</v>
      </c>
      <c r="F31" s="72">
        <v>993</v>
      </c>
      <c r="G31" s="75">
        <v>191</v>
      </c>
    </row>
    <row r="32" spans="1:7" x14ac:dyDescent="0.25">
      <c r="A32" s="11" t="s">
        <v>30</v>
      </c>
      <c r="B32" s="69">
        <v>6659</v>
      </c>
      <c r="C32" s="70">
        <v>675</v>
      </c>
      <c r="D32" s="69">
        <v>11383</v>
      </c>
      <c r="E32" s="70">
        <v>814</v>
      </c>
      <c r="F32" s="72">
        <v>1919</v>
      </c>
      <c r="G32" s="75">
        <v>359</v>
      </c>
    </row>
    <row r="33" spans="1:7" x14ac:dyDescent="0.25">
      <c r="A33" s="11" t="s">
        <v>31</v>
      </c>
      <c r="B33" s="69">
        <v>5198</v>
      </c>
      <c r="C33" s="70">
        <v>824</v>
      </c>
      <c r="D33" s="69">
        <v>17705</v>
      </c>
      <c r="E33" s="70">
        <v>1179</v>
      </c>
      <c r="F33" s="72">
        <v>2546</v>
      </c>
      <c r="G33" s="75">
        <v>445</v>
      </c>
    </row>
    <row r="34" spans="1:7" x14ac:dyDescent="0.25">
      <c r="A34" s="11" t="s">
        <v>32</v>
      </c>
      <c r="B34" s="69">
        <v>12964</v>
      </c>
      <c r="C34" s="70">
        <v>906</v>
      </c>
      <c r="D34" s="69">
        <v>27819</v>
      </c>
      <c r="E34" s="70">
        <v>1047</v>
      </c>
      <c r="F34" s="72">
        <v>5914</v>
      </c>
      <c r="G34" s="75">
        <v>487</v>
      </c>
    </row>
    <row r="35" spans="1:7" x14ac:dyDescent="0.25">
      <c r="A35" s="11" t="s">
        <v>33</v>
      </c>
      <c r="B35" s="69">
        <v>4978</v>
      </c>
      <c r="C35" s="70">
        <v>473</v>
      </c>
      <c r="D35" s="69">
        <v>18201</v>
      </c>
      <c r="E35" s="70">
        <v>1265</v>
      </c>
      <c r="F35" s="72">
        <v>2890</v>
      </c>
      <c r="G35" s="75">
        <v>362</v>
      </c>
    </row>
    <row r="36" spans="1:7" x14ac:dyDescent="0.25">
      <c r="A36" s="11" t="s">
        <v>34</v>
      </c>
      <c r="B36" s="69">
        <v>2327</v>
      </c>
      <c r="C36" s="70">
        <v>215</v>
      </c>
      <c r="D36" s="69">
        <v>9585</v>
      </c>
      <c r="E36" s="70">
        <v>439</v>
      </c>
      <c r="F36" s="72">
        <v>1358</v>
      </c>
      <c r="G36" s="75">
        <v>157</v>
      </c>
    </row>
    <row r="37" spans="1:7" x14ac:dyDescent="0.25">
      <c r="A37" s="11" t="s">
        <v>35</v>
      </c>
      <c r="B37" s="69">
        <v>70747</v>
      </c>
      <c r="C37" s="70">
        <v>6205</v>
      </c>
      <c r="D37" s="69">
        <v>48262</v>
      </c>
      <c r="E37" s="70">
        <v>4035</v>
      </c>
      <c r="F37" s="72">
        <v>18024</v>
      </c>
      <c r="G37" s="75">
        <v>2914</v>
      </c>
    </row>
    <row r="38" spans="1:7" x14ac:dyDescent="0.25">
      <c r="A38" s="11" t="s">
        <v>36</v>
      </c>
      <c r="B38" s="69">
        <v>102726</v>
      </c>
      <c r="C38" s="70">
        <v>10913</v>
      </c>
      <c r="D38" s="69">
        <v>171991</v>
      </c>
      <c r="E38" s="70">
        <v>11748</v>
      </c>
      <c r="F38" s="72">
        <v>59918</v>
      </c>
      <c r="G38" s="75">
        <v>8127</v>
      </c>
    </row>
    <row r="39" spans="1:7" x14ac:dyDescent="0.25">
      <c r="A39" s="11" t="s">
        <v>37</v>
      </c>
      <c r="B39" s="69">
        <v>17993</v>
      </c>
      <c r="C39" s="70">
        <v>1671</v>
      </c>
      <c r="D39" s="69">
        <v>28457</v>
      </c>
      <c r="E39" s="70">
        <v>1655</v>
      </c>
      <c r="F39" s="72">
        <v>6633</v>
      </c>
      <c r="G39" s="75">
        <v>928</v>
      </c>
    </row>
    <row r="40" spans="1:7" x14ac:dyDescent="0.25">
      <c r="A40" s="11" t="s">
        <v>38</v>
      </c>
      <c r="B40" s="69">
        <v>22902</v>
      </c>
      <c r="C40" s="70">
        <v>2671</v>
      </c>
      <c r="D40" s="69">
        <v>49655</v>
      </c>
      <c r="E40" s="70">
        <v>3023</v>
      </c>
      <c r="F40" s="72">
        <v>14053</v>
      </c>
      <c r="G40" s="75">
        <v>2086</v>
      </c>
    </row>
    <row r="41" spans="1:7" x14ac:dyDescent="0.25">
      <c r="A41" s="11" t="s">
        <v>39</v>
      </c>
      <c r="B41" s="69">
        <v>99484</v>
      </c>
      <c r="C41" s="70">
        <v>12698</v>
      </c>
      <c r="D41" s="69">
        <v>83070</v>
      </c>
      <c r="E41" s="70">
        <v>6408</v>
      </c>
      <c r="F41" s="72">
        <v>45741</v>
      </c>
      <c r="G41" s="75">
        <v>7551</v>
      </c>
    </row>
    <row r="42" spans="1:7" x14ac:dyDescent="0.25">
      <c r="A42" s="11" t="s">
        <v>40</v>
      </c>
      <c r="B42" s="69">
        <v>77242</v>
      </c>
      <c r="C42" s="70">
        <v>8604</v>
      </c>
      <c r="D42" s="69">
        <v>84449</v>
      </c>
      <c r="E42" s="70">
        <v>6347</v>
      </c>
      <c r="F42" s="72">
        <v>27132</v>
      </c>
      <c r="G42" s="75">
        <v>4570</v>
      </c>
    </row>
    <row r="43" spans="1:7" x14ac:dyDescent="0.25">
      <c r="A43" s="11" t="s">
        <v>41</v>
      </c>
      <c r="B43" s="69">
        <v>16592</v>
      </c>
      <c r="C43" s="70">
        <v>1659</v>
      </c>
      <c r="D43" s="69">
        <v>41652</v>
      </c>
      <c r="E43" s="70">
        <v>2085</v>
      </c>
      <c r="F43" s="72">
        <v>9580</v>
      </c>
      <c r="G43" s="75">
        <v>1197</v>
      </c>
    </row>
    <row r="44" spans="1:7" x14ac:dyDescent="0.25">
      <c r="A44" s="11" t="s">
        <v>42</v>
      </c>
      <c r="B44" s="69">
        <v>4707</v>
      </c>
      <c r="C44" s="70">
        <v>608</v>
      </c>
      <c r="D44" s="69">
        <v>14931</v>
      </c>
      <c r="E44" s="70">
        <v>1281</v>
      </c>
      <c r="F44" s="72">
        <v>3196</v>
      </c>
      <c r="G44" s="75">
        <v>588</v>
      </c>
    </row>
    <row r="45" spans="1:7" x14ac:dyDescent="0.25">
      <c r="A45" s="11" t="s">
        <v>43</v>
      </c>
      <c r="B45" s="69">
        <v>21007</v>
      </c>
      <c r="C45" s="70">
        <v>2159</v>
      </c>
      <c r="D45" s="69">
        <v>35876</v>
      </c>
      <c r="E45" s="70">
        <v>2434</v>
      </c>
      <c r="F45" s="72">
        <v>9147</v>
      </c>
      <c r="G45" s="75">
        <v>1351</v>
      </c>
    </row>
    <row r="46" spans="1:7" x14ac:dyDescent="0.25">
      <c r="A46" s="11" t="s">
        <v>44</v>
      </c>
      <c r="B46" s="69">
        <v>4847</v>
      </c>
      <c r="C46" s="70">
        <v>542</v>
      </c>
      <c r="D46" s="69">
        <v>17503</v>
      </c>
      <c r="E46" s="70">
        <v>1133</v>
      </c>
      <c r="F46" s="72">
        <v>2707</v>
      </c>
      <c r="G46" s="75">
        <v>431</v>
      </c>
    </row>
    <row r="47" spans="1:7" x14ac:dyDescent="0.25">
      <c r="A47" s="11" t="s">
        <v>45</v>
      </c>
      <c r="B47" s="69">
        <v>42499</v>
      </c>
      <c r="C47" s="70">
        <v>6324</v>
      </c>
      <c r="D47" s="69">
        <v>39621</v>
      </c>
      <c r="E47" s="70">
        <v>3777</v>
      </c>
      <c r="F47" s="72">
        <v>22296</v>
      </c>
      <c r="G47" s="75">
        <v>3563</v>
      </c>
    </row>
    <row r="48" spans="1:7" x14ac:dyDescent="0.25">
      <c r="A48" s="11" t="s">
        <v>46</v>
      </c>
      <c r="B48" s="69">
        <v>284932</v>
      </c>
      <c r="C48" s="70">
        <v>21457</v>
      </c>
      <c r="D48" s="69">
        <v>196003</v>
      </c>
      <c r="E48" s="70">
        <v>11558</v>
      </c>
      <c r="F48" s="72">
        <v>100964</v>
      </c>
      <c r="G48" s="75">
        <v>10396</v>
      </c>
    </row>
    <row r="49" spans="1:7" x14ac:dyDescent="0.25">
      <c r="A49" s="11" t="s">
        <v>47</v>
      </c>
      <c r="B49" s="69">
        <v>3427</v>
      </c>
      <c r="C49" s="70">
        <v>351</v>
      </c>
      <c r="D49" s="69">
        <v>6121</v>
      </c>
      <c r="E49" s="70">
        <v>446</v>
      </c>
      <c r="F49" s="72">
        <v>1775</v>
      </c>
      <c r="G49" s="75">
        <v>265</v>
      </c>
    </row>
    <row r="50" spans="1:7" x14ac:dyDescent="0.25">
      <c r="A50" s="11" t="s">
        <v>48</v>
      </c>
      <c r="B50" s="69">
        <v>85922</v>
      </c>
      <c r="C50" s="70">
        <v>10674</v>
      </c>
      <c r="D50" s="69">
        <v>80565</v>
      </c>
      <c r="E50" s="70">
        <v>6414</v>
      </c>
      <c r="F50" s="72">
        <v>42981</v>
      </c>
      <c r="G50" s="75">
        <v>6663</v>
      </c>
    </row>
    <row r="51" spans="1:7" x14ac:dyDescent="0.25">
      <c r="A51" s="11" t="s">
        <v>49</v>
      </c>
      <c r="B51" s="69">
        <v>12211</v>
      </c>
      <c r="C51" s="70">
        <v>3140</v>
      </c>
      <c r="D51" s="69">
        <v>27198</v>
      </c>
      <c r="E51" s="70">
        <v>4757</v>
      </c>
      <c r="F51" s="72">
        <v>5102</v>
      </c>
      <c r="G51" s="75">
        <v>3011</v>
      </c>
    </row>
    <row r="52" spans="1:7" x14ac:dyDescent="0.25">
      <c r="A52" s="11" t="s">
        <v>50</v>
      </c>
      <c r="B52" s="69">
        <v>5669</v>
      </c>
      <c r="C52" s="70">
        <v>359</v>
      </c>
      <c r="D52" s="69">
        <v>20013</v>
      </c>
      <c r="E52" s="70">
        <v>926</v>
      </c>
      <c r="F52" s="72">
        <v>3897</v>
      </c>
      <c r="G52" s="75">
        <v>430</v>
      </c>
    </row>
    <row r="53" spans="1:7" x14ac:dyDescent="0.25">
      <c r="A53" s="11" t="s">
        <v>51</v>
      </c>
      <c r="B53" s="69">
        <v>655866</v>
      </c>
      <c r="C53" s="70">
        <v>126393</v>
      </c>
      <c r="D53" s="69">
        <v>111342</v>
      </c>
      <c r="E53" s="70">
        <v>19988</v>
      </c>
      <c r="F53" s="72">
        <v>148142</v>
      </c>
      <c r="G53" s="75">
        <v>34161</v>
      </c>
    </row>
    <row r="54" spans="1:7" x14ac:dyDescent="0.25">
      <c r="A54" s="11" t="s">
        <v>52</v>
      </c>
      <c r="B54" s="69">
        <v>11879</v>
      </c>
      <c r="C54" s="70">
        <v>1782</v>
      </c>
      <c r="D54" s="69">
        <v>20990</v>
      </c>
      <c r="E54" s="70">
        <v>2146</v>
      </c>
      <c r="F54" s="72">
        <v>9205</v>
      </c>
      <c r="G54" s="75">
        <v>1490</v>
      </c>
    </row>
    <row r="55" spans="1:7" x14ac:dyDescent="0.25">
      <c r="A55" s="11" t="s">
        <v>53</v>
      </c>
      <c r="B55" s="69">
        <v>1604</v>
      </c>
      <c r="C55" s="70">
        <v>136</v>
      </c>
      <c r="D55" s="69">
        <v>7481</v>
      </c>
      <c r="E55" s="70">
        <v>505</v>
      </c>
      <c r="F55" s="72">
        <v>1101</v>
      </c>
      <c r="G55" s="75">
        <v>169</v>
      </c>
    </row>
    <row r="56" spans="1:7" x14ac:dyDescent="0.25">
      <c r="A56" s="11" t="s">
        <v>54</v>
      </c>
      <c r="B56" s="69">
        <v>23430</v>
      </c>
      <c r="C56" s="70">
        <v>1983</v>
      </c>
      <c r="D56" s="69">
        <v>50683</v>
      </c>
      <c r="E56" s="70">
        <v>2504</v>
      </c>
      <c r="F56" s="72">
        <v>12580</v>
      </c>
      <c r="G56" s="75">
        <v>1433</v>
      </c>
    </row>
    <row r="57" spans="1:7" x14ac:dyDescent="0.25">
      <c r="A57" s="11" t="s">
        <v>55</v>
      </c>
      <c r="B57" s="69">
        <v>4422</v>
      </c>
      <c r="C57" s="70">
        <v>506</v>
      </c>
      <c r="D57" s="69">
        <v>15074</v>
      </c>
      <c r="E57" s="70">
        <v>883</v>
      </c>
      <c r="F57" s="72">
        <v>2613</v>
      </c>
      <c r="G57" s="75">
        <v>447</v>
      </c>
    </row>
    <row r="58" spans="1:7" x14ac:dyDescent="0.25">
      <c r="A58" s="11" t="s">
        <v>56</v>
      </c>
      <c r="B58" s="69">
        <v>9712</v>
      </c>
      <c r="C58" s="70">
        <v>783</v>
      </c>
      <c r="D58" s="69">
        <v>31255</v>
      </c>
      <c r="E58" s="70">
        <v>1553</v>
      </c>
      <c r="F58" s="72">
        <v>4646</v>
      </c>
      <c r="G58" s="75">
        <v>572</v>
      </c>
    </row>
    <row r="59" spans="1:7" x14ac:dyDescent="0.25">
      <c r="A59" s="11" t="s">
        <v>57</v>
      </c>
      <c r="B59" s="69">
        <v>996</v>
      </c>
      <c r="C59" s="70">
        <v>73</v>
      </c>
      <c r="D59" s="69">
        <v>2712</v>
      </c>
      <c r="E59" s="70">
        <v>145</v>
      </c>
      <c r="F59" s="72">
        <v>486</v>
      </c>
      <c r="G59" s="75">
        <v>54</v>
      </c>
    </row>
    <row r="60" spans="1:7" x14ac:dyDescent="0.25">
      <c r="A60" s="11" t="s">
        <v>58</v>
      </c>
      <c r="B60" s="69">
        <v>5433</v>
      </c>
      <c r="C60" s="70">
        <v>709</v>
      </c>
      <c r="D60" s="69">
        <v>16005</v>
      </c>
      <c r="E60" s="70">
        <v>1281</v>
      </c>
      <c r="F60" s="72">
        <v>3428</v>
      </c>
      <c r="G60" s="75">
        <v>593</v>
      </c>
    </row>
    <row r="61" spans="1:7" x14ac:dyDescent="0.25">
      <c r="A61" s="11" t="s">
        <v>59</v>
      </c>
      <c r="B61" s="69">
        <v>4568</v>
      </c>
      <c r="C61" s="70">
        <v>371</v>
      </c>
      <c r="D61" s="69">
        <v>17080</v>
      </c>
      <c r="E61" s="70">
        <v>1028</v>
      </c>
      <c r="F61" s="72">
        <v>3337</v>
      </c>
      <c r="G61" s="75">
        <v>450</v>
      </c>
    </row>
    <row r="62" spans="1:7" x14ac:dyDescent="0.25">
      <c r="A62" s="11" t="s">
        <v>60</v>
      </c>
      <c r="B62" s="69">
        <v>6623</v>
      </c>
      <c r="C62" s="70">
        <v>1273</v>
      </c>
      <c r="D62" s="69">
        <v>13179</v>
      </c>
      <c r="E62" s="70">
        <v>1189</v>
      </c>
      <c r="F62" s="72">
        <v>3426</v>
      </c>
      <c r="G62" s="75">
        <v>830</v>
      </c>
    </row>
    <row r="63" spans="1:7" x14ac:dyDescent="0.25">
      <c r="A63" s="11" t="s">
        <v>61</v>
      </c>
      <c r="B63" s="69">
        <v>7372</v>
      </c>
      <c r="C63" s="70">
        <v>659</v>
      </c>
      <c r="D63" s="69">
        <v>19008</v>
      </c>
      <c r="E63" s="70">
        <v>1135</v>
      </c>
      <c r="F63" s="72">
        <v>4170</v>
      </c>
      <c r="G63" s="75">
        <v>515</v>
      </c>
    </row>
    <row r="64" spans="1:7" x14ac:dyDescent="0.25">
      <c r="A64" s="11" t="s">
        <v>62</v>
      </c>
      <c r="B64" s="69">
        <v>5910</v>
      </c>
      <c r="C64" s="70">
        <v>442</v>
      </c>
      <c r="D64" s="69">
        <v>14367</v>
      </c>
      <c r="E64" s="70">
        <v>858</v>
      </c>
      <c r="F64" s="72">
        <v>3496</v>
      </c>
      <c r="G64" s="75">
        <v>361</v>
      </c>
    </row>
    <row r="65" spans="1:7" x14ac:dyDescent="0.25">
      <c r="A65" s="11" t="s">
        <v>63</v>
      </c>
      <c r="B65" s="69">
        <v>48996</v>
      </c>
      <c r="C65" s="70">
        <v>3645</v>
      </c>
      <c r="D65" s="69">
        <v>69196</v>
      </c>
      <c r="E65" s="70">
        <v>3567</v>
      </c>
      <c r="F65" s="72">
        <v>17736</v>
      </c>
      <c r="G65" s="75">
        <v>2091</v>
      </c>
    </row>
    <row r="66" spans="1:7" x14ac:dyDescent="0.25">
      <c r="A66" s="11" t="s">
        <v>64</v>
      </c>
      <c r="B66" s="69">
        <v>7906</v>
      </c>
      <c r="C66" s="70">
        <v>821</v>
      </c>
      <c r="D66" s="69">
        <v>20359</v>
      </c>
      <c r="E66" s="70">
        <v>1390</v>
      </c>
      <c r="F66" s="72">
        <v>5537</v>
      </c>
      <c r="G66" s="75">
        <v>746</v>
      </c>
    </row>
    <row r="67" spans="1:7" x14ac:dyDescent="0.25">
      <c r="A67" s="11" t="s">
        <v>65</v>
      </c>
      <c r="B67" s="69">
        <v>80660</v>
      </c>
      <c r="C67" s="70">
        <v>6181</v>
      </c>
      <c r="D67" s="69">
        <v>123911</v>
      </c>
      <c r="E67" s="70">
        <v>6888</v>
      </c>
      <c r="F67" s="72">
        <v>29753</v>
      </c>
      <c r="G67" s="75">
        <v>3538</v>
      </c>
    </row>
    <row r="68" spans="1:7" x14ac:dyDescent="0.25">
      <c r="A68" s="11" t="s">
        <v>66</v>
      </c>
      <c r="B68" s="69">
        <v>4361</v>
      </c>
      <c r="C68" s="70">
        <v>365</v>
      </c>
      <c r="D68" s="69">
        <v>10675</v>
      </c>
      <c r="E68" s="70">
        <v>630</v>
      </c>
      <c r="F68" s="72">
        <v>2203</v>
      </c>
      <c r="G68" s="75">
        <v>291</v>
      </c>
    </row>
    <row r="69" spans="1:7" x14ac:dyDescent="0.25">
      <c r="A69" s="19" t="s">
        <v>67</v>
      </c>
      <c r="B69" s="68">
        <v>86389</v>
      </c>
      <c r="C69" s="71">
        <v>10575</v>
      </c>
      <c r="D69" s="68">
        <v>156425</v>
      </c>
      <c r="E69" s="71">
        <v>11961</v>
      </c>
      <c r="F69" s="73">
        <v>55296</v>
      </c>
      <c r="G69" s="76">
        <v>8104</v>
      </c>
    </row>
    <row r="70" spans="1:7" x14ac:dyDescent="0.25">
      <c r="A70" s="32" t="s">
        <v>68</v>
      </c>
      <c r="B70" s="14">
        <f>SUM(B3:B69)</f>
        <v>3439239</v>
      </c>
      <c r="C70" s="14">
        <f t="shared" ref="C70:G70" si="0">SUM(C3:C69)</f>
        <v>420989</v>
      </c>
      <c r="D70" s="14">
        <f t="shared" si="0"/>
        <v>3390990</v>
      </c>
      <c r="E70" s="14">
        <f t="shared" si="0"/>
        <v>244563</v>
      </c>
      <c r="F70" s="14">
        <f t="shared" si="0"/>
        <v>1313084</v>
      </c>
      <c r="G70" s="14">
        <f t="shared" si="0"/>
        <v>201039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9009904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B Davis</cp:lastModifiedBy>
  <cp:lastPrinted>2013-07-08T13:20:55Z</cp:lastPrinted>
  <dcterms:created xsi:type="dcterms:W3CDTF">2008-03-11T20:46:20Z</dcterms:created>
  <dcterms:modified xsi:type="dcterms:W3CDTF">2026-09-30T17:51:39Z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